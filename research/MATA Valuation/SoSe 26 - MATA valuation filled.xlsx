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drawings/vmlDrawing1.vml" ContentType="application/vnd.openxmlformats-officedocument.vmlDrawing"/>
  <Override PartName="/xl/drawings/vmlDrawing5.vml" ContentType="application/vnd.openxmlformats-officedocument.vmlDrawing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CFF &amp; DCF" sheetId="1" state="visible" r:id="rId3"/>
    <sheet name="WACC" sheetId="2" state="visible" r:id="rId4"/>
    <sheet name="Equity Bridge" sheetId="3" state="visible" r:id="rId5"/>
    <sheet name="Multiples" sheetId="4" state="visible" r:id="rId6"/>
    <sheet name="Football-Field" sheetId="5" state="visible" r:id="rId7"/>
    <sheet name="Data Notes (A1-A3)" sheetId="6" state="visible" r:id="rId8"/>
  </sheets>
  <definedNames>
    <definedName function="false" hidden="true" name="_xlchart.v1.0" vbProcedure="false">'Equity Bridge'!$B$5:$B$11</definedName>
    <definedName function="false" hidden="true" name="_xlchart.v1.1" vbProcedure="false">'Equity Bridge'!$C$5:$C$11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Valuation Team</author>
  </authors>
  <commentList>
    <comment ref="C4" authorId="0">
      <text>
        <r>
          <rPr>
            <sz val="10"/>
            <rFont val="Arial"/>
            <family val="2"/>
          </rPr>
          <t xml:space="preserve">LT growth: long-run avg. GDP growth 1-3% (intro slides); 1.5% chosen conservatively</t>
        </r>
      </text>
    </comment>
    <comment ref="C5" authorId="0">
      <text>
        <r>
          <rPr>
            <sz val="10"/>
            <rFont val="Arial"/>
            <family val="2"/>
          </rPr>
          <t xml:space="preserve">2026-28 revenue from Bloomberg/LSEG consensus; 2029-32 growth fades 3.5%-&gt;2.0% towards LT rate</t>
        </r>
      </text>
    </comment>
    <comment ref="C6" authorId="0">
      <text>
        <r>
          <rPr>
            <sz val="10"/>
            <rFont val="Arial"/>
            <family val="2"/>
          </rPr>
          <t xml:space="preserve">COGS/Revenue 2029ff.; consensus-implied gross margin 2028 of 21.6% held (Source: LSEG Earnings Forecast, 03/07/2026)</t>
        </r>
      </text>
    </comment>
    <comment ref="C7" authorId="0">
      <text>
        <r>
          <rPr>
            <sz val="10"/>
            <rFont val="Arial"/>
            <family val="2"/>
          </rPr>
          <t xml:space="preserve">SG&amp;A incl. other opex, % of revenue 2029ff. (implied by consensus GP - EBITDA 2028: 7.6%)</t>
        </r>
      </text>
    </comment>
    <comment ref="C8" authorId="0">
      <text>
        <r>
          <rPr>
            <sz val="10"/>
            <rFont val="Arial"/>
            <family val="2"/>
          </rPr>
          <t xml:space="preserve">own WACC calculation, see WACC sheet</t>
        </r>
      </text>
    </comment>
    <comment ref="C9" authorId="0">
      <text>
        <r>
          <rPr>
            <sz val="10"/>
            <rFont val="Arial"/>
            <family val="2"/>
          </rPr>
          <t xml:space="preserve">CapEx/Revenue 2029ff. = Depreciation/Revenue (D/CapEx converges to 1, see intro slide 8); 26-28 LSEG consensus CapEx</t>
        </r>
      </text>
    </comment>
    <comment ref="C10" authorId="0">
      <text>
        <r>
          <rPr>
            <sz val="10"/>
            <rFont val="Arial"/>
            <family val="2"/>
          </rPr>
          <t xml:space="preserve">delta NWC = 10% of revenue change (working capital intensity assumption)</t>
        </r>
      </text>
    </comment>
    <comment ref="C14" authorId="0">
      <text>
        <r>
          <rPr>
            <sz val="10"/>
            <rFont val="Arial"/>
            <family val="2"/>
          </rPr>
          <t xml:space="preserve">2020 revenue EUR 22,580m (Source: Bloomberg 8TRA_EST.pdf, restated 2020)</t>
        </r>
      </text>
    </comment>
    <comment ref="C21" authorId="0">
      <text>
        <r>
          <rPr>
            <sz val="10"/>
            <rFont val="Arial"/>
            <family val="2"/>
          </rPr>
          <t xml:space="preserve">delta Working Capital (Source: Bloomberg Tearsheet 8TRA, WORKING_CAPITAL); volatile - avg not used directly</t>
        </r>
      </text>
    </comment>
    <comment ref="C27" authorId="0">
      <text>
        <r>
          <rPr>
            <sz val="10"/>
            <rFont val="Arial"/>
            <family val="2"/>
          </rPr>
          <t xml:space="preserve">Source: Bloomberg 8TRA_EST.pdf / Tearsheet, GAAP revenue</t>
        </r>
      </text>
    </comment>
    <comment ref="C29" authorId="0">
      <text>
        <r>
          <rPr>
            <sz val="10"/>
            <rFont val="Arial"/>
            <family val="2"/>
          </rPr>
          <t xml:space="preserve">Source: Bloomberg 8TRA_EST.pdf, Cost of Revenue</t>
        </r>
      </text>
    </comment>
    <comment ref="C32" authorId="0">
      <text>
        <r>
          <rPr>
            <sz val="10"/>
            <rFont val="Arial"/>
            <family val="2"/>
          </rPr>
          <t xml:space="preserve">implied: gross profit less adjusted EBITDA (Bloomberg adjusted figures)</t>
        </r>
      </text>
    </comment>
    <comment ref="C35" authorId="0">
      <text>
        <r>
          <rPr>
            <sz val="10"/>
            <rFont val="Arial"/>
            <family val="2"/>
          </rPr>
          <t xml:space="preserve">D&amp;A = adjusted EBITDA less adjusted EBIT (Source: Bloomberg 8TRA_EST.pdf)</t>
        </r>
      </text>
    </comment>
    <comment ref="C40" authorId="0">
      <text>
        <r>
          <rPr>
            <sz val="10"/>
            <rFont val="Arial"/>
            <family val="2"/>
          </rPr>
          <t xml:space="preserve">Source: Bloomberg (capex excl. leased assets &amp; capitalized development) - forecast uses broader LSEG definition</t>
        </r>
      </text>
    </comment>
    <comment ref="D21" authorId="0">
      <text>
        <r>
          <rPr>
            <sz val="10"/>
            <rFont val="Arial"/>
            <family val="2"/>
          </rPr>
          <t xml:space="preserve">delta Working Capital (Source: Bloomberg Tearsheet 8TRA, WORKING_CAPITAL); volatile - avg not used directly</t>
        </r>
      </text>
    </comment>
    <comment ref="D27" authorId="0">
      <text>
        <r>
          <rPr>
            <sz val="10"/>
            <rFont val="Arial"/>
            <family val="2"/>
          </rPr>
          <t xml:space="preserve">Source: Bloomberg 8TRA_EST.pdf / Tearsheet, GAAP revenue</t>
        </r>
      </text>
    </comment>
    <comment ref="D29" authorId="0">
      <text>
        <r>
          <rPr>
            <sz val="10"/>
            <rFont val="Arial"/>
            <family val="2"/>
          </rPr>
          <t xml:space="preserve">Source: Bloomberg 8TRA_EST.pdf, Cost of Revenue</t>
        </r>
      </text>
    </comment>
    <comment ref="D32" authorId="0">
      <text>
        <r>
          <rPr>
            <sz val="10"/>
            <rFont val="Arial"/>
            <family val="2"/>
          </rPr>
          <t xml:space="preserve">implied: gross profit less adjusted EBITDA (Bloomberg adjusted figures)</t>
        </r>
      </text>
    </comment>
    <comment ref="D35" authorId="0">
      <text>
        <r>
          <rPr>
            <sz val="10"/>
            <rFont val="Arial"/>
            <family val="2"/>
          </rPr>
          <t xml:space="preserve">D&amp;A = adjusted EBITDA less adjusted EBIT (Source: Bloomberg 8TRA_EST.pdf)</t>
        </r>
      </text>
    </comment>
    <comment ref="D40" authorId="0">
      <text>
        <r>
          <rPr>
            <sz val="10"/>
            <rFont val="Arial"/>
            <family val="2"/>
          </rPr>
          <t xml:space="preserve">Source: Bloomberg (capex excl. leased assets &amp; capitalized development) - forecast uses broader LSEG definition</t>
        </r>
      </text>
    </comment>
    <comment ref="E21" authorId="0">
      <text>
        <r>
          <rPr>
            <sz val="10"/>
            <rFont val="Arial"/>
            <family val="2"/>
          </rPr>
          <t xml:space="preserve">delta Working Capital (Source: Bloomberg Tearsheet 8TRA, WORKING_CAPITAL); volatile - avg not used directly</t>
        </r>
      </text>
    </comment>
    <comment ref="E27" authorId="0">
      <text>
        <r>
          <rPr>
            <sz val="10"/>
            <rFont val="Arial"/>
            <family val="2"/>
          </rPr>
          <t xml:space="preserve">Source: Bloomberg 8TRA_EST.pdf / Tearsheet, GAAP revenue</t>
        </r>
      </text>
    </comment>
    <comment ref="E29" authorId="0">
      <text>
        <r>
          <rPr>
            <sz val="10"/>
            <rFont val="Arial"/>
            <family val="2"/>
          </rPr>
          <t xml:space="preserve">Source: Bloomberg 8TRA_EST.pdf, Cost of Revenue</t>
        </r>
      </text>
    </comment>
    <comment ref="E32" authorId="0">
      <text>
        <r>
          <rPr>
            <sz val="10"/>
            <rFont val="Arial"/>
            <family val="2"/>
          </rPr>
          <t xml:space="preserve">implied: gross profit less adjusted EBITDA (Bloomberg adjusted figures)</t>
        </r>
      </text>
    </comment>
    <comment ref="E35" authorId="0">
      <text>
        <r>
          <rPr>
            <sz val="10"/>
            <rFont val="Arial"/>
            <family val="2"/>
          </rPr>
          <t xml:space="preserve">D&amp;A = adjusted EBITDA less adjusted EBIT (Source: Bloomberg 8TRA_EST.pdf)</t>
        </r>
      </text>
    </comment>
    <comment ref="E40" authorId="0">
      <text>
        <r>
          <rPr>
            <sz val="10"/>
            <rFont val="Arial"/>
            <family val="2"/>
          </rPr>
          <t xml:space="preserve">Source: Bloomberg (capex excl. leased assets &amp; capitalized development) - forecast uses broader LSEG definition</t>
        </r>
      </text>
    </comment>
    <comment ref="F21" authorId="0">
      <text>
        <r>
          <rPr>
            <sz val="10"/>
            <rFont val="Arial"/>
            <family val="2"/>
          </rPr>
          <t xml:space="preserve">delta Working Capital (Source: Bloomberg Tearsheet 8TRA, WORKING_CAPITAL); volatile - avg not used directly</t>
        </r>
      </text>
    </comment>
    <comment ref="F27" authorId="0">
      <text>
        <r>
          <rPr>
            <sz val="10"/>
            <rFont val="Arial"/>
            <family val="2"/>
          </rPr>
          <t xml:space="preserve">Source: Bloomberg 8TRA_EST.pdf / Tearsheet, GAAP revenue</t>
        </r>
      </text>
    </comment>
    <comment ref="F29" authorId="0">
      <text>
        <r>
          <rPr>
            <sz val="10"/>
            <rFont val="Arial"/>
            <family val="2"/>
          </rPr>
          <t xml:space="preserve">Source: Bloomberg 8TRA_EST.pdf, Cost of Revenue</t>
        </r>
      </text>
    </comment>
    <comment ref="F32" authorId="0">
      <text>
        <r>
          <rPr>
            <sz val="10"/>
            <rFont val="Arial"/>
            <family val="2"/>
          </rPr>
          <t xml:space="preserve">implied: gross profit less adjusted EBITDA (Bloomberg adjusted figures)</t>
        </r>
      </text>
    </comment>
    <comment ref="F35" authorId="0">
      <text>
        <r>
          <rPr>
            <sz val="10"/>
            <rFont val="Arial"/>
            <family val="2"/>
          </rPr>
          <t xml:space="preserve">D&amp;A = adjusted EBITDA less adjusted EBIT (Source: Bloomberg 8TRA_EST.pdf)</t>
        </r>
      </text>
    </comment>
    <comment ref="F40" authorId="0">
      <text>
        <r>
          <rPr>
            <sz val="10"/>
            <rFont val="Arial"/>
            <family val="2"/>
          </rPr>
          <t xml:space="preserve">Source: Bloomberg (capex excl. leased assets &amp; capitalized development) - forecast uses broader LSEG definition</t>
        </r>
      </text>
    </comment>
    <comment ref="G21" authorId="0">
      <text>
        <r>
          <rPr>
            <sz val="10"/>
            <rFont val="Arial"/>
            <family val="2"/>
          </rPr>
          <t xml:space="preserve">delta Working Capital (Source: Bloomberg Tearsheet 8TRA, WORKING_CAPITAL); volatile - avg not used directly</t>
        </r>
      </text>
    </comment>
    <comment ref="G27" authorId="0">
      <text>
        <r>
          <rPr>
            <sz val="10"/>
            <rFont val="Arial"/>
            <family val="2"/>
          </rPr>
          <t xml:space="preserve">Source: Bloomberg 8TRA_EST.pdf / Tearsheet, GAAP revenue</t>
        </r>
      </text>
    </comment>
    <comment ref="G29" authorId="0">
      <text>
        <r>
          <rPr>
            <sz val="10"/>
            <rFont val="Arial"/>
            <family val="2"/>
          </rPr>
          <t xml:space="preserve">Source: Bloomberg 8TRA_EST.pdf, Cost of Revenue</t>
        </r>
      </text>
    </comment>
    <comment ref="G32" authorId="0">
      <text>
        <r>
          <rPr>
            <sz val="10"/>
            <rFont val="Arial"/>
            <family val="2"/>
          </rPr>
          <t xml:space="preserve">implied: gross profit less adjusted EBITDA (Bloomberg adjusted figures)</t>
        </r>
      </text>
    </comment>
    <comment ref="G35" authorId="0">
      <text>
        <r>
          <rPr>
            <sz val="10"/>
            <rFont val="Arial"/>
            <family val="2"/>
          </rPr>
          <t xml:space="preserve">D&amp;A = adjusted EBITDA less adjusted EBIT (Source: Bloomberg 8TRA_EST.pdf)</t>
        </r>
      </text>
    </comment>
    <comment ref="G40" authorId="0">
      <text>
        <r>
          <rPr>
            <sz val="10"/>
            <rFont val="Arial"/>
            <family val="2"/>
          </rPr>
          <t xml:space="preserve">Source: Bloomberg (capex excl. leased assets &amp; capitalized development) - forecast uses broader LSEG definition</t>
        </r>
      </text>
    </comment>
    <comment ref="H25" authorId="0">
      <text>
        <r>
          <rPr>
            <sz val="10"/>
            <rFont val="Arial"/>
            <family val="2"/>
          </rPr>
          <t xml:space="preserve">Discount period from 30/06/2026 to year-end cash flow date; 2026 only half of FCF remains (see factor in discounting row)</t>
        </r>
      </text>
    </comment>
    <comment ref="H27" authorId="0">
      <text>
        <r>
          <rPr>
            <sz val="10"/>
            <rFont val="Arial"/>
            <family val="2"/>
          </rPr>
          <t xml:space="preserve">Bloomberg consensus FY2026E (8TRA_EST.pdf, 03/07/2026); LSEG: 45,755 (-0.3%)</t>
        </r>
      </text>
    </comment>
    <comment ref="H29" authorId="0">
      <text>
        <r>
          <rPr>
            <sz val="10"/>
            <rFont val="Arial"/>
            <family val="2"/>
          </rPr>
          <t xml:space="preserve">via consensus gross profit 2026E EUR 8,950m (Bloomberg)</t>
        </r>
      </text>
    </comment>
    <comment ref="H32" authorId="0">
      <text>
        <r>
          <rPr>
            <sz val="10"/>
            <rFont val="Arial"/>
            <family val="2"/>
          </rPr>
          <t xml:space="preserve">via Bloomberg consensus EBITDA 2026E 5,719m; LSEG: 5,802m (+1.4%)</t>
        </r>
      </text>
    </comment>
    <comment ref="H35" authorId="0">
      <text>
        <r>
          <rPr>
            <sz val="10"/>
            <rFont val="Arial"/>
            <family val="2"/>
          </rPr>
          <t xml:space="preserve">via Bloomberg consensus EBIT 2026E 3,049m</t>
        </r>
      </text>
    </comment>
    <comment ref="H40" authorId="0">
      <text>
        <r>
          <rPr>
            <sz val="10"/>
            <rFont val="Arial"/>
            <family val="2"/>
          </rPr>
          <t xml:space="preserve">LSEG consensus CapEx 2026E (incl. capitalized dev. &amp; leased assets - consistent with D&amp;A basis)</t>
        </r>
      </text>
    </comment>
    <comment ref="H46" authorId="0">
      <text>
        <r>
          <rPr>
            <sz val="10"/>
            <rFont val="Arial"/>
            <family val="2"/>
          </rPr>
          <t xml:space="preserve">only 50% of FY2026 FCF remains after valuation date 30/06/2026</t>
        </r>
      </text>
    </comment>
    <comment ref="H48" authorId="0">
      <text>
        <r>
          <rPr>
            <sz val="10"/>
            <rFont val="Arial"/>
            <family val="2"/>
          </rPr>
          <t xml:space="preserve">Gordon growth TV as of end-2032</t>
        </r>
      </text>
    </comment>
    <comment ref="I25" authorId="0">
      <text>
        <r>
          <rPr>
            <sz val="10"/>
            <rFont val="Arial"/>
            <family val="2"/>
          </rPr>
          <t xml:space="preserve">Discount period from 30/06/2026 to year-end cash flow date; 2026 only half of FCF remains (see factor in discounting row)</t>
        </r>
      </text>
    </comment>
    <comment ref="I27" authorId="0">
      <text>
        <r>
          <rPr>
            <sz val="10"/>
            <rFont val="Arial"/>
            <family val="2"/>
          </rPr>
          <t xml:space="preserve">Bloomberg consensus FY2027E; LSEG: 48,661</t>
        </r>
      </text>
    </comment>
    <comment ref="I29" authorId="0">
      <text>
        <r>
          <rPr>
            <sz val="10"/>
            <rFont val="Arial"/>
            <family val="2"/>
          </rPr>
          <t xml:space="preserve">via consensus gross profit 2027E EUR 10,131m (Bloomberg)</t>
        </r>
      </text>
    </comment>
    <comment ref="I32" authorId="0">
      <text>
        <r>
          <rPr>
            <sz val="10"/>
            <rFont val="Arial"/>
            <family val="2"/>
          </rPr>
          <t xml:space="preserve">via Bloomberg consensus EBITDA 2027E 6,723m; LSEG: 6,746m</t>
        </r>
      </text>
    </comment>
    <comment ref="I35" authorId="0">
      <text>
        <r>
          <rPr>
            <sz val="10"/>
            <rFont val="Arial"/>
            <family val="2"/>
          </rPr>
          <t xml:space="preserve">via Bloomberg consensus EBIT 2027E 3,986m</t>
        </r>
      </text>
    </comment>
    <comment ref="I40" authorId="0">
      <text>
        <r>
          <rPr>
            <sz val="10"/>
            <rFont val="Arial"/>
            <family val="2"/>
          </rPr>
          <t xml:space="preserve">LSEG consensus CapEx 2027E</t>
        </r>
      </text>
    </comment>
    <comment ref="J25" authorId="0">
      <text>
        <r>
          <rPr>
            <sz val="10"/>
            <rFont val="Arial"/>
            <family val="2"/>
          </rPr>
          <t xml:space="preserve">Discount period from 30/06/2026 to year-end cash flow date; 2026 only half of FCF remains (see factor in discounting row)</t>
        </r>
      </text>
    </comment>
    <comment ref="J27" authorId="0">
      <text>
        <r>
          <rPr>
            <sz val="10"/>
            <rFont val="Arial"/>
            <family val="2"/>
          </rPr>
          <t xml:space="preserve">LSEG consensus FY2028E (TRATON_BUSINESSLINES_ESTIMATES.xlsx); Bloomberg has no FY+3</t>
        </r>
      </text>
    </comment>
    <comment ref="J29" authorId="0">
      <text>
        <r>
          <rPr>
            <sz val="10"/>
            <rFont val="Arial"/>
            <family val="2"/>
          </rPr>
          <t xml:space="preserve">via consensus gross income 2028E EUR 11,346m (LSEG)</t>
        </r>
      </text>
    </comment>
    <comment ref="J32" authorId="0">
      <text>
        <r>
          <rPr>
            <sz val="10"/>
            <rFont val="Arial"/>
            <family val="2"/>
          </rPr>
          <t xml:space="preserve">via LSEG consensus EBITDA 2028E 7,486m</t>
        </r>
      </text>
    </comment>
    <comment ref="J35" authorId="0">
      <text>
        <r>
          <rPr>
            <sz val="10"/>
            <rFont val="Arial"/>
            <family val="2"/>
          </rPr>
          <t xml:space="preserve">via LSEG consensus EBIT 2028E 4,529m</t>
        </r>
      </text>
    </comment>
    <comment ref="J40" authorId="0">
      <text>
        <r>
          <rPr>
            <sz val="10"/>
            <rFont val="Arial"/>
            <family val="2"/>
          </rPr>
          <t xml:space="preserve">LSEG consensus CapEx 2028E</t>
        </r>
      </text>
    </comment>
    <comment ref="K25" authorId="0">
      <text>
        <r>
          <rPr>
            <sz val="10"/>
            <rFont val="Arial"/>
            <family val="2"/>
          </rPr>
          <t xml:space="preserve">Discount period from 30/06/2026 to year-end cash flow date; 2026 only half of FCF remains (see factor in discounting row)</t>
        </r>
      </text>
    </comment>
    <comment ref="K28" authorId="0">
      <text>
        <r>
          <rPr>
            <sz val="10"/>
            <rFont val="Arial"/>
            <family val="2"/>
          </rPr>
          <t xml:space="preserve">Fade from consensus growth towards LT growth rate</t>
        </r>
      </text>
    </comment>
    <comment ref="K35" authorId="0">
      <text>
        <r>
          <rPr>
            <sz val="10"/>
            <rFont val="Arial"/>
            <family val="2"/>
          </rPr>
          <t xml:space="preserve">5.8% of revenue (converges to CapEx ratio)</t>
        </r>
      </text>
    </comment>
    <comment ref="L25" authorId="0">
      <text>
        <r>
          <rPr>
            <sz val="10"/>
            <rFont val="Arial"/>
            <family val="2"/>
          </rPr>
          <t xml:space="preserve">Discount period from 30/06/2026 to year-end cash flow date; 2026 only half of FCF remains (see factor in discounting row)</t>
        </r>
      </text>
    </comment>
    <comment ref="L28" authorId="0">
      <text>
        <r>
          <rPr>
            <sz val="10"/>
            <rFont val="Arial"/>
            <family val="2"/>
          </rPr>
          <t xml:space="preserve">Fade from consensus growth towards LT growth rate</t>
        </r>
      </text>
    </comment>
    <comment ref="L35" authorId="0">
      <text>
        <r>
          <rPr>
            <sz val="10"/>
            <rFont val="Arial"/>
            <family val="2"/>
          </rPr>
          <t xml:space="preserve">5.8% of revenue (converges to CapEx ratio)</t>
        </r>
      </text>
    </comment>
    <comment ref="M25" authorId="0">
      <text>
        <r>
          <rPr>
            <sz val="10"/>
            <rFont val="Arial"/>
            <family val="2"/>
          </rPr>
          <t xml:space="preserve">Discount period from 30/06/2026 to year-end cash flow date; 2026 only half of FCF remains (see factor in discounting row)</t>
        </r>
      </text>
    </comment>
    <comment ref="M28" authorId="0">
      <text>
        <r>
          <rPr>
            <sz val="10"/>
            <rFont val="Arial"/>
            <family val="2"/>
          </rPr>
          <t xml:space="preserve">Fade from consensus growth towards LT growth rate</t>
        </r>
      </text>
    </comment>
    <comment ref="M35" authorId="0">
      <text>
        <r>
          <rPr>
            <sz val="10"/>
            <rFont val="Arial"/>
            <family val="2"/>
          </rPr>
          <t xml:space="preserve">5.8% of revenue (converges to CapEx ratio)</t>
        </r>
      </text>
    </comment>
    <comment ref="N25" authorId="0">
      <text>
        <r>
          <rPr>
            <sz val="10"/>
            <rFont val="Arial"/>
            <family val="2"/>
          </rPr>
          <t xml:space="preserve">Discount period from 30/06/2026 to year-end cash flow date; 2026 only half of FCF remains (see factor in discounting row)</t>
        </r>
      </text>
    </comment>
    <comment ref="N28" authorId="0">
      <text>
        <r>
          <rPr>
            <sz val="10"/>
            <rFont val="Arial"/>
            <family val="2"/>
          </rPr>
          <t xml:space="preserve">Fade from consensus growth towards LT growth rate</t>
        </r>
      </text>
    </comment>
    <comment ref="N35" authorId="0">
      <text>
        <r>
          <rPr>
            <sz val="10"/>
            <rFont val="Arial"/>
            <family val="2"/>
          </rPr>
          <t xml:space="preserve">5.8% of revenue (converges to CapEx ratio)</t>
        </r>
      </text>
    </comment>
    <comment ref="P25" authorId="0">
      <text>
        <r>
          <rPr>
            <sz val="10"/>
            <rFont val="Arial"/>
            <family val="2"/>
          </rPr>
          <t xml:space="preserve">TV discounted from end-2032</t>
        </r>
      </text>
    </comment>
    <comment ref="P40" authorId="0">
      <text>
        <r>
          <rPr>
            <sz val="10"/>
            <rFont val="Arial"/>
            <family val="2"/>
          </rPr>
          <t xml:space="preserve">TV: CapEx = Depreciation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Valuation Team</author>
  </authors>
  <commentList>
    <comment ref="C4" authorId="0">
      <text>
        <r>
          <rPr>
            <sz val="10"/>
            <rFont val="Arial"/>
            <family val="2"/>
          </rPr>
          <t xml:space="preserve">10Y German Bund yield as of 30/06/2026 (~2.9%; early July 2026: 2.93%. Source: TradingEconomics/Bundesbank)</t>
        </r>
      </text>
    </comment>
    <comment ref="C7" authorId="0">
      <text>
        <r>
          <rPr>
            <sz val="10"/>
            <rFont val="Arial"/>
            <family val="2"/>
          </rPr>
          <t xml:space="preserve">re-levered to Traton industrial target D/E</t>
        </r>
      </text>
    </comment>
    <comment ref="C13" authorId="0">
      <text>
        <r>
          <rPr>
            <sz val="10"/>
            <rFont val="Arial"/>
            <family val="2"/>
          </rPr>
          <t xml:space="preserve">Traton 5Y CDS 95bp (Bloomberg XCVA_TRATON CompVal); S&amp;P BBB</t>
        </r>
      </text>
    </comment>
    <comment ref="C24" authorId="0">
      <text>
        <r>
          <rPr>
            <sz val="10"/>
            <rFont val="Arial"/>
            <family val="2"/>
          </rPr>
          <t xml:space="preserve">500m shares x EUR 33.18 (close 30/06/2026, PRICE_HISTORY_HARDCOPY.xlsx)</t>
        </r>
      </text>
    </comment>
    <comment ref="C25" authorId="0">
      <text>
        <r>
          <rPr>
            <sz val="10"/>
            <rFont val="Arial"/>
            <family val="2"/>
          </rPr>
          <t xml:space="preserve">Industrial net debt: TRATON Operations incl. Corporate Items (AR 2025 p.62: -2,511+7,673). Bloomberg EV-adjusted alternative: 4,009. FS debt (19.3bn) treated as operating - funds FS receivables (17.9bn)</t>
        </r>
      </text>
    </comment>
    <comment ref="G6" authorId="0">
      <text>
        <r>
          <rPr>
            <sz val="10"/>
            <rFont val="Arial"/>
            <family val="2"/>
          </rPr>
          <t xml:space="preserve">Peer average unlevered beta (Volvo, Daimler Truck)</t>
        </r>
      </text>
    </comment>
    <comment ref="H3" authorId="0">
      <text>
        <r>
          <rPr>
            <sz val="10"/>
            <rFont val="Arial"/>
            <family val="2"/>
          </rPr>
          <t xml:space="preserve">Raw beta 5Y monthly 0.88 (Yahoo Finance/Investing.com, Jul 2026), Bloomberg-adjusted: 0.67x0.88+0.33</t>
        </r>
      </text>
    </comment>
    <comment ref="H4" authorId="0">
      <text>
        <r>
          <rPr>
            <sz val="10"/>
            <rFont val="Arial"/>
            <family val="2"/>
          </rPr>
          <t xml:space="preserve">Raw beta 5Y monthly 0.91 (Yahoo Finance/Investing.com, Jul 2026), adjusted: 0.67x0.91+0.33</t>
        </r>
      </text>
    </comment>
    <comment ref="H5" authorId="0">
      <text>
        <r>
          <rPr>
            <sz val="10"/>
            <rFont val="Arial"/>
            <family val="2"/>
          </rPr>
          <t xml:space="preserve">Traton raw beta 5Y monthly 1.35 (Yahoo Finance), adjusted 1.23; low free float (12.5%) limits reliability - peer approach preferred</t>
        </r>
      </text>
    </comment>
    <comment ref="I3" authorId="0">
      <text>
        <r>
          <rPr>
            <sz val="10"/>
            <rFont val="Arial"/>
            <family val="2"/>
          </rPr>
          <t xml:space="preserve">Industrial net cash SEKm (Bloomberg XCVA CompVal: Net Debt/EBITDA -0.63 x LTM EBITDA 69,470). Ratio to equity is currency-independent</t>
        </r>
      </text>
    </comment>
    <comment ref="I4" authorId="0">
      <text>
        <r>
          <rPr>
            <sz val="10"/>
            <rFont val="Arial"/>
            <family val="2"/>
          </rPr>
          <t xml:space="preserve">Industrial net cash EURm (Bloomberg XCVA CompVal: Net Debt/EBITDA -2.26 x LTM EBITDA 4,049)</t>
        </r>
      </text>
    </comment>
    <comment ref="J3" authorId="0">
      <text>
        <r>
          <rPr>
            <sz val="10"/>
            <rFont val="Arial"/>
            <family val="2"/>
          </rPr>
          <t xml:space="preserve">Swedish statutory corporate tax rate 20.6%</t>
        </r>
      </text>
    </comment>
    <comment ref="J4" authorId="0">
      <text>
        <r>
          <rPr>
            <sz val="10"/>
            <rFont val="Arial"/>
            <family val="2"/>
          </rPr>
          <t xml:space="preserve">German statutory rate (KPMG table, per template)</t>
        </r>
      </text>
    </comment>
    <comment ref="K3" authorId="0">
      <text>
        <r>
          <rPr>
            <sz val="10"/>
            <rFont val="Arial"/>
            <family val="2"/>
          </rPr>
          <t xml:space="preserve">Market cap SEKm (Bloomberg XCVA CompVal, Jul 2026)</t>
        </r>
      </text>
    </comment>
    <comment ref="K4" authorId="0">
      <text>
        <r>
          <rPr>
            <sz val="10"/>
            <rFont val="Arial"/>
            <family val="2"/>
          </rPr>
          <t xml:space="preserve">Market cap EURm (Bloomberg XCVA CompVal)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Valuation Team</author>
  </authors>
  <commentList>
    <comment ref="C6" authorId="0">
      <text>
        <r>
          <rPr>
            <sz val="10"/>
            <rFont val="Arial"/>
            <family val="2"/>
          </rPr>
          <t xml:space="preserve">Gross liquidity TRATON Operations incl. Corporate Items: 8,828 - 6,551 (AR 2025 p.62, 31/12/2025). FS liquidity excluded (FS treated as operating)</t>
        </r>
      </text>
    </comment>
    <comment ref="C7" authorId="0">
      <text>
        <r>
          <rPr>
            <sz val="10"/>
            <rFont val="Arial"/>
            <family val="2"/>
          </rPr>
          <t xml:space="preserve">Third-party borrowings Operations 6,317 + Corporate Items 1,122 (AR 2025 p.62). FS debt 19,952 excluded - funds FS receivables 17,906 (captive finance). Net industrial debt = 5,162</t>
        </r>
      </text>
    </comment>
    <comment ref="C8" authorId="0">
      <text>
        <r>
          <rPr>
            <sz val="10"/>
            <rFont val="Arial"/>
            <family val="2"/>
          </rPr>
          <t xml:space="preserve">Provisions for pensions and other post-employment benefits, group (AR 2025 p.65)</t>
        </r>
      </text>
    </comment>
    <comment ref="C9" authorId="0">
      <text>
        <r>
          <rPr>
            <sz val="10"/>
            <rFont val="Arial"/>
            <family val="2"/>
          </rPr>
          <t xml:space="preserve">Minority interest, book value (Bloomberg)</t>
        </r>
      </text>
    </comment>
    <comment ref="C10" authorId="0">
      <text>
        <r>
          <rPr>
            <sz val="10"/>
            <rFont val="Arial"/>
            <family val="2"/>
          </rPr>
          <t xml:space="preserve">No preferred stock outstanding</t>
        </r>
      </text>
    </comment>
    <comment ref="C13" authorId="0">
      <text>
        <r>
          <rPr>
            <sz val="10"/>
            <rFont val="Arial"/>
            <family val="2"/>
          </rPr>
          <t xml:space="preserve">500,000,000 ordinary shares (Traton factsheet)</t>
        </r>
      </text>
    </comment>
    <comment ref="C16" authorId="0">
      <text>
        <r>
          <rPr>
            <sz val="10"/>
            <rFont val="Arial"/>
            <family val="2"/>
          </rPr>
          <t xml:space="preserve">Close 30/06/2026 (PRICE_HISTORY_HARDCOPY.xlsx); factsheet mkt cap 16.15bn per 29/06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Valuation Team</author>
  </authors>
  <commentList>
    <comment ref="C10" authorId="0">
      <text>
        <r>
          <rPr>
            <sz val="10"/>
            <rFont val="Arial"/>
            <family val="2"/>
          </rPr>
          <t xml:space="preserve">SEK converted at EUR/SEK 11.02 (LSEG-implied, 03/07/2026; ECB ~11.09 on 30/06). Source: Bloomberg XCVA CompVal / VOLVO_EST.pdf, adjusted figures. EV Bloomberg-adjusted (industrial net cash)</t>
        </r>
      </text>
    </comment>
    <comment ref="C11" authorId="0">
      <text>
        <r>
          <rPr>
            <sz val="10"/>
            <rFont val="Arial"/>
            <family val="2"/>
          </rPr>
          <t xml:space="preserve">Source: Bloomberg XCVA CompVal / DAIMLER_EST.pdf (EUR, adjusted). EV Bloomberg-adjusted (excl. FS debt)</t>
        </r>
      </text>
    </comment>
    <comment ref="C12" authorId="0">
      <text>
        <r>
          <rPr>
            <sz val="10"/>
            <rFont val="Arial"/>
            <family val="2"/>
          </rPr>
          <t xml:space="preserve">Source: Bloomberg XCVA CompVal. Caution: EV heavily reduced by industrial net cash - multiples not meaningful; excluded from football-field range and EV/EBIT stats</t>
        </r>
      </text>
    </comment>
    <comment ref="C18" authorId="0">
      <text>
        <r>
          <rPr>
            <sz val="10"/>
            <rFont val="Arial"/>
            <family val="2"/>
          </rPr>
          <t xml:space="preserve">Traton current EV, Bloomberg-adjusted (mkt cap 16,750 + adj. net debt 4,009); shown for comparison</t>
        </r>
      </text>
    </comment>
    <comment ref="C34" authorId="0">
      <text>
        <r>
          <rPr>
            <sz val="10"/>
            <rFont val="Arial"/>
            <family val="2"/>
          </rPr>
          <t xml:space="preserve">P/E FY+1 from Bloomberg CompVal: Volvo 15.4x, DTG 12.8x; Traton adj. EPS 2026E 4.20</t>
        </r>
      </text>
    </comment>
    <comment ref="D18" authorId="0">
      <text>
        <r>
          <rPr>
            <sz val="10"/>
            <rFont val="Arial"/>
            <family val="2"/>
          </rPr>
          <t xml:space="preserve">Bloomberg adjusted figures (8TRA_EST.pdf); LSEG deviates &lt;2% (see Data Notes sheet)</t>
        </r>
      </text>
    </comment>
    <comment ref="P18" authorId="0">
      <text>
        <r>
          <rPr>
            <sz val="10"/>
            <rFont val="Arial"/>
            <family val="2"/>
          </rPr>
          <t xml:space="preserve">Implied EV = peer MEDIAN multiple x Traton metric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Valuation Team</author>
  </authors>
  <commentList>
    <comment ref="J4" authorId="0">
      <text>
        <r>
          <rPr>
            <sz val="10"/>
            <rFont val="Arial"/>
            <family val="2"/>
          </rPr>
          <t xml:space="preserve">Bloomberg Tearsheet 8TRA, 52w range</t>
        </r>
      </text>
    </comment>
    <comment ref="J5" authorId="0">
      <text>
        <r>
          <rPr>
            <sz val="10"/>
            <rFont val="Arial"/>
            <family val="2"/>
          </rPr>
          <t xml:space="preserve">Bloomberg Tearsheet: 23 analysts, targets 23-48, avg 34.4</t>
        </r>
      </text>
    </comment>
    <comment ref="J6" authorId="0">
      <text>
        <r>
          <rPr>
            <sz val="10"/>
            <rFont val="Arial"/>
            <family val="2"/>
          </rPr>
          <t xml:space="preserve">low: WACC 7.5%, g 1.0%</t>
        </r>
      </text>
    </comment>
    <comment ref="J7" authorId="0">
      <text>
        <r>
          <rPr>
            <sz val="10"/>
            <rFont val="Arial"/>
            <family val="2"/>
          </rPr>
          <t xml:space="preserve">low: Daimler Truck EV/EBITDA FY+1</t>
        </r>
      </text>
    </comment>
    <comment ref="L6" authorId="0">
      <text>
        <r>
          <rPr>
            <sz val="10"/>
            <rFont val="Arial"/>
            <family val="2"/>
          </rPr>
          <t xml:space="preserve">high: WACC 6.5%, g 2.0%</t>
        </r>
      </text>
    </comment>
    <comment ref="L7" authorId="0">
      <text>
        <r>
          <rPr>
            <sz val="10"/>
            <rFont val="Arial"/>
            <family val="2"/>
          </rPr>
          <t xml:space="preserve">high: Volvo EV/EBITDA FY+1</t>
        </r>
      </text>
    </comment>
    <comment ref="N4" authorId="0">
      <text>
        <r>
          <rPr>
            <sz val="10"/>
            <rFont val="Arial"/>
            <family val="2"/>
          </rPr>
          <t xml:space="preserve">PRICE_HISTORY_HARDCOPY.xlsx, 30/06/2026</t>
        </r>
      </text>
    </comment>
  </commentList>
</comments>
</file>

<file path=xl/sharedStrings.xml><?xml version="1.0" encoding="utf-8"?>
<sst xmlns="http://schemas.openxmlformats.org/spreadsheetml/2006/main" count="274" uniqueCount="179">
  <si>
    <t xml:space="preserve">Assumptions and important ratios</t>
  </si>
  <si>
    <t xml:space="preserve">Tax rate:</t>
  </si>
  <si>
    <t xml:space="preserve">LT growth rate</t>
  </si>
  <si>
    <t xml:space="preserve">Revenue growth rate</t>
  </si>
  <si>
    <t xml:space="preserve">26-28: analyst consensus; then fade (row 28)</t>
  </si>
  <si>
    <t xml:space="preserve">COGS / Revenue</t>
  </si>
  <si>
    <t xml:space="preserve">General Cost growth rate</t>
  </si>
  <si>
    <t xml:space="preserve">WACC</t>
  </si>
  <si>
    <t xml:space="preserve">Annual Capex / Revenue</t>
  </si>
  <si>
    <t xml:space="preserve">Avg delta NWC</t>
  </si>
  <si>
    <t xml:space="preserve">Valuation date</t>
  </si>
  <si>
    <t xml:space="preserve">Assumptions (you can instead always use analyst FC)</t>
  </si>
  <si>
    <t xml:space="preserve">Average</t>
  </si>
  <si>
    <t xml:space="preserve">Revenue growth rate (historical)</t>
  </si>
  <si>
    <t xml:space="preserve">COGS / Revenue growth rate</t>
  </si>
  <si>
    <t xml:space="preserve">SG&amp;A / Revenue</t>
  </si>
  <si>
    <t xml:space="preserve">CapEx / Revenue</t>
  </si>
  <si>
    <t xml:space="preserve">Depreciation / Revenue</t>
  </si>
  <si>
    <t xml:space="preserve">Depreciation / CapEx</t>
  </si>
  <si>
    <t xml:space="preserve">delta NWC / Revenue</t>
  </si>
  <si>
    <t xml:space="preserve">Free Cash Flow Calculation</t>
  </si>
  <si>
    <t xml:space="preserve">Historical</t>
  </si>
  <si>
    <t xml:space="preserve">Forecast</t>
  </si>
  <si>
    <t xml:space="preserve">TV</t>
  </si>
  <si>
    <t xml:space="preserve">In EURm</t>
  </si>
  <si>
    <t xml:space="preserve">…</t>
  </si>
  <si>
    <t xml:space="preserve">year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</si>
  <si>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</si>
  <si>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</si>
  <si>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</si>
  <si>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</si>
  <si>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</si>
  <si>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</si>
  <si>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2032E</t>
  </si>
  <si>
    <t xml:space="preserve">Revenue</t>
  </si>
  <si>
    <t xml:space="preserve">Revenue Growth (in %)</t>
  </si>
  <si>
    <t xml:space="preserve">COGS</t>
  </si>
  <si>
    <t xml:space="preserve">Gross Profit</t>
  </si>
  <si>
    <t xml:space="preserve">Gross Profit as % of Revenue</t>
  </si>
  <si>
    <t xml:space="preserve">SG&amp;A</t>
  </si>
  <si>
    <t xml:space="preserve">EBITDA</t>
  </si>
  <si>
    <t xml:space="preserve">EBITDA % margin</t>
  </si>
  <si>
    <t xml:space="preserve">Depreciation</t>
  </si>
  <si>
    <t xml:space="preserve">EBIT</t>
  </si>
  <si>
    <t xml:space="preserve">EBIT % margin</t>
  </si>
  <si>
    <t xml:space="preserve">Taxes paid</t>
  </si>
  <si>
    <t xml:space="preserve">Net Income</t>
  </si>
  <si>
    <t xml:space="preserve">CapEx</t>
  </si>
  <si>
    <t xml:space="preserve">delta Net Working Capital</t>
  </si>
  <si>
    <t xml:space="preserve">Free Cash Flow</t>
  </si>
  <si>
    <t xml:space="preserve">Discounted CF</t>
  </si>
  <si>
    <t xml:space="preserve">Sum of discounted CF</t>
  </si>
  <si>
    <t xml:space="preserve">Terminal value</t>
  </si>
  <si>
    <t xml:space="preserve">Discounted TV</t>
  </si>
  <si>
    <t xml:space="preserve">Firm Value</t>
  </si>
  <si>
    <t xml:space="preserve">Firm value sensitivity analysis</t>
  </si>
  <si>
    <t xml:space="preserve">Equity value sensitivity analysis</t>
  </si>
  <si>
    <t xml:space="preserve">WACC / LTG</t>
  </si>
  <si>
    <t xml:space="preserve">Cost of Equity:</t>
  </si>
  <si>
    <t xml:space="preserve">Peer</t>
  </si>
  <si>
    <t xml:space="preserve">Adj. Beta</t>
  </si>
  <si>
    <t xml:space="preserve">Net debt</t>
  </si>
  <si>
    <t xml:space="preserve">Tax-rate</t>
  </si>
  <si>
    <t xml:space="preserve">Equity</t>
  </si>
  <si>
    <t xml:space="preserve">D/E</t>
  </si>
  <si>
    <t xml:space="preserve">Unlevered Beta</t>
  </si>
  <si>
    <t xml:space="preserve">Volvo AB (B)</t>
  </si>
  <si>
    <t xml:space="preserve">Risk-free rate</t>
  </si>
  <si>
    <t xml:space="preserve">Daimler Truck</t>
  </si>
  <si>
    <t xml:space="preserve">Equity market premium (Germany):</t>
  </si>
  <si>
    <t xml:space="preserve">(Traton own, memo)</t>
  </si>
  <si>
    <t xml:space="preserve">Debt / Capital Ratio</t>
  </si>
  <si>
    <t xml:space="preserve">Peer average</t>
  </si>
  <si>
    <t xml:space="preserve">Re-levered beta:</t>
  </si>
  <si>
    <t xml:space="preserve">Cost of Equity (CAPM):</t>
  </si>
  <si>
    <t xml:space="preserve">Cost of Debt: </t>
  </si>
  <si>
    <t xml:space="preserve">CDS spread (5Y)</t>
  </si>
  <si>
    <t xml:space="preserve">Pre-tax cost of debt</t>
  </si>
  <si>
    <t xml:space="preserve">Tax rate</t>
  </si>
  <si>
    <t xml:space="preserve">After-tax cost of debt</t>
  </si>
  <si>
    <t xml:space="preserve">WACC:</t>
  </si>
  <si>
    <t xml:space="preserve">Equity market value</t>
  </si>
  <si>
    <t xml:space="preserve">Net debt incl. EV adj.</t>
  </si>
  <si>
    <t xml:space="preserve">Debt / Capital</t>
  </si>
  <si>
    <t xml:space="preserve">Equity / Capital</t>
  </si>
  <si>
    <t xml:space="preserve">Target D/E</t>
  </si>
  <si>
    <t xml:space="preserve">Equity Bridge:</t>
  </si>
  <si>
    <t xml:space="preserve">+ Cash &amp; Securities</t>
  </si>
  <si>
    <t xml:space="preserve">- Debt</t>
  </si>
  <si>
    <t xml:space="preserve">- Pensions</t>
  </si>
  <si>
    <t xml:space="preserve">- Minority Interest</t>
  </si>
  <si>
    <t xml:space="preserve">- Value of Preferred Stocks</t>
  </si>
  <si>
    <t xml:space="preserve">Equity Value</t>
  </si>
  <si>
    <t xml:space="preserve">Number of outstanding shares (in m)</t>
  </si>
  <si>
    <t xml:space="preserve">Implied share price</t>
  </si>
  <si>
    <t xml:space="preserve">Current share price (30.06.2026)</t>
  </si>
  <si>
    <t xml:space="preserve">Implied upside</t>
  </si>
  <si>
    <t xml:space="preserve">Financial Data</t>
  </si>
  <si>
    <t xml:space="preserve">Valuation</t>
  </si>
  <si>
    <t xml:space="preserve">EV</t>
  </si>
  <si>
    <t xml:space="preserve">EV/EBITDA</t>
  </si>
  <si>
    <t xml:space="preserve">EV/Revenue</t>
  </si>
  <si>
    <t xml:space="preserve">EV/EBIT</t>
  </si>
  <si>
    <t xml:space="preserve">Company Name</t>
  </si>
  <si>
    <t xml:space="preserve">(€M)</t>
  </si>
  <si>
    <t xml:space="preserve">x</t>
  </si>
  <si>
    <t xml:space="preserve">LFY</t>
  </si>
  <si>
    <t xml:space="preserve">LTM</t>
  </si>
  <si>
    <t xml:space="preserve">FY+1</t>
  </si>
  <si>
    <t xml:space="preserve">FY+2</t>
  </si>
  <si>
    <t xml:space="preserve">Iveco Group</t>
  </si>
  <si>
    <t xml:space="preserve">n/a</t>
  </si>
  <si>
    <t xml:space="preserve">Implied Enterprise value</t>
  </si>
  <si>
    <t xml:space="preserve">Traton</t>
  </si>
  <si>
    <t xml:space="preserve">Comparison: Company vs. Peer Group</t>
  </si>
  <si>
    <t xml:space="preserve">Quartile 1</t>
  </si>
  <si>
    <t xml:space="preserve">Median</t>
  </si>
  <si>
    <t xml:space="preserve">Quartile 3</t>
  </si>
  <si>
    <t xml:space="preserve">Implied equity value per share (equity bridge: net adjustments -6,809 EURm)</t>
  </si>
  <si>
    <t xml:space="preserve">EV/EBITDA FY+1 (median)</t>
  </si>
  <si>
    <t xml:space="preserve">EV/EBITDA FY+2 (median)</t>
  </si>
  <si>
    <t xml:space="preserve">EV/Revenue FY+1 (median)</t>
  </si>
  <si>
    <t xml:space="preserve">EV/EBIT FY+1 (median)</t>
  </si>
  <si>
    <t xml:space="preserve">P/E FY+1 (peer median x Traton EPS 2026E)</t>
  </si>
  <si>
    <t xml:space="preserve">Valuation </t>
  </si>
  <si>
    <t xml:space="preserve">low </t>
  </si>
  <si>
    <t xml:space="preserve">diff</t>
  </si>
  <si>
    <t xml:space="preserve">high </t>
  </si>
  <si>
    <t xml:space="preserve">Current price (30/06/2026)</t>
  </si>
  <si>
    <t xml:space="preserve">52-week trading range</t>
  </si>
  <si>
    <t xml:space="preserve">Analyst price targets</t>
  </si>
  <si>
    <t xml:space="preserve">DCF (WACC 6.5-7.5%, g 1.0-2.0%)</t>
  </si>
  <si>
    <t xml:space="preserve">Multiples (EV/EBITDA FY+1, DTG-Volvo)</t>
  </si>
  <si>
    <t xml:space="preserve">Supplementary data notes for additional questions A.1-A.3</t>
  </si>
  <si>
    <t xml:space="preserve">A.1 - Debt structure across peers (EURm unless noted)</t>
  </si>
  <si>
    <t xml:space="preserve">Volvo (SEKm)</t>
  </si>
  <si>
    <t xml:space="preserve">Total debt (incl. Financial Services)</t>
  </si>
  <si>
    <t xml:space="preserve">Cash &amp; equivalents</t>
  </si>
  <si>
    <t xml:space="preserve">Net debt, total group</t>
  </si>
  <si>
    <t xml:space="preserve">Net debt, industrial (Bloomberg EV-adj.)</t>
  </si>
  <si>
    <t xml:space="preserve">FS receivables funded by FS debt</t>
  </si>
  <si>
    <t xml:space="preserve">large</t>
  </si>
  <si>
    <t xml:space="preserve">Net debt / EBITDA (industrial, LTM)</t>
  </si>
  <si>
    <t xml:space="preserve">Note: all three oems run captive finance units. traton is the only one with industrial net debt (navistar acquisition 2021, debt-financed); volvo and daimler truck hold industrial net cash. unadjusted evs would overstate traton ev by ~22bn; bloomberg-adjusted evs used throughout.</t>
  </si>
  <si>
    <t xml:space="preserve">A.2 - Business line evidence (LSEG segment data / factsheet, FY2025, EURm)</t>
  </si>
  <si>
    <t xml:space="preserve">Op. profit</t>
  </si>
  <si>
    <t xml:space="preserve">RoS adj.</t>
  </si>
  <si>
    <t xml:space="preserve">Scania Vehicles &amp; Services</t>
  </si>
  <si>
    <t xml:space="preserve">10.7%</t>
  </si>
  <si>
    <t xml:space="preserve">MAN Truck &amp; Bus</t>
  </si>
  <si>
    <t xml:space="preserve">6.4%</t>
  </si>
  <si>
    <t xml:space="preserve">International Motors</t>
  </si>
  <si>
    <t xml:space="preserve">0.1%</t>
  </si>
  <si>
    <t xml:space="preserve">Volkswagen Truck &amp; Bus</t>
  </si>
  <si>
    <t xml:space="preserve">11.7%</t>
  </si>
  <si>
    <t xml:space="preserve">TRATON Financial Services</t>
  </si>
  <si>
    <t xml:space="preserve">8.2%</t>
  </si>
  <si>
    <t xml:space="preserve">Note: synergy levers: traton modular system (common base engine, shared powertrains scania-&gt;man/international), centralized r&amp;d since 2025 reorganization (segment figures restated), joint procurement, one group-wide fs captive, milence charging jv. margin spread scania 10.7% vs international 0.1% shows integration potential not yet realized.</t>
  </si>
  <si>
    <t xml:space="preserve">A.3 - Bloomberg vs. LSEG consensus, Traton (EURm)</t>
  </si>
  <si>
    <t xml:space="preserve">Bloomberg</t>
  </si>
  <si>
    <t xml:space="preserve">LSEG</t>
  </si>
  <si>
    <t xml:space="preserve">Delta</t>
  </si>
  <si>
    <t xml:space="preserve">Revenue 2026E</t>
  </si>
  <si>
    <t xml:space="preserve">-0.3%</t>
  </si>
  <si>
    <t xml:space="preserve">Revenue 2027E</t>
  </si>
  <si>
    <t xml:space="preserve">-0.6%</t>
  </si>
  <si>
    <t xml:space="preserve">EBITDA 2026E</t>
  </si>
  <si>
    <t xml:space="preserve">+1.4%</t>
  </si>
  <si>
    <t xml:space="preserve">EBITDA 2027E</t>
  </si>
  <si>
    <t xml:space="preserve">+0.3%</t>
  </si>
  <si>
    <t xml:space="preserve">EPS 2026E</t>
  </si>
  <si>
    <t xml:space="preserve">+0.5%</t>
  </si>
  <si>
    <t xml:space="preserve">Net debt 2026E</t>
  </si>
  <si>
    <t xml:space="preserve">4,009 (industrial)</t>
  </si>
  <si>
    <t xml:space="preserve">15,601 (group def.)</t>
  </si>
  <si>
    <t xml:space="preserve">n/m</t>
  </si>
  <si>
    <t xml:space="preserve">Note: p&amp;l consensus differs by &lt;2% (different contributor panels / adjustment logic) - negligible for multiples. debt/ev definitions differ massively (treatment of financial services): the net debt definition moves implied equity value by &gt;10 eur/share - this, not p&amp;l data, is the decisive data issue.</t>
  </si>
  <si>
    <t xml:space="preserve">Sources used</t>
  </si>
  <si>
    <t xml:space="preserve">Bloomberg: XCVA_TRATON (CompVal), XCSF Tearsheets, 8TRA/VOLVO/DAIMLER_EST.pdf (03/07/2026); LSEG business-line estimates (03/07/2026); Traton AR 2025 (p.62/65), factsheet 29/06/2026; PRICE_HISTORY (30/06/2026); Yahoo Finance betas; Bundesbank/TradingEconomics 10Y Bund ~2.9%; EUR/SEK 11.02 (LSEG-implied; ECB 11.09).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</si>
</sst>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0.0%"/>
    <numFmt numFmtId="166" formatCode="m/d/yyyy"/>
    <numFmt numFmtId="167" formatCode="0.00"/>
    <numFmt numFmtId="168" formatCode="#,##0;\(#,##0\)"/>
    <numFmt numFmtId="169" formatCode="0.0"/>
    <numFmt numFmtId="170" formatCode="_-* #,##0.00_-;\-* #,##0.00_-;_-* \-??_-;_-@_-"/>
    <numFmt numFmtId="171" formatCode="0.00%"/>
    <numFmt numFmtId="172" formatCode="_-* #,##0.00\ _€_-;\-* #,##0.00\ _€_-;_-* \-??\ _€_-;_-@_-"/>
    <numFmt numFmtId="173" formatCode="_-* #,##0_-;\(#,##0\)_-;_-* \-_-;_-@_-"/>
    <numFmt numFmtId="174" formatCode="_-* #,##0.00_-;\(#,##0.00\)_-;_-* \-_-;_-@_-"/>
    <numFmt numFmtId="175" formatCode="#,##0.000_);\(#,##0.000\)"/>
    <numFmt numFmtId="176" formatCode="_-* #,##0.00&quot; €&quot;_-;\-* #,##0.00&quot; €&quot;_-;_-* \-??&quot; €&quot;_-;_-@_-"/>
    <numFmt numFmtId="177" formatCode="#,##0.00_);\(#,##0.00\)"/>
    <numFmt numFmtId="178" formatCode="0%"/>
    <numFmt numFmtId="179" formatCode="0.000"/>
    <numFmt numFmtId="180" formatCode="0.00E+00"/>
    <numFmt numFmtId="181" formatCode="0.0\x"/>
    <numFmt numFmtId="182" formatCode="#,##0.00"/>
    <numFmt numFmtId="183" formatCode="0.00\x"/>
    <numFmt numFmtId="184" formatCode="#,##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0"/>
      <name val="Arial"/>
      <family val="2"/>
    </font>
    <font>
      <sz val="9"/>
      <name val="Calibri"/>
      <family val="2"/>
      <charset val="1"/>
    </font>
    <font>
      <i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1"/>
      <name val="Calibri Light"/>
      <family val="2"/>
      <charset val="1"/>
    </font>
    <font>
      <b val="true"/>
      <sz val="11"/>
      <name val="Calibri Light"/>
      <family val="2"/>
      <charset val="1"/>
    </font>
    <font>
      <i val="true"/>
      <sz val="9"/>
      <name val="Calibri Light"/>
      <family val="2"/>
      <charset val="1"/>
    </font>
    <font>
      <b val="true"/>
      <sz val="9"/>
      <name val="Calibri"/>
      <family val="2"/>
      <charset val="1"/>
    </font>
    <font>
      <i val="true"/>
      <sz val="9"/>
      <name val="Calibri"/>
      <family val="2"/>
      <charset val="1"/>
    </font>
    <font>
      <sz val="9"/>
      <color rgb="FF0000FF"/>
      <name val="Calibri"/>
      <family val="2"/>
      <charset val="1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9"/>
      <color rgb="FF595959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1F7EC"/>
      </patternFill>
    </fill>
    <fill>
      <patternFill patternType="solid">
        <fgColor theme="9" tint="0.7999"/>
        <bgColor rgb="FFDBECD0"/>
      </patternFill>
    </fill>
    <fill>
      <patternFill patternType="solid">
        <fgColor theme="9" tint="0.8999"/>
        <bgColor rgb="FFF0F7EC"/>
      </patternFill>
    </fill>
    <fill>
      <patternFill patternType="solid">
        <fgColor theme="9" tint="0.7499"/>
        <bgColor rgb="FFE2F0D9"/>
      </patternFill>
    </fill>
    <fill>
      <patternFill patternType="solid">
        <fgColor rgb="FFF0F7EC"/>
        <bgColor rgb="FFF1F7E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thin"/>
      <top/>
      <bottom style="double"/>
      <diagonal/>
    </border>
    <border diagonalUp="false" diagonalDown="false">
      <left style="thin"/>
      <right/>
      <top/>
      <bottom style="double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center" textRotation="9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5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6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5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6" fillId="2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5" fillId="2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7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2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4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2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9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9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9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2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7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9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9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9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3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2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2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23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3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2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1" fontId="9" fillId="2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9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9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2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2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2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1" fontId="9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9999FF"/>
      <rgbColor rgb="FF993366"/>
      <rgbColor rgb="FFF1F7EC"/>
      <rgbColor rgb="FFE2F0D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7EC"/>
      <rgbColor rgb="FFDBEC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Football Field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'Football-Field'!$J$3</c:f>
              <c:strCache>
                <c:ptCount val="1"/>
                <c:pt idx="0">
                  <c:v>low 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9600" tIns="18000" rIns="39600" bIns="180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'Football-Field'!$I$4:$I$7</c:f>
              <c:strCache>
                <c:ptCount val="4"/>
                <c:pt idx="0">
                  <c:v>Placeholder1</c:v>
                </c:pt>
                <c:pt idx="1">
                  <c:v>Placeholder2</c:v>
                </c:pt>
                <c:pt idx="2">
                  <c:v>Placeholder3</c:v>
                </c:pt>
                <c:pt idx="3">
                  <c:v>Placeholder4</c:v>
                </c:pt>
              </c:strCache>
            </c:strRef>
          </c:cat>
          <c:val>
            <c:numRef>
              <c:f>'Football-Field'!$J$4:$J$7</c:f>
              <c:numCache>
                <c:formatCode>0.00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2AFB-4701-8133-A3A7F9BFE9BE}"/>
            </c:ext>
          </c:extLst>
        </c:ser>
        <c:ser>
          <c:idx val="1"/>
          <c:order val="1"/>
          <c:tx>
            <c:strRef>
              <c:f>'Football-Field'!$K$3</c:f>
              <c:strCache>
                <c:ptCount val="1"/>
                <c:pt idx="0">
                  <c:v>diff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'Football-Field'!$I$4:$I$7</c:f>
              <c:strCache>
                <c:ptCount val="4"/>
                <c:pt idx="0">
                  <c:v>Placeholder1</c:v>
                </c:pt>
                <c:pt idx="1">
                  <c:v>Placeholder2</c:v>
                </c:pt>
                <c:pt idx="2">
                  <c:v>Placeholder3</c:v>
                </c:pt>
                <c:pt idx="3">
                  <c:v>Placeholder4</c:v>
                </c:pt>
              </c:strCache>
            </c:strRef>
          </c:cat>
          <c:val>
            <c:numRef>
              <c:f>'Football-Field'!$K$4:$K$7</c:f>
              <c:numCache>
                <c:formatCode>0.00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2AFB-4701-8133-A3A7F9BFE9BE}"/>
            </c:ext>
          </c:extLst>
        </c:ser>
        <c:ser>
          <c:idx val="2"/>
          <c:order val="2"/>
          <c:tx>
            <c:strRef>
              <c:f>'Football-Field'!$L$3</c:f>
              <c:strCache>
                <c:ptCount val="1"/>
                <c:pt idx="0">
                  <c:v>high 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'Football-Field'!$I$4:$I$7</c:f>
              <c:strCache>
                <c:ptCount val="4"/>
                <c:pt idx="0">
                  <c:v>Placeholder1</c:v>
                </c:pt>
                <c:pt idx="1">
                  <c:v>Placeholder2</c:v>
                </c:pt>
                <c:pt idx="2">
                  <c:v>Placeholder3</c:v>
                </c:pt>
                <c:pt idx="3">
                  <c:v>Placeholder4</c:v>
                </c:pt>
              </c:strCache>
            </c:strRef>
          </c:cat>
          <c:val>
            <c:numRef>
              <c:f>'Football-Field'!$L$4:$L$7</c:f>
              <c:numCache>
                <c:formatCode>0.00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2AFB-4701-8133-A3A7F9BFE9B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42567920"/>
        <c:axId val="742572240"/>
      </c:barChart>
      <c:catAx>
        <c:axId val="742567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2572240"/>
        <c:crosses val="autoZero"/>
        <c:auto val="1"/>
        <c:lblAlgn val="ctr"/>
        <c:lblOffset val="700"/>
        <c:noMultiLvlLbl val="0"/>
      </c:catAx>
      <c:valAx>
        <c:axId val="742572240"/>
        <c:scaling>
          <c:orientation val="minMax"/>
          <c:max val="200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74256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Equity Value Bridge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Equity Value Bridge</a:t>
          </a:r>
        </a:p>
      </cx:txPr>
    </cx:title>
    <cx:plotArea>
      <cx:plotAreaRegion>
        <cx:series layoutId="waterfall" uniqueId="{EF526959-75BC-47AD-B767-23BB120B086B}">
          <cx:dataLabels pos="outEnd">
            <cx:visibility seriesName="0" categoryName="0" value="1"/>
          </cx:dataLabels>
          <cx:dataId val="0"/>
          <cx:layoutPr>
            <cx:subtotals>
              <cx:idx val="6"/>
              <cx:idx val="7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595993</xdr:colOff>
      <xdr:row>1</xdr:row>
      <xdr:rowOff>152400</xdr:rowOff>
    </xdr:from>
    <xdr:to>
      <xdr:col>12</xdr:col>
      <xdr:colOff>261257</xdr:colOff>
      <xdr:row>22</xdr:row>
      <xdr:rowOff>40821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Diagramm 3">
              <a:extLst>
                <a:ext uri="{FF2B5EF4-FFF2-40B4-BE49-F238E27FC236}">
                  <a16:creationId xmlns:a16="http://schemas.microsoft.com/office/drawing/2014/main" id="{A4CEB834-C278-B935-4451-B2A5E52A8E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01268" y="342900"/>
              <a:ext cx="5532664" cy="38889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171450</xdr:colOff>
      <xdr:row>15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9FEDF2-0650-4A6D-887F-55A1640EB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Relationship Id="rIdDR1" Type="http://schemas.openxmlformats.org/officeDocument/2006/relationships/drawing" Target="../drawings/drawing1.xml"/>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5.vml"/>
<Relationship Id="rIdDR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0390625" defaultRowHeight="15" customHeight="false" zeroHeight="false" outlineLevelRow="0" outlineLevelCol="0"/>
  <cols>
    <col collapsed="false" customWidth="false" hidden="false" outlineLevel="0" max="1" min="1" style="1" width="11"/>
    <col collapsed="false" customWidth="true" hidden="false" outlineLevel="0" max="2" min="2" style="1" width="36.29"/>
    <col collapsed="false" customWidth="true" hidden="false" outlineLevel="0" max="6" min="3" style="1" width="17.42"/>
    <col collapsed="false" customWidth="true" hidden="false" outlineLevel="0" max="7" min="7" style="1" width="19.29"/>
    <col collapsed="false" customWidth="true" hidden="false" outlineLevel="0" max="22" min="8" style="1" width="17.42"/>
    <col collapsed="false" customWidth="true" hidden="false" outlineLevel="0" max="23" min="23" style="1" width="18.42"/>
    <col collapsed="false" customWidth="false" hidden="false" outlineLevel="0" max="16384" min="24" style="1" width="11"/>
  </cols>
  <sheetData>
    <row r="1" customFormat="false" ht="15" hidden="false" customHeight="true" outlineLevel="0" collapsed="false">
      <c r="B1" s="2"/>
      <c r="C1" s="3"/>
    </row>
    <row r="2" customFormat="false" ht="15" hidden="false" customHeight="true" outlineLevel="0" collapsed="false">
      <c r="B2" s="4" t="s">
        <v>0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customFormat="false" ht="15" hidden="false" customHeight="true" outlineLevel="0" collapsed="false">
      <c r="B3" s="6" t="s">
        <v>1</v>
      </c>
      <c r="C3" s="7" t="n">
        <v>0.3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5" hidden="false" customHeight="true" outlineLevel="0" collapsed="false">
      <c r="B4" s="6" t="s">
        <v>2</v>
      </c>
      <c r="C4" s="8" t="n">
        <v>0.015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5" hidden="false" customHeight="true" outlineLevel="0" collapsed="false">
      <c r="B5" s="6" t="s">
        <v>3</v>
      </c>
      <c r="C5" s="8" t="s">
        <v>4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5" hidden="false" customHeight="true" outlineLevel="0" collapsed="false">
      <c r="B6" s="6" t="s">
        <v>5</v>
      </c>
      <c r="C6" s="8" t="n">
        <v>0.785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5" hidden="false" customHeight="true" outlineLevel="0" collapsed="false">
      <c r="B7" s="6" t="s">
        <v>6</v>
      </c>
      <c r="C7" s="8" t="n">
        <v>0.075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5" hidden="false" customHeight="true" outlineLevel="0" collapsed="false">
      <c r="B8" s="6" t="s">
        <v>7</v>
      </c>
      <c r="C8" s="9" t="n">
        <f aca="false">WACC!C31</f>
        <v>0.0705992942921123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customFormat="false" ht="15" hidden="false" customHeight="true" outlineLevel="0" collapsed="false">
      <c r="B9" s="6" t="s">
        <v>8</v>
      </c>
      <c r="C9" s="8" t="n">
        <v>0.058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customFormat="false" ht="15" hidden="false" customHeight="true" outlineLevel="0" collapsed="false">
      <c r="B10" s="6" t="s">
        <v>9</v>
      </c>
      <c r="C10" s="8" t="n">
        <v>0.1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customFormat="false" ht="15" hidden="false" customHeight="true" outlineLevel="0" collapsed="false">
      <c r="B11" s="6" t="s">
        <v>10</v>
      </c>
      <c r="C11" s="10" t="n">
        <v>46203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customFormat="false" ht="15" hidden="false" customHeight="true" outlineLevel="0" collapsed="false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customFormat="false" ht="15" hidden="false" customHeight="true" outlineLevel="0" collapsed="false">
      <c r="B13" s="11" t="s">
        <v>11</v>
      </c>
      <c r="C13" s="12" t="n">
        <v>2021</v>
      </c>
      <c r="D13" s="12" t="n">
        <v>2022</v>
      </c>
      <c r="E13" s="12" t="n">
        <v>2023</v>
      </c>
      <c r="F13" s="12" t="n">
        <v>2024</v>
      </c>
      <c r="G13" s="12" t="n">
        <v>2025</v>
      </c>
      <c r="H13" s="13" t="s">
        <v>12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customFormat="false" ht="15" hidden="false" customHeight="true" outlineLevel="0" collapsed="false">
      <c r="B14" s="14" t="s">
        <v>13</v>
      </c>
      <c r="C14" s="15" t="n">
        <f aca="false">C27/22580-1</f>
        <v>0.356067316209035</v>
      </c>
      <c r="D14" s="15" t="n">
        <f aca="false">D27/C27-1</f>
        <v>0.317276290006532</v>
      </c>
      <c r="E14" s="15" t="n">
        <f aca="false">E27/D27-1</f>
        <v>0.162067683153589</v>
      </c>
      <c r="F14" s="15" t="n">
        <f aca="false">F27/E27-1</f>
        <v>0.0128221539511861</v>
      </c>
      <c r="G14" s="16" t="n">
        <f aca="false">G27/F27-1</f>
        <v>-0.0720830788026878</v>
      </c>
      <c r="H14" s="15" t="n">
        <f aca="false">AVERAGE(C14:G14)</f>
        <v>0.155230072903531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customFormat="false" ht="15" hidden="false" customHeight="true" outlineLevel="0" collapsed="false">
      <c r="B15" s="14" t="s">
        <v>5</v>
      </c>
      <c r="C15" s="15" t="n">
        <f aca="false">C29/C27</f>
        <v>0.819170476812541</v>
      </c>
      <c r="D15" s="15" t="n">
        <f aca="false">D29/D27</f>
        <v>0.83009792983761</v>
      </c>
      <c r="E15" s="15" t="n">
        <f aca="false">E29/E27</f>
        <v>0.802867383512545</v>
      </c>
      <c r="F15" s="15" t="n">
        <f aca="false">F29/F27</f>
        <v>0.787247488045837</v>
      </c>
      <c r="G15" s="17" t="n">
        <f aca="false">G29/G27</f>
        <v>0.808835213729541</v>
      </c>
      <c r="H15" s="15" t="n">
        <f aca="false">AVERAGE(C15:G15)</f>
        <v>0.809643698387615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customFormat="false" ht="15" hidden="false" customHeight="true" outlineLevel="0" collapsed="false">
      <c r="B16" s="14" t="s">
        <v>14</v>
      </c>
      <c r="C16" s="7"/>
      <c r="D16" s="15" t="n">
        <f aca="false">D15/C15-1</f>
        <v>0.0133396568045137</v>
      </c>
      <c r="E16" s="15" t="n">
        <f aca="false">E15/D15-1</f>
        <v>-0.0328040166663134</v>
      </c>
      <c r="F16" s="15" t="n">
        <f aca="false">F15/E15-1</f>
        <v>-0.0194551376571946</v>
      </c>
      <c r="G16" s="17" t="n">
        <f aca="false">G15/F15-1</f>
        <v>0.0274217777909853</v>
      </c>
      <c r="H16" s="15" t="n">
        <f aca="false">AVERAGE(C16:G16)</f>
        <v>-0.00287442993200227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customFormat="false" ht="15" hidden="false" customHeight="true" outlineLevel="0" collapsed="false">
      <c r="B17" s="14" t="s">
        <v>15</v>
      </c>
      <c r="C17" s="15" t="n">
        <f aca="false">C32/C27</f>
        <v>0.075310254735467</v>
      </c>
      <c r="D17" s="15" t="n">
        <f aca="false">D32/D27</f>
        <v>0.0483699020701624</v>
      </c>
      <c r="E17" s="15" t="n">
        <f aca="false">E32/E27</f>
        <v>0.0544888206178529</v>
      </c>
      <c r="F17" s="15" t="n">
        <f aca="false">F32/F27</f>
        <v>0.0570429507298886</v>
      </c>
      <c r="G17" s="17" t="n">
        <f aca="false">G32/G27</f>
        <v>0.0557308574152687</v>
      </c>
      <c r="H17" s="15" t="n">
        <f aca="false">AVERAGE(C17:G17)</f>
        <v>0.0581885571137279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customFormat="false" ht="15" hidden="false" customHeight="true" outlineLevel="0" collapsed="false">
      <c r="B18" s="14" t="s">
        <v>16</v>
      </c>
      <c r="C18" s="15" t="n">
        <f aca="false">C40/C27</f>
        <v>0.0369366427171783</v>
      </c>
      <c r="D18" s="15" t="n">
        <f aca="false">D40/D27</f>
        <v>0.0323540349572332</v>
      </c>
      <c r="E18" s="15" t="n">
        <f aca="false">E40/E27</f>
        <v>0.0324714115036696</v>
      </c>
      <c r="F18" s="15" t="n">
        <f aca="false">F40/F27</f>
        <v>0.0371368988688307</v>
      </c>
      <c r="G18" s="17" t="n">
        <f aca="false">G40/G27</f>
        <v>0.0357767133549749</v>
      </c>
      <c r="H18" s="15" t="n">
        <f aca="false">AVERAGE(C18:G18)</f>
        <v>0.0349351402803773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customFormat="false" ht="15" hidden="false" customHeight="true" outlineLevel="0" collapsed="false">
      <c r="B19" s="14" t="s">
        <v>17</v>
      </c>
      <c r="C19" s="15" t="n">
        <f aca="false">C35/C27</f>
        <v>0.089124755062051</v>
      </c>
      <c r="D19" s="15" t="n">
        <f aca="false">D35/D27</f>
        <v>0.0739308293045742</v>
      </c>
      <c r="E19" s="15" t="n">
        <f aca="false">E35/E27</f>
        <v>0.0610385731353473</v>
      </c>
      <c r="F19" s="15" t="n">
        <f aca="false">F35/F27</f>
        <v>0.0626672003033303</v>
      </c>
      <c r="G19" s="17" t="n">
        <f aca="false">G35/G27</f>
        <v>0.0714399219086967</v>
      </c>
      <c r="H19" s="15" t="n">
        <f aca="false">AVERAGE(C19:G19)</f>
        <v>0.0716402559427999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customFormat="false" ht="15" hidden="false" customHeight="true" outlineLevel="0" collapsed="false">
      <c r="B20" s="14" t="s">
        <v>18</v>
      </c>
      <c r="C20" s="18" t="n">
        <f aca="false">C35/C40</f>
        <v>2.41290893015031</v>
      </c>
      <c r="D20" s="18" t="n">
        <f aca="false">D35/D40</f>
        <v>2.28505747126437</v>
      </c>
      <c r="E20" s="18" t="n">
        <f aca="false">E35/E40</f>
        <v>1.87976346911958</v>
      </c>
      <c r="F20" s="18" t="n">
        <f aca="false">F35/F40</f>
        <v>1.6874645490641</v>
      </c>
      <c r="G20" s="19" t="n">
        <f aca="false">G35/G40</f>
        <v>1.99682741116751</v>
      </c>
      <c r="H20" s="18" t="n">
        <f aca="false">AVERAGE(C20:G20)</f>
        <v>2.05240436615317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customFormat="false" ht="15" hidden="false" customHeight="true" outlineLevel="0" collapsed="false">
      <c r="B21" s="14" t="s">
        <v>19</v>
      </c>
      <c r="C21" s="20" t="n">
        <v>-2559</v>
      </c>
      <c r="D21" s="20" t="n">
        <v>91</v>
      </c>
      <c r="E21" s="20" t="n">
        <v>2258</v>
      </c>
      <c r="F21" s="20" t="n">
        <v>812</v>
      </c>
      <c r="G21" s="21" t="n">
        <v>-1016</v>
      </c>
      <c r="H21" s="22" t="n">
        <f aca="false">AVERAGE(C21:G21)</f>
        <v>-82.8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customFormat="false" ht="15" hidden="false" customHeight="true" outlineLevel="0" collapsed="false">
      <c r="I22" s="23"/>
      <c r="J22" s="23"/>
      <c r="K22" s="23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customFormat="false" ht="15" hidden="false" customHeight="true" outlineLevel="0" collapsed="false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customFormat="false" ht="15" hidden="false" customHeight="true" outlineLevel="0" collapsed="false">
      <c r="B24" s="24" t="s">
        <v>20</v>
      </c>
      <c r="C24" s="6"/>
      <c r="D24" s="6"/>
      <c r="E24" s="24" t="s">
        <v>21</v>
      </c>
      <c r="F24" s="6"/>
      <c r="G24" s="6"/>
      <c r="H24" s="6"/>
      <c r="I24" s="6"/>
      <c r="J24" s="6"/>
      <c r="K24" s="25" t="s">
        <v>22</v>
      </c>
      <c r="L24" s="6"/>
      <c r="M24" s="6"/>
      <c r="N24" s="6"/>
      <c r="O24" s="6"/>
      <c r="P24" s="26" t="s">
        <v>23</v>
      </c>
      <c r="Q24" s="6"/>
      <c r="R24" s="6"/>
      <c r="S24" s="6"/>
      <c r="T24" s="6"/>
      <c r="U24" s="6"/>
      <c r="V24" s="6"/>
      <c r="W24" s="26"/>
    </row>
    <row r="25" customFormat="false" ht="15" hidden="false" customHeight="true" outlineLevel="0" collapsed="false">
      <c r="B25" s="6" t="s">
        <v>24</v>
      </c>
      <c r="C25" s="6"/>
      <c r="D25" s="6"/>
      <c r="E25" s="6"/>
      <c r="F25" s="6"/>
      <c r="G25" s="6"/>
      <c r="H25" s="27" t="n">
        <v>0.5</v>
      </c>
      <c r="I25" s="27" t="n">
        <v>1.5</v>
      </c>
      <c r="J25" s="27" t="n">
        <v>2.5</v>
      </c>
      <c r="K25" s="27" t="n">
        <v>3.5</v>
      </c>
      <c r="L25" s="27" t="n">
        <v>4.5</v>
      </c>
      <c r="M25" s="27" t="n">
        <v>5.5</v>
      </c>
      <c r="N25" s="27" t="n">
        <v>6.5</v>
      </c>
      <c r="O25" s="28" t="s">
        <v>25</v>
      </c>
      <c r="P25" s="29" t="n">
        <v>6.5</v>
      </c>
      <c r="Q25" s="6"/>
      <c r="R25" s="6"/>
      <c r="S25" s="6"/>
      <c r="T25" s="6"/>
      <c r="U25" s="6"/>
      <c r="V25" s="6"/>
      <c r="W25" s="6"/>
    </row>
    <row r="26" customFormat="false" ht="15" hidden="false" customHeight="true" outlineLevel="0" collapsed="false">
      <c r="B26" s="30" t="s">
        <v>26</v>
      </c>
      <c r="C26" s="31" t="n">
        <v>2021</v>
      </c>
      <c r="D26" s="31" t="n">
        <v>2022</v>
      </c>
      <c r="E26" s="31" t="n">
        <v>2023</v>
      </c>
      <c r="F26" s="31" t="n">
        <v>2024</v>
      </c>
      <c r="G26" s="31" t="n">
        <v>2025</v>
      </c>
      <c r="H26" s="32" t="s">
        <v>27</v>
      </c>
      <c r="I26" s="31" t="s">
        <v>28</v>
      </c>
      <c r="J26" s="31" t="s">
        <v>29</v>
      </c>
      <c r="K26" s="31" t="s">
        <v>30</v>
      </c>
      <c r="L26" s="31" t="s">
        <v>31</v>
      </c>
      <c r="M26" s="31" t="s">
        <v>32</v>
      </c>
      <c r="N26" s="31" t="s">
        <v>33</v>
      </c>
      <c r="O26" s="31"/>
      <c r="P26" s="33" t="s">
        <v>23</v>
      </c>
    </row>
    <row r="27" customFormat="false" ht="15" hidden="false" customHeight="true" outlineLevel="0" collapsed="false">
      <c r="B27" s="14" t="s">
        <v>34</v>
      </c>
      <c r="C27" s="20" t="n">
        <v>30620</v>
      </c>
      <c r="D27" s="20" t="n">
        <v>40335</v>
      </c>
      <c r="E27" s="20" t="n">
        <v>46872</v>
      </c>
      <c r="F27" s="20" t="n">
        <v>47473</v>
      </c>
      <c r="G27" s="34" t="n">
        <v>44051</v>
      </c>
      <c r="H27" s="20" t="n">
        <v>45897</v>
      </c>
      <c r="I27" s="20" t="n">
        <v>48970</v>
      </c>
      <c r="J27" s="20" t="n">
        <v>51000</v>
      </c>
      <c r="K27" s="22" t="n">
        <f aca="false">J27*(1+K28)</f>
        <v>52785</v>
      </c>
      <c r="L27" s="22" t="n">
        <f aca="false">K27*(1+L28)</f>
        <v>54368.55</v>
      </c>
      <c r="M27" s="22" t="n">
        <f aca="false">L27*(1+M28)</f>
        <v>55727.76375</v>
      </c>
      <c r="N27" s="22" t="n">
        <f aca="false">M27*(1+N28)</f>
        <v>56842.319025</v>
      </c>
      <c r="O27" s="35"/>
      <c r="P27" s="22" t="n">
        <f aca="false">N27*(1+$C$4)</f>
        <v>57694.953810375</v>
      </c>
    </row>
    <row r="28" customFormat="false" ht="15" hidden="false" customHeight="true" outlineLevel="0" collapsed="false">
      <c r="B28" s="6" t="s">
        <v>35</v>
      </c>
      <c r="C28" s="36" t="n">
        <f aca="false">C14</f>
        <v>0.356067316209035</v>
      </c>
      <c r="D28" s="15" t="n">
        <f aca="false">D27/C27-1</f>
        <v>0.317276290006532</v>
      </c>
      <c r="E28" s="15" t="n">
        <f aca="false">E27/D27-1</f>
        <v>0.162067683153589</v>
      </c>
      <c r="F28" s="15" t="n">
        <f aca="false">F27/E27-1</f>
        <v>0.0128221539511861</v>
      </c>
      <c r="G28" s="17" t="n">
        <f aca="false">G27/F27-1</f>
        <v>-0.0720830788026878</v>
      </c>
      <c r="H28" s="15" t="n">
        <f aca="false">H27/G27-1</f>
        <v>0.0419059726226418</v>
      </c>
      <c r="I28" s="15" t="n">
        <f aca="false">I27/H27-1</f>
        <v>0.0669542671634311</v>
      </c>
      <c r="J28" s="15" t="n">
        <f aca="false">J27/I27-1</f>
        <v>0.0414539513988157</v>
      </c>
      <c r="K28" s="8" t="n">
        <v>0.035</v>
      </c>
      <c r="L28" s="8" t="n">
        <v>0.03</v>
      </c>
      <c r="M28" s="8" t="n">
        <v>0.025</v>
      </c>
      <c r="N28" s="8" t="n">
        <v>0.02</v>
      </c>
      <c r="O28" s="7"/>
      <c r="P28" s="15" t="n">
        <f aca="false">$C$4</f>
        <v>0.015</v>
      </c>
    </row>
    <row r="29" customFormat="false" ht="15" hidden="false" customHeight="true" outlineLevel="0" collapsed="false">
      <c r="B29" s="30" t="s">
        <v>36</v>
      </c>
      <c r="C29" s="37" t="n">
        <v>25083</v>
      </c>
      <c r="D29" s="37" t="n">
        <v>33482</v>
      </c>
      <c r="E29" s="37" t="n">
        <v>37632</v>
      </c>
      <c r="F29" s="37" t="n">
        <v>37373</v>
      </c>
      <c r="G29" s="37" t="n">
        <v>35630</v>
      </c>
      <c r="H29" s="38" t="n">
        <f aca="false">H27-8950</f>
        <v>36947</v>
      </c>
      <c r="I29" s="39" t="n">
        <f aca="false">I27-10131</f>
        <v>38839</v>
      </c>
      <c r="J29" s="39" t="n">
        <f aca="false">J27-11346</f>
        <v>39654</v>
      </c>
      <c r="K29" s="39" t="n">
        <f aca="false">K27*$C$6</f>
        <v>41436.225</v>
      </c>
      <c r="L29" s="39" t="n">
        <f aca="false">L27*$C$6</f>
        <v>42679.31175</v>
      </c>
      <c r="M29" s="39" t="n">
        <f aca="false">M27*$C$6</f>
        <v>43746.29454375</v>
      </c>
      <c r="N29" s="39" t="n">
        <f aca="false">N27*$C$6</f>
        <v>44621.220434625</v>
      </c>
      <c r="O29" s="40"/>
      <c r="P29" s="39" t="n">
        <f aca="false">P27*$C$6</f>
        <v>45290.5387411444</v>
      </c>
    </row>
    <row r="30" customFormat="false" ht="15" hidden="false" customHeight="true" outlineLevel="0" collapsed="false">
      <c r="B30" s="14" t="s">
        <v>37</v>
      </c>
      <c r="C30" s="22" t="n">
        <f aca="false">C27-C29</f>
        <v>5537</v>
      </c>
      <c r="D30" s="22" t="n">
        <f aca="false">D27-D29</f>
        <v>6853</v>
      </c>
      <c r="E30" s="22" t="n">
        <f aca="false">E27-E29</f>
        <v>9240</v>
      </c>
      <c r="F30" s="22" t="n">
        <f aca="false">F27-F29</f>
        <v>10100</v>
      </c>
      <c r="G30" s="22" t="n">
        <f aca="false">G27-G29</f>
        <v>8421</v>
      </c>
      <c r="H30" s="41" t="n">
        <f aca="false">H27-H29</f>
        <v>8950</v>
      </c>
      <c r="I30" s="22" t="n">
        <f aca="false">I27-I29</f>
        <v>10131</v>
      </c>
      <c r="J30" s="22" t="n">
        <f aca="false">J27-J29</f>
        <v>11346</v>
      </c>
      <c r="K30" s="22" t="n">
        <f aca="false">K27-K29</f>
        <v>11348.775</v>
      </c>
      <c r="L30" s="22" t="n">
        <f aca="false">L27-L29</f>
        <v>11689.23825</v>
      </c>
      <c r="M30" s="22" t="n">
        <f aca="false">M27-M29</f>
        <v>11981.46920625</v>
      </c>
      <c r="N30" s="22" t="n">
        <f aca="false">N27-N29</f>
        <v>12221.098590375</v>
      </c>
      <c r="O30" s="35"/>
      <c r="P30" s="22" t="n">
        <f aca="false">P27-P29</f>
        <v>12404.4150692306</v>
      </c>
    </row>
    <row r="31" customFormat="false" ht="15" hidden="false" customHeight="true" outlineLevel="0" collapsed="false">
      <c r="B31" s="14" t="s">
        <v>38</v>
      </c>
      <c r="C31" s="15" t="n">
        <f aca="false">C30/C27</f>
        <v>0.180829523187459</v>
      </c>
      <c r="D31" s="15" t="n">
        <f aca="false">D30/D27</f>
        <v>0.16990207016239</v>
      </c>
      <c r="E31" s="15" t="n">
        <f aca="false">E30/E27</f>
        <v>0.197132616487455</v>
      </c>
      <c r="F31" s="15" t="n">
        <f aca="false">F30/F27</f>
        <v>0.212752511954163</v>
      </c>
      <c r="G31" s="15" t="n">
        <f aca="false">G30/G27</f>
        <v>0.191164786270459</v>
      </c>
      <c r="H31" s="36" t="n">
        <f aca="false">H30/H27</f>
        <v>0.195001851972896</v>
      </c>
      <c r="I31" s="15" t="n">
        <f aca="false">I30/I27</f>
        <v>0.206881764345518</v>
      </c>
      <c r="J31" s="15" t="n">
        <f aca="false">J30/J27</f>
        <v>0.222470588235294</v>
      </c>
      <c r="K31" s="15" t="n">
        <f aca="false">K30/K27</f>
        <v>0.215</v>
      </c>
      <c r="L31" s="15" t="n">
        <f aca="false">L30/L27</f>
        <v>0.215</v>
      </c>
      <c r="M31" s="15" t="n">
        <f aca="false">M30/M27</f>
        <v>0.215</v>
      </c>
      <c r="N31" s="15" t="n">
        <f aca="false">N30/N27</f>
        <v>0.215</v>
      </c>
      <c r="O31" s="42"/>
      <c r="P31" s="15" t="n">
        <f aca="false">P30/P27</f>
        <v>0.215</v>
      </c>
    </row>
    <row r="32" customFormat="false" ht="15" hidden="false" customHeight="true" outlineLevel="0" collapsed="false">
      <c r="B32" s="30" t="s">
        <v>39</v>
      </c>
      <c r="C32" s="39" t="n">
        <f aca="false">C30-3231</f>
        <v>2306</v>
      </c>
      <c r="D32" s="39" t="n">
        <f aca="false">D30-4902</f>
        <v>1951</v>
      </c>
      <c r="E32" s="39" t="n">
        <f aca="false">E30-6686</f>
        <v>2554</v>
      </c>
      <c r="F32" s="39" t="n">
        <f aca="false">F30-7392</f>
        <v>2708</v>
      </c>
      <c r="G32" s="39" t="n">
        <f aca="false">G30-5966</f>
        <v>2455</v>
      </c>
      <c r="H32" s="38" t="n">
        <f aca="false">H30-5719</f>
        <v>3231</v>
      </c>
      <c r="I32" s="39" t="n">
        <f aca="false">I30-6723</f>
        <v>3408</v>
      </c>
      <c r="J32" s="39" t="n">
        <f aca="false">J30-7486</f>
        <v>3860</v>
      </c>
      <c r="K32" s="39" t="n">
        <f aca="false">K27*$C$7</f>
        <v>3958.875</v>
      </c>
      <c r="L32" s="39" t="n">
        <f aca="false">L27*$C$7</f>
        <v>4077.64125</v>
      </c>
      <c r="M32" s="39" t="n">
        <f aca="false">M27*$C$7</f>
        <v>4179.58228125</v>
      </c>
      <c r="N32" s="39" t="n">
        <f aca="false">N27*$C$7</f>
        <v>4263.173926875</v>
      </c>
      <c r="O32" s="40"/>
      <c r="P32" s="39" t="n">
        <f aca="false">P27*$C$7</f>
        <v>4327.12153577812</v>
      </c>
    </row>
    <row r="33" customFormat="false" ht="15" hidden="false" customHeight="true" outlineLevel="0" collapsed="false">
      <c r="B33" s="43" t="s">
        <v>40</v>
      </c>
      <c r="C33" s="44" t="n">
        <f aca="false">C30-C32</f>
        <v>3231</v>
      </c>
      <c r="D33" s="44" t="n">
        <f aca="false">D30-D32</f>
        <v>4902</v>
      </c>
      <c r="E33" s="44" t="n">
        <f aca="false">E30-E32</f>
        <v>6686</v>
      </c>
      <c r="F33" s="44" t="n">
        <f aca="false">F30-F32</f>
        <v>7392</v>
      </c>
      <c r="G33" s="44" t="n">
        <f aca="false">G30-G32</f>
        <v>5966</v>
      </c>
      <c r="H33" s="45" t="n">
        <f aca="false">H30-H32</f>
        <v>5719</v>
      </c>
      <c r="I33" s="44" t="n">
        <f aca="false">I30-I32</f>
        <v>6723</v>
      </c>
      <c r="J33" s="44" t="n">
        <f aca="false">J30-J32</f>
        <v>7486</v>
      </c>
      <c r="K33" s="44" t="n">
        <f aca="false">K30-K32</f>
        <v>7389.9</v>
      </c>
      <c r="L33" s="44" t="n">
        <f aca="false">L30-L32</f>
        <v>7611.597</v>
      </c>
      <c r="M33" s="44" t="n">
        <f aca="false">M30-M32</f>
        <v>7801.886925</v>
      </c>
      <c r="N33" s="44" t="n">
        <f aca="false">N30-N32</f>
        <v>7957.9246635</v>
      </c>
      <c r="O33" s="46"/>
      <c r="P33" s="44" t="n">
        <f aca="false">P30-P32</f>
        <v>8077.2935334525</v>
      </c>
    </row>
    <row r="34" customFormat="false" ht="15" hidden="false" customHeight="true" outlineLevel="0" collapsed="false">
      <c r="B34" s="47" t="s">
        <v>41</v>
      </c>
      <c r="C34" s="48" t="n">
        <f aca="false">C33/C27</f>
        <v>0.105519268451992</v>
      </c>
      <c r="D34" s="48" t="n">
        <f aca="false">D33/D27</f>
        <v>0.121532168092228</v>
      </c>
      <c r="E34" s="48" t="n">
        <f aca="false">E33/E27</f>
        <v>0.142643795869602</v>
      </c>
      <c r="F34" s="48" t="n">
        <f aca="false">F33/F27</f>
        <v>0.155709561224275</v>
      </c>
      <c r="G34" s="48" t="n">
        <f aca="false">G33/G27</f>
        <v>0.135433928855191</v>
      </c>
      <c r="H34" s="49" t="n">
        <f aca="false">H33/H27</f>
        <v>0.124605094014859</v>
      </c>
      <c r="I34" s="48" t="n">
        <f aca="false">I33/I27</f>
        <v>0.13728813559322</v>
      </c>
      <c r="J34" s="48" t="n">
        <f aca="false">J33/J27</f>
        <v>0.14678431372549</v>
      </c>
      <c r="K34" s="48" t="n">
        <f aca="false">K33/K27</f>
        <v>0.14</v>
      </c>
      <c r="L34" s="48" t="n">
        <f aca="false">L33/L27</f>
        <v>0.14</v>
      </c>
      <c r="M34" s="48" t="n">
        <f aca="false">M33/M27</f>
        <v>0.14</v>
      </c>
      <c r="N34" s="48" t="n">
        <f aca="false">N33/N27</f>
        <v>0.14</v>
      </c>
      <c r="O34" s="50"/>
      <c r="P34" s="48" t="n">
        <f aca="false">P33/P27</f>
        <v>0.14</v>
      </c>
    </row>
    <row r="35" customFormat="false" ht="15" hidden="false" customHeight="true" outlineLevel="0" collapsed="false">
      <c r="B35" s="30" t="s">
        <v>42</v>
      </c>
      <c r="C35" s="37" t="n">
        <v>2729</v>
      </c>
      <c r="D35" s="37" t="n">
        <v>2982</v>
      </c>
      <c r="E35" s="37" t="n">
        <v>2861</v>
      </c>
      <c r="F35" s="37" t="n">
        <v>2975</v>
      </c>
      <c r="G35" s="37" t="n">
        <v>3147</v>
      </c>
      <c r="H35" s="38" t="n">
        <f aca="false">H33-3049</f>
        <v>2670</v>
      </c>
      <c r="I35" s="39" t="n">
        <f aca="false">I33-3986</f>
        <v>2737</v>
      </c>
      <c r="J35" s="39" t="n">
        <f aca="false">J33-4529</f>
        <v>2957</v>
      </c>
      <c r="K35" s="39" t="n">
        <f aca="false">K27*0.058</f>
        <v>3061.53</v>
      </c>
      <c r="L35" s="39" t="n">
        <f aca="false">L27*0.058</f>
        <v>3153.3759</v>
      </c>
      <c r="M35" s="39" t="n">
        <f aca="false">M27*0.058</f>
        <v>3232.2102975</v>
      </c>
      <c r="N35" s="39" t="n">
        <f aca="false">N27*0.058</f>
        <v>3296.85450345</v>
      </c>
      <c r="O35" s="40"/>
      <c r="P35" s="39" t="n">
        <f aca="false">P27*0.058</f>
        <v>3346.30732100175</v>
      </c>
    </row>
    <row r="36" customFormat="false" ht="15" hidden="false" customHeight="true" outlineLevel="0" collapsed="false">
      <c r="B36" s="43" t="s">
        <v>43</v>
      </c>
      <c r="C36" s="44" t="n">
        <f aca="false">C33-C35</f>
        <v>502</v>
      </c>
      <c r="D36" s="44" t="n">
        <f aca="false">D33-D35</f>
        <v>1920</v>
      </c>
      <c r="E36" s="44" t="n">
        <f aca="false">E33-E35</f>
        <v>3825</v>
      </c>
      <c r="F36" s="44" t="n">
        <f aca="false">F33-F35</f>
        <v>4417</v>
      </c>
      <c r="G36" s="44" t="n">
        <f aca="false">G33-G35</f>
        <v>2819</v>
      </c>
      <c r="H36" s="45" t="n">
        <f aca="false">H33-H35</f>
        <v>3049</v>
      </c>
      <c r="I36" s="44" t="n">
        <f aca="false">I33-I35</f>
        <v>3986</v>
      </c>
      <c r="J36" s="44" t="n">
        <f aca="false">J33-J35</f>
        <v>4529</v>
      </c>
      <c r="K36" s="44" t="n">
        <f aca="false">K33-K35</f>
        <v>4328.37</v>
      </c>
      <c r="L36" s="44" t="n">
        <f aca="false">L33-L35</f>
        <v>4458.2211</v>
      </c>
      <c r="M36" s="44" t="n">
        <f aca="false">M33-M35</f>
        <v>4569.6766275</v>
      </c>
      <c r="N36" s="44" t="n">
        <f aca="false">N33-N35</f>
        <v>4661.07016005</v>
      </c>
      <c r="O36" s="46"/>
      <c r="P36" s="44" t="n">
        <f aca="false">P33-P35</f>
        <v>4730.98621245075</v>
      </c>
    </row>
    <row r="37" customFormat="false" ht="15" hidden="false" customHeight="true" outlineLevel="0" collapsed="false">
      <c r="B37" s="47" t="s">
        <v>44</v>
      </c>
      <c r="C37" s="48" t="n">
        <f aca="false">C36/C27</f>
        <v>0.0163945133899412</v>
      </c>
      <c r="D37" s="48" t="n">
        <f aca="false">D36/D27</f>
        <v>0.0476013387876534</v>
      </c>
      <c r="E37" s="48" t="n">
        <f aca="false">E36/E27</f>
        <v>0.081605222734255</v>
      </c>
      <c r="F37" s="48" t="n">
        <f aca="false">F36/F27</f>
        <v>0.0930423609209445</v>
      </c>
      <c r="G37" s="48" t="n">
        <f aca="false">G36/G27</f>
        <v>0.0639940069464938</v>
      </c>
      <c r="H37" s="49" t="n">
        <f aca="false">H36/H27</f>
        <v>0.0664313571693139</v>
      </c>
      <c r="I37" s="48" t="n">
        <f aca="false">I36/I27</f>
        <v>0.0813967735348172</v>
      </c>
      <c r="J37" s="48" t="n">
        <f aca="false">J36/J27</f>
        <v>0.0888039215686274</v>
      </c>
      <c r="K37" s="48" t="n">
        <f aca="false">K36/K27</f>
        <v>0.0819999999999999</v>
      </c>
      <c r="L37" s="48" t="n">
        <f aca="false">L36/L27</f>
        <v>0.0819999999999999</v>
      </c>
      <c r="M37" s="48" t="n">
        <f aca="false">M36/M27</f>
        <v>0.082</v>
      </c>
      <c r="N37" s="48" t="n">
        <f aca="false">N36/N27</f>
        <v>0.082</v>
      </c>
      <c r="O37" s="50"/>
      <c r="P37" s="48" t="n">
        <f aca="false">P36/P27</f>
        <v>0.082</v>
      </c>
    </row>
    <row r="38" customFormat="false" ht="15" hidden="false" customHeight="true" outlineLevel="0" collapsed="false">
      <c r="B38" s="14" t="s">
        <v>45</v>
      </c>
      <c r="C38" s="22" t="n">
        <f aca="false">C36*$C$3</f>
        <v>150.6</v>
      </c>
      <c r="D38" s="22" t="n">
        <f aca="false">D36*$C$3</f>
        <v>576</v>
      </c>
      <c r="E38" s="22" t="n">
        <f aca="false">E36*$C$3</f>
        <v>1147.5</v>
      </c>
      <c r="F38" s="22" t="n">
        <f aca="false">F36*$C$3</f>
        <v>1325.1</v>
      </c>
      <c r="G38" s="22" t="n">
        <f aca="false">G36*$C$3</f>
        <v>845.7</v>
      </c>
      <c r="H38" s="38" t="n">
        <f aca="false">H36*$C$3</f>
        <v>914.7</v>
      </c>
      <c r="I38" s="39" t="n">
        <f aca="false">I36*$C$3</f>
        <v>1195.8</v>
      </c>
      <c r="J38" s="39" t="n">
        <f aca="false">J36*$C$3</f>
        <v>1358.7</v>
      </c>
      <c r="K38" s="39" t="n">
        <f aca="false">K36*$C$3</f>
        <v>1298.511</v>
      </c>
      <c r="L38" s="39" t="n">
        <f aca="false">L36*$C$3</f>
        <v>1337.46633</v>
      </c>
      <c r="M38" s="39" t="n">
        <f aca="false">M36*$C$3</f>
        <v>1370.90298825</v>
      </c>
      <c r="N38" s="39" t="n">
        <f aca="false">N36*$C$3</f>
        <v>1398.321048015</v>
      </c>
      <c r="O38" s="35"/>
      <c r="P38" s="22" t="n">
        <f aca="false">P36*$C$3</f>
        <v>1419.29586373522</v>
      </c>
    </row>
    <row r="39" customFormat="false" ht="15" hidden="false" customHeight="true" outlineLevel="0" collapsed="false">
      <c r="B39" s="43" t="s">
        <v>46</v>
      </c>
      <c r="C39" s="51" t="n">
        <f aca="false">C36-C38</f>
        <v>351.4</v>
      </c>
      <c r="D39" s="52" t="n">
        <f aca="false">D36-D38</f>
        <v>1344</v>
      </c>
      <c r="E39" s="52" t="n">
        <f aca="false">E36-E38</f>
        <v>2677.5</v>
      </c>
      <c r="F39" s="52" t="n">
        <f aca="false">F36-F38</f>
        <v>3091.9</v>
      </c>
      <c r="G39" s="53" t="n">
        <f aca="false">G36-G38</f>
        <v>1973.3</v>
      </c>
      <c r="H39" s="45" t="n">
        <f aca="false">H36-H38</f>
        <v>2134.3</v>
      </c>
      <c r="I39" s="44" t="n">
        <f aca="false">I36-I38</f>
        <v>2790.2</v>
      </c>
      <c r="J39" s="44" t="n">
        <f aca="false">J36-J38</f>
        <v>3170.3</v>
      </c>
      <c r="K39" s="44" t="n">
        <f aca="false">K36-K38</f>
        <v>3029.859</v>
      </c>
      <c r="L39" s="44" t="n">
        <f aca="false">L36-L38</f>
        <v>3120.75477</v>
      </c>
      <c r="M39" s="44" t="n">
        <f aca="false">M36-M38</f>
        <v>3198.77363925</v>
      </c>
      <c r="N39" s="44" t="n">
        <f aca="false">N36-N38</f>
        <v>3262.749112035</v>
      </c>
      <c r="O39" s="54"/>
      <c r="P39" s="52" t="n">
        <f aca="false">P36-P38</f>
        <v>3311.69034871552</v>
      </c>
    </row>
    <row r="40" customFormat="false" ht="15" hidden="false" customHeight="true" outlineLevel="0" collapsed="false">
      <c r="B40" s="14" t="s">
        <v>47</v>
      </c>
      <c r="C40" s="20" t="n">
        <v>1131</v>
      </c>
      <c r="D40" s="20" t="n">
        <v>1305</v>
      </c>
      <c r="E40" s="20" t="n">
        <v>1522</v>
      </c>
      <c r="F40" s="20" t="n">
        <v>1763</v>
      </c>
      <c r="G40" s="20" t="n">
        <v>1576</v>
      </c>
      <c r="H40" s="55" t="n">
        <v>2665</v>
      </c>
      <c r="I40" s="20" t="n">
        <v>2667</v>
      </c>
      <c r="J40" s="20" t="n">
        <v>2764</v>
      </c>
      <c r="K40" s="22" t="n">
        <f aca="false">K27*$C$9</f>
        <v>3061.53</v>
      </c>
      <c r="L40" s="22" t="n">
        <f aca="false">L27*$C$9</f>
        <v>3153.3759</v>
      </c>
      <c r="M40" s="22" t="n">
        <f aca="false">M27*$C$9</f>
        <v>3232.2102975</v>
      </c>
      <c r="N40" s="22" t="n">
        <f aca="false">N27*$C$9</f>
        <v>3296.85450345</v>
      </c>
      <c r="O40" s="35"/>
      <c r="P40" s="22" t="n">
        <f aca="false">P35</f>
        <v>3346.30732100175</v>
      </c>
    </row>
    <row r="41" customFormat="false" ht="15" hidden="false" customHeight="true" outlineLevel="0" collapsed="false">
      <c r="B41" s="14" t="s">
        <v>42</v>
      </c>
      <c r="C41" s="22" t="n">
        <f aca="false">C35</f>
        <v>2729</v>
      </c>
      <c r="D41" s="22" t="n">
        <f aca="false">D35</f>
        <v>2982</v>
      </c>
      <c r="E41" s="22" t="n">
        <f aca="false">E35</f>
        <v>2861</v>
      </c>
      <c r="F41" s="22" t="n">
        <f aca="false">F35</f>
        <v>2975</v>
      </c>
      <c r="G41" s="22" t="n">
        <f aca="false">G35</f>
        <v>3147</v>
      </c>
      <c r="H41" s="41" t="n">
        <f aca="false">H35</f>
        <v>2670</v>
      </c>
      <c r="I41" s="22" t="n">
        <f aca="false">I35</f>
        <v>2737</v>
      </c>
      <c r="J41" s="22" t="n">
        <f aca="false">J35</f>
        <v>2957</v>
      </c>
      <c r="K41" s="22" t="n">
        <f aca="false">K35</f>
        <v>3061.53</v>
      </c>
      <c r="L41" s="22" t="n">
        <f aca="false">L35</f>
        <v>3153.3759</v>
      </c>
      <c r="M41" s="22" t="n">
        <f aca="false">M35</f>
        <v>3232.2102975</v>
      </c>
      <c r="N41" s="22" t="n">
        <f aca="false">N35</f>
        <v>3296.85450345</v>
      </c>
      <c r="O41" s="35"/>
      <c r="P41" s="22" t="n">
        <f aca="false">P35</f>
        <v>3346.30732100175</v>
      </c>
    </row>
    <row r="42" customFormat="false" ht="15" hidden="false" customHeight="true" outlineLevel="0" collapsed="false">
      <c r="B42" s="14" t="s">
        <v>48</v>
      </c>
      <c r="C42" s="22" t="n">
        <f aca="false">C21</f>
        <v>-2559</v>
      </c>
      <c r="D42" s="22" t="n">
        <f aca="false">D21</f>
        <v>91</v>
      </c>
      <c r="E42" s="22" t="n">
        <f aca="false">E21</f>
        <v>2258</v>
      </c>
      <c r="F42" s="22" t="n">
        <f aca="false">F21</f>
        <v>812</v>
      </c>
      <c r="G42" s="22" t="n">
        <f aca="false">G21</f>
        <v>-1016</v>
      </c>
      <c r="H42" s="41" t="n">
        <f aca="false">(H27-G27)*$C$10</f>
        <v>184.6</v>
      </c>
      <c r="I42" s="22" t="n">
        <f aca="false">(I27-H27)*$C$10</f>
        <v>307.3</v>
      </c>
      <c r="J42" s="22" t="n">
        <f aca="false">(J27-I27)*$C$10</f>
        <v>203</v>
      </c>
      <c r="K42" s="22" t="n">
        <f aca="false">(K27-J27)*$C$10</f>
        <v>178.499999999999</v>
      </c>
      <c r="L42" s="22" t="n">
        <f aca="false">(L27-K27)*$C$10</f>
        <v>158.355</v>
      </c>
      <c r="M42" s="22" t="n">
        <f aca="false">(M27-L27)*$C$10</f>
        <v>135.921375</v>
      </c>
      <c r="N42" s="22" t="n">
        <f aca="false">(N27-M27)*$C$10</f>
        <v>111.4555275</v>
      </c>
      <c r="O42" s="35"/>
      <c r="P42" s="22" t="n">
        <f aca="false">(P27-N27)*$C$10</f>
        <v>85.2634785374998</v>
      </c>
    </row>
    <row r="43" customFormat="false" ht="15" hidden="false" customHeight="true" outlineLevel="0" collapsed="false">
      <c r="B43" s="43" t="s">
        <v>49</v>
      </c>
      <c r="C43" s="51" t="n">
        <f aca="false">C39+C41-C40-C42</f>
        <v>4508.4</v>
      </c>
      <c r="D43" s="52" t="n">
        <f aca="false">D39+D41-D40-D42</f>
        <v>2930</v>
      </c>
      <c r="E43" s="52" t="n">
        <f aca="false">E39+E41-E40-E42</f>
        <v>1758.5</v>
      </c>
      <c r="F43" s="52" t="n">
        <f aca="false">F39+F41-F40-F42</f>
        <v>3491.9</v>
      </c>
      <c r="G43" s="52" t="n">
        <f aca="false">G39+G41-G40-G42</f>
        <v>4560.3</v>
      </c>
      <c r="H43" s="51" t="n">
        <f aca="false">H39+H41-H40-H42</f>
        <v>1954.7</v>
      </c>
      <c r="I43" s="52" t="n">
        <f aca="false">I39+I41-I40-I42</f>
        <v>2552.9</v>
      </c>
      <c r="J43" s="52" t="n">
        <f aca="false">J39+J41-J40-J42</f>
        <v>3160.3</v>
      </c>
      <c r="K43" s="52" t="n">
        <f aca="false">K39+K41-K40-K42</f>
        <v>2851.359</v>
      </c>
      <c r="L43" s="52" t="n">
        <f aca="false">L39+L41-L40-L42</f>
        <v>2962.39977</v>
      </c>
      <c r="M43" s="52" t="n">
        <f aca="false">M39+M41-M40-M42</f>
        <v>3062.85226425</v>
      </c>
      <c r="N43" s="52" t="n">
        <f aca="false">N39+N41-N40-N42</f>
        <v>3151.293584535</v>
      </c>
      <c r="O43" s="54"/>
      <c r="P43" s="52" t="n">
        <f aca="false">P39+P41-P40-P42</f>
        <v>3226.42687017802</v>
      </c>
    </row>
    <row r="44" customFormat="false" ht="15" hidden="false" customHeight="true" outlineLevel="0" collapsed="false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customFormat="false" ht="15" hidden="false" customHeight="true" outlineLevel="0" collapsed="false">
      <c r="B45" s="6"/>
      <c r="C45" s="6"/>
      <c r="D45" s="6"/>
      <c r="E45" s="6"/>
      <c r="F45" s="6"/>
      <c r="G45" s="6"/>
      <c r="H45" s="23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customFormat="false" ht="15" hidden="false" customHeight="true" outlineLevel="0" collapsed="false">
      <c r="B46" s="6"/>
      <c r="C46" s="6"/>
      <c r="D46" s="6"/>
      <c r="E46" s="6"/>
      <c r="F46" s="6"/>
      <c r="G46" s="6" t="s">
        <v>50</v>
      </c>
      <c r="H46" s="22" t="n">
        <f aca="false">H43*0.5/(1+$C$8)^H25</f>
        <v>944.575421859669</v>
      </c>
      <c r="I46" s="22" t="n">
        <f aca="false">I43/(1+$C$8)^I25</f>
        <v>2304.58841383774</v>
      </c>
      <c r="J46" s="22" t="n">
        <f aca="false">J43/(1+$C$8)^J25</f>
        <v>2664.77735565965</v>
      </c>
      <c r="K46" s="22" t="n">
        <f aca="false">K43/(1+$C$8)^K25</f>
        <v>2245.73013032727</v>
      </c>
      <c r="L46" s="22" t="n">
        <f aca="false">L43/(1+$C$8)^L25</f>
        <v>2179.32689170093</v>
      </c>
      <c r="M46" s="22" t="n">
        <f aca="false">M43/(1+$C$8)^M25</f>
        <v>2104.63994580709</v>
      </c>
      <c r="N46" s="22" t="n">
        <f aca="false">N43/(1+$C$8)^N25</f>
        <v>2022.61708915757</v>
      </c>
      <c r="O46" s="56"/>
      <c r="P46" s="56"/>
      <c r="Q46" s="56"/>
      <c r="R46" s="56"/>
      <c r="S46" s="56"/>
      <c r="T46" s="56"/>
      <c r="U46" s="56"/>
      <c r="V46" s="56"/>
      <c r="W46" s="6"/>
    </row>
    <row r="47" customFormat="false" ht="15" hidden="false" customHeight="true" outlineLevel="0" collapsed="false">
      <c r="B47" s="6"/>
      <c r="C47" s="56"/>
      <c r="D47" s="6"/>
      <c r="E47" s="6"/>
      <c r="F47" s="6"/>
      <c r="G47" s="6" t="s">
        <v>51</v>
      </c>
      <c r="H47" s="22" t="n">
        <f aca="false">SUM(H46:N46)</f>
        <v>14466.2552483499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customFormat="false" ht="15" hidden="false" customHeight="true" outlineLevel="0" collapsed="false">
      <c r="B48" s="6"/>
      <c r="C48" s="6"/>
      <c r="D48" s="6"/>
      <c r="E48" s="6"/>
      <c r="F48" s="6"/>
      <c r="G48" s="6" t="s">
        <v>52</v>
      </c>
      <c r="H48" s="22" t="n">
        <f aca="false">P43/($C$8-$C$4)</f>
        <v>58029.9968058362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56"/>
    </row>
    <row r="49" customFormat="false" ht="15" hidden="false" customHeight="true" outlineLevel="0" collapsed="false">
      <c r="B49" s="6"/>
      <c r="C49" s="6"/>
      <c r="D49" s="6"/>
      <c r="E49" s="6"/>
      <c r="F49" s="6"/>
      <c r="G49" s="6" t="s">
        <v>53</v>
      </c>
      <c r="H49" s="22" t="n">
        <f aca="false">H48/(1+$C$8)^P25</f>
        <v>37245.8040086299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56"/>
    </row>
    <row r="50" customFormat="false" ht="15" hidden="false" customHeight="true" outlineLevel="0" collapsed="false">
      <c r="B50" s="6"/>
      <c r="C50" s="6"/>
      <c r="D50" s="6"/>
      <c r="E50" s="6"/>
      <c r="F50" s="6"/>
      <c r="G50" s="57" t="s">
        <v>54</v>
      </c>
      <c r="H50" s="58" t="n">
        <f aca="false">H47+H49</f>
        <v>51712.0592569798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customFormat="false" ht="15" hidden="false" customHeight="true" outlineLevel="0" collapsed="false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customFormat="false" ht="15" hidden="false" customHeight="true" outlineLevel="0" collapsed="false">
      <c r="C52" s="59"/>
      <c r="D52" s="59"/>
      <c r="E52" s="59"/>
      <c r="F52" s="59"/>
      <c r="G52" s="59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</row>
    <row r="53" customFormat="false" ht="15.75" hidden="false" customHeight="true" outlineLevel="0" collapsed="false">
      <c r="B53" s="61" t="s">
        <v>55</v>
      </c>
      <c r="C53" s="62"/>
      <c r="D53" s="61"/>
      <c r="E53" s="61"/>
      <c r="F53" s="61"/>
      <c r="G53" s="61"/>
      <c r="I53" s="61" t="s">
        <v>56</v>
      </c>
      <c r="J53" s="62"/>
      <c r="K53" s="61"/>
      <c r="L53" s="61"/>
      <c r="M53" s="61"/>
      <c r="N53" s="61"/>
    </row>
    <row r="54" customFormat="false" ht="15.75" hidden="false" customHeight="true" outlineLevel="0" collapsed="false">
      <c r="B54" s="63" t="s">
        <v>57</v>
      </c>
      <c r="C54" s="64" t="n">
        <v>0.005</v>
      </c>
      <c r="D54" s="64" t="n">
        <v>0.01</v>
      </c>
      <c r="E54" s="64" t="n">
        <v>0.015</v>
      </c>
      <c r="F54" s="64" t="n">
        <v>0.02</v>
      </c>
      <c r="G54" s="64" t="n">
        <v>0.025</v>
      </c>
      <c r="I54" s="63" t="s">
        <v>57</v>
      </c>
      <c r="J54" s="64" t="n">
        <v>0.005</v>
      </c>
      <c r="K54" s="64" t="n">
        <v>0.01</v>
      </c>
      <c r="L54" s="64" t="n">
        <v>0.015</v>
      </c>
      <c r="M54" s="64" t="n">
        <v>0.02</v>
      </c>
      <c r="N54" s="64" t="n">
        <v>0.025</v>
      </c>
    </row>
    <row r="55" customFormat="false" ht="15" hidden="false" customHeight="true" outlineLevel="0" collapsed="false">
      <c r="B55" s="64" t="n">
        <v>0.06</v>
      </c>
      <c r="C55" s="65" t="n">
        <f aca="false">($H$43*0.5/(1+$B$55)^$H$25+$I$43/(1+$B$55)^$I$25+$J$43/(1+$B$55)^$J$25+$K$43/(1+$B$55)^$K$25+$L$43/(1+$B$55)^$L$25+$M$43/(1+$B$55)^$M$25+$N$43/(1+$B$55)^$N$25)+(($N$36*(1+C$54))*(1-$C$3)-($N$27*(1+C$54)-$N$27)*$C$10)/(($B$55-C$54)*(1+$B$55)^$P$25)</f>
        <v>55474.2336739093</v>
      </c>
      <c r="D55" s="65" t="n">
        <f aca="false">($H$43*0.5/(1+$B$55)^$H$25+$I$43/(1+$B$55)^$I$25+$J$43/(1+$B$55)^$J$25+$K$43/(1+$B$55)^$K$25+$L$43/(1+$B$55)^$L$25+$M$43/(1+$B$55)^$M$25+$N$43/(1+$B$55)^$N$25)+(($N$36*(1+D$54))*(1-$C$3)-($N$27*(1+D$54)-$N$27)*$C$10)/(($B$55-D$54)*(1+$B$55)^$P$25)</f>
        <v>59355.2913446201</v>
      </c>
      <c r="E55" s="65" t="n">
        <f aca="false">($H$43*0.5/(1+$B$55)^$H$25+$I$43/(1+$B$55)^$I$25+$J$43/(1+$B$55)^$J$25+$K$43/(1+$B$55)^$K$25+$L$43/(1+$B$55)^$L$25+$M$43/(1+$B$55)^$M$25+$N$43/(1+$B$55)^$N$25)+(($N$36*(1+E$54))*(1-$C$3)-($N$27*(1+E$54)-$N$27)*$C$10)/(($B$55-E$54)*(1+$B$55)^$P$25)</f>
        <v>64098.806275489</v>
      </c>
      <c r="F55" s="65" t="n">
        <f aca="false">($H$43*0.5/(1+$B$55)^$H$25+$I$43/(1+$B$55)^$I$25+$J$43/(1+$B$55)^$J$25+$K$43/(1+$B$55)^$K$25+$L$43/(1+$B$55)^$L$25+$M$43/(1+$B$55)^$M$25+$N$43/(1+$B$55)^$N$25)+(($N$36*(1+F$54))*(1-$C$3)-($N$27*(1+F$54)-$N$27)*$C$10)/(($B$55-F$54)*(1+$B$55)^$P$25)</f>
        <v>70028.199939075</v>
      </c>
      <c r="G55" s="65" t="n">
        <f aca="false">($H$43*0.5/(1+$B$55)^$H$25+$I$43/(1+$B$55)^$I$25+$J$43/(1+$B$55)^$J$25+$K$43/(1+$B$55)^$K$25+$L$43/(1+$B$55)^$L$25+$M$43/(1+$B$55)^$M$25+$N$43/(1+$B$55)^$N$25)+(($N$36*(1+G$54))*(1-$C$3)-($N$27*(1+G$54)-$N$27)*$C$10)/(($B$55-G$54)*(1+$B$55)^$P$25)</f>
        <v>77651.7060779713</v>
      </c>
      <c r="I55" s="64" t="n">
        <v>0.06</v>
      </c>
      <c r="J55" s="66" t="n">
        <f aca="false">C55+'Equity Bridge'!$C$6-'Equity Bridge'!$C$7-'Equity Bridge'!$C$8-'Equity Bridge'!$C$9-'Equity Bridge'!$C$10</f>
        <v>48665.2336739093</v>
      </c>
      <c r="K55" s="66" t="n">
        <f aca="false">D55+'Equity Bridge'!$C$6-'Equity Bridge'!$C$7-'Equity Bridge'!$C$8-'Equity Bridge'!$C$9-'Equity Bridge'!$C$10</f>
        <v>52546.2913446201</v>
      </c>
      <c r="L55" s="66" t="n">
        <f aca="false">E55+'Equity Bridge'!$C$6-'Equity Bridge'!$C$7-'Equity Bridge'!$C$8-'Equity Bridge'!$C$9-'Equity Bridge'!$C$10</f>
        <v>57289.806275489</v>
      </c>
      <c r="M55" s="66" t="n">
        <f aca="false">F55+'Equity Bridge'!$C$6-'Equity Bridge'!$C$7-'Equity Bridge'!$C$8-'Equity Bridge'!$C$9-'Equity Bridge'!$C$10</f>
        <v>63219.199939075</v>
      </c>
      <c r="N55" s="66" t="n">
        <f aca="false">G55+'Equity Bridge'!$C$6-'Equity Bridge'!$C$7-'Equity Bridge'!$C$8-'Equity Bridge'!$C$9-'Equity Bridge'!$C$10</f>
        <v>70842.7060779713</v>
      </c>
    </row>
    <row r="56" customFormat="false" ht="15" hidden="false" customHeight="true" outlineLevel="0" collapsed="false">
      <c r="A56" s="67"/>
      <c r="B56" s="64" t="n">
        <v>0.065</v>
      </c>
      <c r="C56" s="65" t="n">
        <f aca="false">($H$43*0.5/(1+$B$56)^$H$25+$I$43/(1+$B$56)^$I$25+$J$43/(1+$B$56)^$J$25+$K$43/(1+$B$56)^$K$25+$L$43/(1+$B$56)^$L$25+$M$43/(1+$B$56)^$M$25+$N$43/(1+$B$56)^$N$25)+(($N$36*(1+C$54))*(1-$C$3)-($N$27*(1+C$54)-$N$27)*$C$10)/(($B$56-C$54)*(1+$B$56)^$P$25)</f>
        <v>50726.1377509429</v>
      </c>
      <c r="D56" s="65" t="n">
        <f aca="false">($H$43*0.5/(1+$B$56)^$H$25+$I$43/(1+$B$56)^$I$25+$J$43/(1+$B$56)^$J$25+$K$43/(1+$B$56)^$K$25+$L$43/(1+$B$56)^$L$25+$M$43/(1+$B$56)^$M$25+$N$43/(1+$B$56)^$N$25)+(($N$36*(1+D$54))*(1-$C$3)-($N$27*(1+D$54)-$N$27)*$C$10)/(($B$56-D$54)*(1+$B$56)^$P$25)</f>
        <v>53850.738638971</v>
      </c>
      <c r="E56" s="65" t="n">
        <f aca="false">($H$43*0.5/(1+$B$56)^$H$25+$I$43/(1+$B$56)^$I$25+$J$43/(1+$B$56)^$J$25+$K$43/(1+$B$56)^$K$25+$L$43/(1+$B$56)^$L$25+$M$43/(1+$B$56)^$M$25+$N$43/(1+$B$56)^$N$25)+(($N$36*(1+E$54))*(1-$C$3)-($N$27*(1+E$54)-$N$27)*$C$10)/(($B$56-E$54)*(1+$B$56)^$P$25)</f>
        <v>57600.2597046047</v>
      </c>
      <c r="F56" s="65" t="n">
        <f aca="false">($H$43*0.5/(1+$B$56)^$H$25+$I$43/(1+$B$56)^$I$25+$J$43/(1+$B$56)^$J$25+$K$43/(1+$B$56)^$K$25+$L$43/(1+$B$56)^$L$25+$M$43/(1+$B$56)^$M$25+$N$43/(1+$B$56)^$N$25)+(($N$36*(1+F$54))*(1-$C$3)-($N$27*(1+F$54)-$N$27)*$C$10)/(($B$56-F$54)*(1+$B$56)^$P$25)</f>
        <v>62183.0076737126</v>
      </c>
      <c r="G56" s="65" t="n">
        <f aca="false">($H$43*0.5/(1+$B$56)^$H$25+$I$43/(1+$B$56)^$I$25+$J$43/(1+$B$56)^$J$25+$K$43/(1+$B$56)^$K$25+$L$43/(1+$B$56)^$L$25+$M$43/(1+$B$56)^$M$25+$N$43/(1+$B$56)^$N$25)+(($N$36*(1+G$54))*(1-$C$3)-($N$27*(1+G$54)-$N$27)*$C$10)/(($B$56-G$54)*(1+$B$56)^$P$25)</f>
        <v>67911.4426350974</v>
      </c>
      <c r="I56" s="64" t="n">
        <v>0.065</v>
      </c>
      <c r="J56" s="66" t="n">
        <f aca="false">C56+'Equity Bridge'!$C$6-'Equity Bridge'!$C$7-'Equity Bridge'!$C$8-'Equity Bridge'!$C$9-'Equity Bridge'!$C$10</f>
        <v>43917.1377509429</v>
      </c>
      <c r="K56" s="66" t="n">
        <f aca="false">D56+'Equity Bridge'!$C$6-'Equity Bridge'!$C$7-'Equity Bridge'!$C$8-'Equity Bridge'!$C$9-'Equity Bridge'!$C$10</f>
        <v>47041.738638971</v>
      </c>
      <c r="L56" s="66" t="n">
        <f aca="false">E56+'Equity Bridge'!$C$6-'Equity Bridge'!$C$7-'Equity Bridge'!$C$8-'Equity Bridge'!$C$9-'Equity Bridge'!$C$10</f>
        <v>50791.2597046047</v>
      </c>
      <c r="M56" s="66" t="n">
        <f aca="false">F56+'Equity Bridge'!$C$6-'Equity Bridge'!$C$7-'Equity Bridge'!$C$8-'Equity Bridge'!$C$9-'Equity Bridge'!$C$10</f>
        <v>55374.0076737126</v>
      </c>
      <c r="N56" s="66" t="n">
        <f aca="false">G56+'Equity Bridge'!$C$6-'Equity Bridge'!$C$7-'Equity Bridge'!$C$8-'Equity Bridge'!$C$9-'Equity Bridge'!$C$10</f>
        <v>61102.4426350974</v>
      </c>
    </row>
    <row r="57" customFormat="false" ht="15" hidden="false" customHeight="true" outlineLevel="0" collapsed="false">
      <c r="A57" s="67"/>
      <c r="B57" s="64" t="n">
        <v>0.07</v>
      </c>
      <c r="C57" s="65" t="n">
        <f aca="false">($H$43*0.5/(1+$B$57)^$H$25+$I$43/(1+$B$57)^$I$25+$J$43/(1+$B$57)^$J$25+$K$43/(1+$B$57)^$K$25+$L$43/(1+$B$57)^$L$25+$M$43/(1+$B$57)^$M$25+$N$43/(1+$B$57)^$N$25)+(($N$36*(1+C$54))*(1-$C$3)-($N$27*(1+C$54)-$N$27)*$C$10)/(($B$57-C$54)*(1+$B$57)^$P$25)</f>
        <v>46711.1854861332</v>
      </c>
      <c r="D57" s="65" t="n">
        <f aca="false">($H$43*0.5/(1+$B$57)^$H$25+$I$43/(1+$B$57)^$I$25+$J$43/(1+$B$57)^$J$25+$K$43/(1+$B$57)^$K$25+$L$43/(1+$B$57)^$L$25+$M$43/(1+$B$57)^$M$25+$N$43/(1+$B$57)^$N$25)+(($N$36*(1+D$54))*(1-$C$3)-($N$27*(1+D$54)-$N$27)*$C$10)/(($B$57-D$54)*(1+$B$57)^$P$25)</f>
        <v>49265.7990068113</v>
      </c>
      <c r="E57" s="65" t="n">
        <f aca="false">($H$43*0.5/(1+$B$57)^$H$25+$I$43/(1+$B$57)^$I$25+$J$43/(1+$B$57)^$J$25+$K$43/(1+$B$57)^$K$25+$L$43/(1+$B$57)^$L$25+$M$43/(1+$B$57)^$M$25+$N$43/(1+$B$57)^$N$25)+(($N$36*(1+E$54))*(1-$C$3)-($N$27*(1+E$54)-$N$27)*$C$10)/(($B$57-E$54)*(1+$B$57)^$P$25)</f>
        <v>52284.8877130672</v>
      </c>
      <c r="F57" s="65" t="n">
        <f aca="false">($H$43*0.5/(1+$B$57)^$H$25+$I$43/(1+$B$57)^$I$25+$J$43/(1+$B$57)^$J$25+$K$43/(1+$B$57)^$K$25+$L$43/(1+$B$57)^$L$25+$M$43/(1+$B$57)^$M$25+$N$43/(1+$B$57)^$N$25)+(($N$36*(1+F$54))*(1-$C$3)-($N$27*(1+F$54)-$N$27)*$C$10)/(($B$57-F$54)*(1+$B$57)^$P$25)</f>
        <v>55907.7941605743</v>
      </c>
      <c r="G57" s="22" t="n">
        <f aca="false">($H$43*0.5/(1+$B$57)^$H$25+$I$43/(1+$B$57)^$I$25+$J$43/(1+$B$57)^$J$25+$K$43/(1+$B$57)^$K$25+$L$43/(1+$B$57)^$L$25+$M$43/(1+$B$57)^$M$25+$N$43/(1+$B$57)^$N$25)+(($N$36*(1+G$54))*(1-$C$3)-($N$27*(1+G$54)-$N$27)*$C$10)/(($B$57-G$54)*(1+$B$57)^$P$25)</f>
        <v>60335.7909297497</v>
      </c>
      <c r="I57" s="64" t="n">
        <v>0.07</v>
      </c>
      <c r="J57" s="66" t="n">
        <f aca="false">C57+'Equity Bridge'!$C$6-'Equity Bridge'!$C$7-'Equity Bridge'!$C$8-'Equity Bridge'!$C$9-'Equity Bridge'!$C$10</f>
        <v>39902.1854861332</v>
      </c>
      <c r="K57" s="66" t="n">
        <f aca="false">D57+'Equity Bridge'!$C$6-'Equity Bridge'!$C$7-'Equity Bridge'!$C$8-'Equity Bridge'!$C$9-'Equity Bridge'!$C$10</f>
        <v>42456.7990068113</v>
      </c>
      <c r="L57" s="66" t="n">
        <f aca="false">E57+'Equity Bridge'!$C$6-'Equity Bridge'!$C$7-'Equity Bridge'!$C$8-'Equity Bridge'!$C$9-'Equity Bridge'!$C$10</f>
        <v>45475.8877130672</v>
      </c>
      <c r="M57" s="66" t="n">
        <f aca="false">F57+'Equity Bridge'!$C$6-'Equity Bridge'!$C$7-'Equity Bridge'!$C$8-'Equity Bridge'!$C$9-'Equity Bridge'!$C$10</f>
        <v>49098.7941605743</v>
      </c>
      <c r="N57" s="68" t="n">
        <f aca="false">G57+'Equity Bridge'!$C$6-'Equity Bridge'!$C$7-'Equity Bridge'!$C$8-'Equity Bridge'!$C$9-'Equity Bridge'!$C$10</f>
        <v>53526.7909297497</v>
      </c>
    </row>
    <row r="58" customFormat="false" ht="15" hidden="false" customHeight="true" outlineLevel="0" collapsed="false">
      <c r="A58" s="67"/>
      <c r="B58" s="64" t="n">
        <v>0.075</v>
      </c>
      <c r="C58" s="65" t="n">
        <f aca="false">($H$43*0.5/(1+$B$58)^$H$25+$I$43/(1+$B$58)^$I$25+$J$43/(1+$B$58)^$J$25+$K$43/(1+$B$58)^$K$25+$L$43/(1+$B$58)^$L$25+$M$43/(1+$B$58)^$M$25+$N$43/(1+$B$58)^$N$25)+(($N$36*(1+C$54))*(1-$C$3)-($N$27*(1+C$54)-$N$27)*$C$10)/(($B$58-C$54)*(1+$B$58)^$P$25)</f>
        <v>43272.1983592538</v>
      </c>
      <c r="D58" s="65" t="n">
        <f aca="false">($H$43*0.5/(1+$B$58)^$H$25+$I$43/(1+$B$58)^$I$25+$J$43/(1+$B$58)^$J$25+$K$43/(1+$B$58)^$K$25+$L$43/(1+$B$58)^$L$25+$M$43/(1+$B$58)^$M$25+$N$43/(1+$B$58)^$N$25)+(($N$36*(1+D$54))*(1-$C$3)-($N$27*(1+D$54)-$N$27)*$C$10)/(($B$58-D$54)*(1+$B$58)^$P$25)</f>
        <v>45388.193794853</v>
      </c>
      <c r="E58" s="65" t="n">
        <f aca="false">($H$43*0.5/(1+$B$58)^$H$25+$I$43/(1+$B$58)^$I$25+$J$43/(1+$B$58)^$J$25+$K$43/(1+$B$58)^$K$25+$L$43/(1+$B$58)^$L$25+$M$43/(1+$B$58)^$M$25+$N$43/(1+$B$58)^$N$25)+(($N$36*(1+E$54))*(1-$C$3)-($N$27*(1+E$54)-$N$27)*$C$10)/(($B$58-E$54)*(1+$B$58)^$P$25)</f>
        <v>47856.8551363855</v>
      </c>
      <c r="F58" s="65" t="n">
        <f aca="false">($H$43*0.5/(1+$B$58)^$H$25+$I$43/(1+$B$58)^$I$25+$J$43/(1+$B$58)^$J$25+$K$43/(1+$B$58)^$K$25+$L$43/(1+$B$58)^$L$25+$M$43/(1+$B$58)^$M$25+$N$43/(1+$B$58)^$N$25)+(($N$36*(1+F$54))*(1-$C$3)-($N$27*(1+F$54)-$N$27)*$C$10)/(($B$58-F$54)*(1+$B$58)^$P$25)</f>
        <v>50774.3639945603</v>
      </c>
      <c r="G58" s="22" t="n">
        <f aca="false">($H$43*0.5/(1+$B$58)^$H$25+$I$43/(1+$B$58)^$I$25+$J$43/(1+$B$58)^$J$25+$K$43/(1+$B$58)^$K$25+$L$43/(1+$B$58)^$L$25+$M$43/(1+$B$58)^$M$25+$N$43/(1+$B$58)^$N$25)+(($N$36*(1+G$54))*(1-$C$3)-($N$27*(1+G$54)-$N$27)*$C$10)/(($B$58-G$54)*(1+$B$58)^$P$25)</f>
        <v>54275.3746243701</v>
      </c>
      <c r="I58" s="64" t="n">
        <v>0.075</v>
      </c>
      <c r="J58" s="66" t="n">
        <f aca="false">C58+'Equity Bridge'!$C$6-'Equity Bridge'!$C$7-'Equity Bridge'!$C$8-'Equity Bridge'!$C$9-'Equity Bridge'!$C$10</f>
        <v>36463.1983592538</v>
      </c>
      <c r="K58" s="66" t="n">
        <f aca="false">D58+'Equity Bridge'!$C$6-'Equity Bridge'!$C$7-'Equity Bridge'!$C$8-'Equity Bridge'!$C$9-'Equity Bridge'!$C$10</f>
        <v>38579.193794853</v>
      </c>
      <c r="L58" s="66" t="n">
        <f aca="false">E58+'Equity Bridge'!$C$6-'Equity Bridge'!$C$7-'Equity Bridge'!$C$8-'Equity Bridge'!$C$9-'Equity Bridge'!$C$10</f>
        <v>41047.8551363855</v>
      </c>
      <c r="M58" s="66" t="n">
        <f aca="false">F58+'Equity Bridge'!$C$6-'Equity Bridge'!$C$7-'Equity Bridge'!$C$8-'Equity Bridge'!$C$9-'Equity Bridge'!$C$10</f>
        <v>43965.3639945603</v>
      </c>
      <c r="N58" s="68" t="n">
        <f aca="false">G58+'Equity Bridge'!$C$6-'Equity Bridge'!$C$7-'Equity Bridge'!$C$8-'Equity Bridge'!$C$9-'Equity Bridge'!$C$10</f>
        <v>47466.3746243701</v>
      </c>
    </row>
    <row r="59" customFormat="false" ht="15" hidden="false" customHeight="true" outlineLevel="0" collapsed="false">
      <c r="A59" s="67"/>
      <c r="B59" s="64" t="n">
        <v>0.08</v>
      </c>
      <c r="C59" s="65" t="n">
        <f aca="false">($H$43*0.5/(1+$B$59)^$H$25+$I$43/(1+$B$59)^$I$25+$J$43/(1+$B$59)^$J$25+$K$43/(1+$B$59)^$K$25+$L$43/(1+$B$59)^$L$25+$M$43/(1+$B$59)^$M$25+$N$43/(1+$B$59)^$N$25)+(($N$36*(1+C$54))*(1-$C$3)-($N$27*(1+C$54)-$N$27)*$C$10)/(($B$59-C$54)*(1+$B$59)^$P$25)</f>
        <v>40293.9148405222</v>
      </c>
      <c r="D59" s="65" t="n">
        <f aca="false">($H$43*0.5/(1+$B$59)^$H$25+$I$43/(1+$B$59)^$I$25+$J$43/(1+$B$59)^$J$25+$K$43/(1+$B$59)^$K$25+$L$43/(1+$B$59)^$L$25+$M$43/(1+$B$59)^$M$25+$N$43/(1+$B$59)^$N$25)+(($N$36*(1+D$54))*(1-$C$3)-($N$27*(1+D$54)-$N$27)*$C$10)/(($B$59-D$54)*(1+$B$59)^$P$25)</f>
        <v>42066.2975032229</v>
      </c>
      <c r="E59" s="65" t="n">
        <f aca="false">($H$43*0.5/(1+$B$59)^$H$25+$I$43/(1+$B$59)^$I$25+$J$43/(1+$B$59)^$J$25+$K$43/(1+$B$59)^$K$25+$L$43/(1+$B$59)^$L$25+$M$43/(1+$B$59)^$M$25+$N$43/(1+$B$59)^$N$25)+(($N$36*(1+E$54))*(1-$C$3)-($N$27*(1+E$54)-$N$27)*$C$10)/(($B$59-E$54)*(1+$B$59)^$P$25)</f>
        <v>44111.3544217236</v>
      </c>
      <c r="F59" s="65" t="n">
        <f aca="false">($H$43*0.5/(1+$B$59)^$H$25+$I$43/(1+$B$59)^$I$25+$J$43/(1+$B$59)^$J$25+$K$43/(1+$B$59)^$K$25+$L$43/(1+$B$59)^$L$25+$M$43/(1+$B$59)^$M$25+$N$43/(1+$B$59)^$N$25)+(($N$36*(1+F$54))*(1-$C$3)-($N$27*(1+F$54)-$N$27)*$C$10)/(($B$59-F$54)*(1+$B$59)^$P$25)</f>
        <v>46497.2541599745</v>
      </c>
      <c r="G59" s="22" t="n">
        <f aca="false">($H$43*0.5/(1+$B$59)^$H$25+$I$43/(1+$B$59)^$I$25+$J$43/(1+$B$59)^$J$25+$K$43/(1+$B$59)^$K$25+$L$43/(1+$B$59)^$L$25+$M$43/(1+$B$59)^$M$25+$N$43/(1+$B$59)^$N$25)+(($N$36*(1+G$54))*(1-$C$3)-($N$27*(1+G$54)-$N$27)*$C$10)/(($B$59-G$54)*(1+$B$59)^$P$25)</f>
        <v>49316.9538506346</v>
      </c>
      <c r="I59" s="64" t="n">
        <v>0.08</v>
      </c>
      <c r="J59" s="66" t="n">
        <f aca="false">C59+'Equity Bridge'!$C$6-'Equity Bridge'!$C$7-'Equity Bridge'!$C$8-'Equity Bridge'!$C$9-'Equity Bridge'!$C$10</f>
        <v>33484.9148405222</v>
      </c>
      <c r="K59" s="66" t="n">
        <f aca="false">D59+'Equity Bridge'!$C$6-'Equity Bridge'!$C$7-'Equity Bridge'!$C$8-'Equity Bridge'!$C$9-'Equity Bridge'!$C$10</f>
        <v>35257.2975032229</v>
      </c>
      <c r="L59" s="66" t="n">
        <f aca="false">E59+'Equity Bridge'!$C$6-'Equity Bridge'!$C$7-'Equity Bridge'!$C$8-'Equity Bridge'!$C$9-'Equity Bridge'!$C$10</f>
        <v>37302.3544217236</v>
      </c>
      <c r="M59" s="66" t="n">
        <f aca="false">F59+'Equity Bridge'!$C$6-'Equity Bridge'!$C$7-'Equity Bridge'!$C$8-'Equity Bridge'!$C$9-'Equity Bridge'!$C$10</f>
        <v>39688.2541599745</v>
      </c>
      <c r="N59" s="68" t="n">
        <f aca="false">G59+'Equity Bridge'!$C$6-'Equity Bridge'!$C$7-'Equity Bridge'!$C$8-'Equity Bridge'!$C$9-'Equity Bridge'!$C$10</f>
        <v>42507.9538506346</v>
      </c>
    </row>
    <row r="60" customFormat="false" ht="15" hidden="false" customHeight="true" outlineLevel="0" collapsed="false">
      <c r="A60" s="67"/>
    </row>
    <row r="64" customFormat="false" ht="15" hidden="false" customHeight="true" outlineLevel="0" collapsed="false">
      <c r="C64" s="69"/>
      <c r="E64" s="69"/>
      <c r="J64" s="60"/>
      <c r="K64" s="60"/>
      <c r="L64" s="60"/>
      <c r="M64" s="60"/>
      <c r="N64" s="60"/>
    </row>
    <row r="65" customFormat="false" ht="15" hidden="false" customHeight="true" outlineLevel="0" collapsed="false">
      <c r="J65" s="60"/>
      <c r="K65" s="60"/>
      <c r="L65" s="60"/>
      <c r="M65" s="60"/>
      <c r="N65" s="60"/>
    </row>
    <row r="66" customFormat="false" ht="15" hidden="false" customHeight="true" outlineLevel="0" collapsed="false">
      <c r="J66" s="60"/>
      <c r="K66" s="60"/>
      <c r="L66" s="60"/>
      <c r="M66" s="60"/>
      <c r="N66" s="60"/>
    </row>
    <row r="67" customFormat="false" ht="15" hidden="false" customHeight="true" outlineLevel="0" collapsed="false">
      <c r="J67" s="60"/>
      <c r="K67" s="60"/>
      <c r="L67" s="60"/>
      <c r="M67" s="60"/>
      <c r="N67" s="60"/>
    </row>
    <row r="68" customFormat="false" ht="15" hidden="false" customHeight="true" outlineLevel="0" collapsed="false">
      <c r="J68" s="60"/>
      <c r="K68" s="60"/>
      <c r="L68" s="60"/>
      <c r="M68" s="60"/>
      <c r="N68" s="60"/>
    </row>
    <row r="74" customFormat="false" ht="15" hidden="false" customHeight="true" outlineLevel="0" collapsed="false">
      <c r="J74" s="69"/>
    </row>
  </sheetData>
  <mergeCells count="1">
    <mergeCell ref="A56:A60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0390625" defaultRowHeight="15" customHeight="false" zeroHeight="false" outlineLevelRow="0" outlineLevelCol="0"/>
  <cols>
    <col collapsed="false" customWidth="false" hidden="false" outlineLevel="0" max="1" min="1" style="1" width="11"/>
    <col collapsed="false" customWidth="true" hidden="false" outlineLevel="0" max="2" min="2" style="1" width="40.29"/>
    <col collapsed="false" customWidth="true" hidden="false" outlineLevel="0" max="3" min="3" style="1" width="16.29"/>
    <col collapsed="false" customWidth="false" hidden="false" outlineLevel="0" max="8" min="4" style="1" width="11"/>
    <col collapsed="false" customWidth="true" hidden="false" outlineLevel="0" max="9" min="9" style="1" width="21.71"/>
    <col collapsed="false" customWidth="false" hidden="false" outlineLevel="0" max="13" min="10" style="1" width="11"/>
    <col collapsed="false" customWidth="true" hidden="false" outlineLevel="0" max="14" min="14" style="1" width="12.71"/>
    <col collapsed="false" customWidth="false" hidden="false" outlineLevel="0" max="16384" min="15" style="1" width="11"/>
  </cols>
  <sheetData>
    <row r="2" customFormat="false" ht="15" hidden="false" customHeight="true" outlineLevel="0" collapsed="false">
      <c r="B2" s="70" t="s">
        <v>58</v>
      </c>
      <c r="C2" s="71"/>
      <c r="F2" s="4" t="s">
        <v>59</v>
      </c>
      <c r="G2" s="4"/>
      <c r="H2" s="11" t="s">
        <v>60</v>
      </c>
      <c r="I2" s="72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26"/>
      <c r="O2" s="26"/>
    </row>
    <row r="3" customFormat="false" ht="15" hidden="false" customHeight="true" outlineLevel="0" collapsed="false">
      <c r="B3" s="73"/>
      <c r="C3" s="14"/>
      <c r="F3" s="6" t="s">
        <v>66</v>
      </c>
      <c r="G3" s="23"/>
      <c r="H3" s="74" t="n">
        <v>0.92</v>
      </c>
      <c r="I3" s="20" t="n">
        <v>-44058</v>
      </c>
      <c r="J3" s="8" t="n">
        <v>0.206</v>
      </c>
      <c r="K3" s="20" t="n">
        <v>669572</v>
      </c>
      <c r="L3" s="18" t="n">
        <f aca="false">I3/K3</f>
        <v>-0.0658002425429976</v>
      </c>
      <c r="M3" s="75" t="n">
        <f aca="false">H3/(1+(1-J3)*L3)</f>
        <v>0.970715407550074</v>
      </c>
      <c r="N3" s="76"/>
      <c r="O3" s="76"/>
    </row>
    <row r="4" customFormat="false" ht="15" hidden="false" customHeight="true" outlineLevel="0" collapsed="false">
      <c r="B4" s="73" t="s">
        <v>67</v>
      </c>
      <c r="C4" s="77" t="n">
        <v>0.029</v>
      </c>
      <c r="F4" s="6" t="s">
        <v>68</v>
      </c>
      <c r="G4" s="23"/>
      <c r="H4" s="74" t="n">
        <v>0.94</v>
      </c>
      <c r="I4" s="20" t="n">
        <v>-9161</v>
      </c>
      <c r="J4" s="8" t="n">
        <v>0.3</v>
      </c>
      <c r="K4" s="20" t="n">
        <v>32431</v>
      </c>
      <c r="L4" s="18" t="n">
        <f aca="false">I4/K4</f>
        <v>-0.282476642718387</v>
      </c>
      <c r="M4" s="75" t="n">
        <f aca="false">H4/(1+(1-J4)*L4)</f>
        <v>1.17168070165999</v>
      </c>
      <c r="N4" s="76"/>
      <c r="O4" s="76"/>
    </row>
    <row r="5" customFormat="false" ht="15" hidden="false" customHeight="true" outlineLevel="0" collapsed="false">
      <c r="B5" s="73" t="s">
        <v>69</v>
      </c>
      <c r="C5" s="78" t="n">
        <v>0.0423</v>
      </c>
      <c r="F5" s="1" t="s">
        <v>70</v>
      </c>
      <c r="G5" s="23"/>
      <c r="H5" s="74" t="n">
        <v>1.23</v>
      </c>
      <c r="I5" s="79"/>
      <c r="J5" s="7"/>
      <c r="K5" s="79"/>
      <c r="L5" s="7"/>
      <c r="M5" s="80"/>
      <c r="N5" s="76"/>
      <c r="O5" s="76"/>
    </row>
    <row r="6" customFormat="false" ht="15" hidden="false" customHeight="true" outlineLevel="0" collapsed="false">
      <c r="B6" s="73" t="s">
        <v>71</v>
      </c>
      <c r="C6" s="17" t="n">
        <f aca="false">C26</f>
        <v>0.237311511585142</v>
      </c>
      <c r="F6" s="6" t="s">
        <v>72</v>
      </c>
      <c r="G6" s="18" t="n">
        <f aca="false">AVERAGE(M3:M4)</f>
        <v>1.07119805460503</v>
      </c>
      <c r="H6" s="81"/>
      <c r="I6" s="79"/>
      <c r="J6" s="7"/>
      <c r="K6" s="79"/>
      <c r="L6" s="7"/>
      <c r="M6" s="80"/>
      <c r="N6" s="76"/>
      <c r="O6" s="76"/>
    </row>
    <row r="7" customFormat="false" ht="15" hidden="false" customHeight="true" outlineLevel="0" collapsed="false">
      <c r="B7" s="73" t="s">
        <v>73</v>
      </c>
      <c r="C7" s="19" t="n">
        <f aca="false">G6*(1+(1-C29)*C28)</f>
        <v>1.30451131865023</v>
      </c>
      <c r="F7" s="6"/>
      <c r="G7" s="6"/>
      <c r="H7" s="81"/>
      <c r="I7" s="79"/>
      <c r="J7" s="82"/>
      <c r="K7" s="79"/>
      <c r="L7" s="82"/>
      <c r="M7" s="76"/>
      <c r="N7" s="76"/>
      <c r="O7" s="76"/>
    </row>
    <row r="8" customFormat="false" ht="15" hidden="false" customHeight="true" outlineLevel="0" collapsed="false">
      <c r="B8" s="83"/>
      <c r="C8" s="84"/>
      <c r="F8" s="6"/>
      <c r="G8" s="6"/>
      <c r="H8" s="81"/>
      <c r="I8" s="79"/>
      <c r="J8" s="82"/>
      <c r="K8" s="79"/>
      <c r="L8" s="82"/>
      <c r="M8" s="76"/>
      <c r="N8" s="76"/>
      <c r="O8" s="76"/>
    </row>
    <row r="9" customFormat="false" ht="15" hidden="false" customHeight="true" outlineLevel="0" collapsed="false">
      <c r="B9" s="73"/>
      <c r="C9" s="14"/>
      <c r="F9" s="6"/>
      <c r="G9" s="6"/>
      <c r="H9" s="81"/>
      <c r="I9" s="79"/>
      <c r="J9" s="82"/>
      <c r="K9" s="79"/>
      <c r="L9" s="82"/>
      <c r="M9" s="76"/>
      <c r="N9" s="76"/>
      <c r="O9" s="76"/>
    </row>
    <row r="10" customFormat="false" ht="15" hidden="false" customHeight="true" outlineLevel="0" collapsed="false">
      <c r="B10" s="72" t="s">
        <v>74</v>
      </c>
      <c r="C10" s="85" t="n">
        <f aca="false">C4+C7*C5</f>
        <v>0.0841808287789046</v>
      </c>
      <c r="F10" s="6"/>
      <c r="G10" s="6"/>
      <c r="H10" s="81"/>
      <c r="I10" s="79"/>
      <c r="J10" s="82"/>
      <c r="K10" s="79"/>
      <c r="L10" s="82"/>
      <c r="M10" s="76"/>
      <c r="N10" s="76"/>
      <c r="O10" s="76"/>
    </row>
    <row r="11" customFormat="false" ht="15" hidden="false" customHeight="true" outlineLevel="0" collapsed="false">
      <c r="B11" s="6"/>
      <c r="C11" s="6"/>
      <c r="F11" s="6"/>
      <c r="G11" s="6"/>
      <c r="H11" s="81"/>
      <c r="I11" s="79"/>
      <c r="J11" s="82"/>
      <c r="K11" s="79"/>
      <c r="L11" s="82"/>
      <c r="M11" s="76"/>
      <c r="N11" s="76"/>
      <c r="O11" s="76"/>
    </row>
    <row r="12" customFormat="false" ht="15" hidden="false" customHeight="true" outlineLevel="0" collapsed="false">
      <c r="B12" s="70" t="s">
        <v>75</v>
      </c>
      <c r="C12" s="71"/>
      <c r="F12" s="6"/>
      <c r="G12" s="6"/>
      <c r="H12" s="81"/>
      <c r="I12" s="79"/>
      <c r="J12" s="82"/>
      <c r="K12" s="79"/>
      <c r="L12" s="82"/>
      <c r="M12" s="76"/>
      <c r="N12" s="76"/>
      <c r="O12" s="76"/>
    </row>
    <row r="13" customFormat="false" ht="15" hidden="false" customHeight="true" outlineLevel="0" collapsed="false">
      <c r="B13" s="86" t="s">
        <v>76</v>
      </c>
      <c r="C13" s="77" t="n">
        <v>0.0095</v>
      </c>
      <c r="F13" s="6"/>
      <c r="G13" s="6"/>
      <c r="H13" s="81"/>
      <c r="I13" s="79"/>
      <c r="J13" s="82"/>
      <c r="K13" s="79"/>
      <c r="L13" s="82"/>
      <c r="M13" s="76"/>
      <c r="N13" s="76"/>
      <c r="O13" s="76"/>
    </row>
    <row r="14" customFormat="false" ht="15" hidden="false" customHeight="true" outlineLevel="0" collapsed="false">
      <c r="B14" s="73" t="s">
        <v>67</v>
      </c>
      <c r="C14" s="17" t="n">
        <f aca="false">C4</f>
        <v>0.029</v>
      </c>
      <c r="F14" s="6"/>
      <c r="G14" s="6"/>
      <c r="H14" s="81"/>
      <c r="I14" s="79"/>
      <c r="J14" s="82"/>
      <c r="K14" s="79"/>
      <c r="L14" s="82"/>
      <c r="M14" s="76"/>
      <c r="N14" s="76"/>
      <c r="O14" s="76"/>
    </row>
    <row r="15" customFormat="false" ht="15.75" hidden="false" customHeight="true" outlineLevel="0" collapsed="false">
      <c r="B15" s="73" t="s">
        <v>77</v>
      </c>
      <c r="C15" s="17" t="n">
        <f aca="false">C13+C14</f>
        <v>0.0385</v>
      </c>
      <c r="F15" s="87"/>
      <c r="G15" s="87"/>
      <c r="H15" s="88"/>
      <c r="I15" s="89"/>
      <c r="J15" s="90"/>
      <c r="K15" s="91"/>
      <c r="L15" s="90"/>
      <c r="M15" s="92"/>
      <c r="N15" s="76"/>
      <c r="O15" s="76"/>
    </row>
    <row r="16" customFormat="false" ht="15.75" hidden="false" customHeight="true" outlineLevel="0" collapsed="false">
      <c r="B16" s="73" t="s">
        <v>78</v>
      </c>
      <c r="C16" s="78" t="n">
        <v>0.3</v>
      </c>
      <c r="F16" s="6"/>
      <c r="G16" s="6"/>
      <c r="H16" s="93"/>
      <c r="I16" s="93"/>
      <c r="J16" s="93"/>
      <c r="K16" s="93"/>
      <c r="L16" s="93"/>
      <c r="M16" s="94"/>
      <c r="N16" s="93"/>
      <c r="O16" s="93"/>
    </row>
    <row r="17" customFormat="false" ht="15" hidden="false" customHeight="true" outlineLevel="0" collapsed="false">
      <c r="B17" s="73" t="s">
        <v>79</v>
      </c>
      <c r="C17" s="17" t="n">
        <f aca="false">C15*(1-C16)</f>
        <v>0.02695</v>
      </c>
      <c r="F17" s="6"/>
      <c r="G17" s="6"/>
      <c r="H17" s="93"/>
      <c r="I17" s="93"/>
      <c r="J17" s="93"/>
      <c r="K17" s="93"/>
      <c r="L17" s="93"/>
      <c r="M17" s="94"/>
      <c r="N17" s="94"/>
      <c r="O17" s="94"/>
    </row>
    <row r="18" customFormat="false" ht="15" hidden="false" customHeight="true" outlineLevel="0" collapsed="false">
      <c r="B18" s="73"/>
      <c r="C18" s="14"/>
      <c r="J18" s="95"/>
    </row>
    <row r="19" customFormat="false" ht="15" hidden="false" customHeight="true" outlineLevel="0" collapsed="false">
      <c r="B19" s="73"/>
      <c r="C19" s="14"/>
    </row>
    <row r="20" customFormat="false" ht="15" hidden="false" customHeight="true" outlineLevel="0" collapsed="false">
      <c r="B20" s="72" t="s">
        <v>75</v>
      </c>
      <c r="C20" s="85" t="n">
        <f aca="false">C17</f>
        <v>0.02695</v>
      </c>
    </row>
    <row r="21" customFormat="false" ht="15" hidden="false" customHeight="true" outlineLevel="0" collapsed="false">
      <c r="B21" s="6"/>
      <c r="C21" s="6"/>
      <c r="K21" s="24"/>
      <c r="L21" s="6"/>
      <c r="M21" s="6"/>
    </row>
    <row r="22" customFormat="false" ht="15" hidden="false" customHeight="true" outlineLevel="0" collapsed="false">
      <c r="B22" s="70" t="s">
        <v>80</v>
      </c>
      <c r="C22" s="71"/>
      <c r="K22" s="6"/>
      <c r="L22" s="6"/>
      <c r="M22" s="6"/>
    </row>
    <row r="23" customFormat="false" ht="15" hidden="false" customHeight="true" outlineLevel="0" collapsed="false">
      <c r="B23" s="86"/>
      <c r="C23" s="14"/>
      <c r="K23" s="6"/>
      <c r="L23" s="96"/>
      <c r="M23" s="96"/>
    </row>
    <row r="24" customFormat="false" ht="15" hidden="false" customHeight="true" outlineLevel="0" collapsed="false">
      <c r="B24" s="73" t="s">
        <v>81</v>
      </c>
      <c r="C24" s="21" t="n">
        <v>16590</v>
      </c>
      <c r="K24" s="6"/>
      <c r="L24" s="42"/>
      <c r="M24" s="42"/>
    </row>
    <row r="25" customFormat="false" ht="15" hidden="false" customHeight="true" outlineLevel="0" collapsed="false">
      <c r="B25" s="73" t="s">
        <v>82</v>
      </c>
      <c r="C25" s="97" t="n">
        <v>5162</v>
      </c>
      <c r="K25" s="6"/>
      <c r="L25" s="42"/>
      <c r="M25" s="42"/>
    </row>
    <row r="26" customFormat="false" ht="15" hidden="false" customHeight="true" outlineLevel="0" collapsed="false">
      <c r="B26" s="73" t="s">
        <v>83</v>
      </c>
      <c r="C26" s="17" t="n">
        <f aca="false">C25/(C24+C25)</f>
        <v>0.237311511585142</v>
      </c>
      <c r="K26" s="6"/>
      <c r="L26" s="42"/>
      <c r="M26" s="42"/>
    </row>
    <row r="27" customFormat="false" ht="15" hidden="false" customHeight="true" outlineLevel="0" collapsed="false">
      <c r="B27" s="73" t="s">
        <v>84</v>
      </c>
      <c r="C27" s="17" t="n">
        <f aca="false">C24/(C24+C25)</f>
        <v>0.762688488414858</v>
      </c>
      <c r="K27" s="6"/>
      <c r="L27" s="42"/>
      <c r="M27" s="42"/>
    </row>
    <row r="28" customFormat="false" ht="15" hidden="false" customHeight="true" outlineLevel="0" collapsed="false">
      <c r="B28" s="73" t="s">
        <v>85</v>
      </c>
      <c r="C28" s="19" t="n">
        <f aca="false">C25/C24</f>
        <v>0.311151295961423</v>
      </c>
      <c r="K28" s="6"/>
      <c r="L28" s="42"/>
      <c r="M28" s="42"/>
    </row>
    <row r="29" customFormat="false" ht="15" hidden="false" customHeight="true" outlineLevel="0" collapsed="false">
      <c r="B29" s="73" t="s">
        <v>78</v>
      </c>
      <c r="C29" s="78" t="n">
        <v>0.3</v>
      </c>
      <c r="K29" s="6"/>
      <c r="L29" s="42"/>
      <c r="M29" s="42"/>
    </row>
    <row r="30" customFormat="false" ht="15" hidden="false" customHeight="true" outlineLevel="0" collapsed="false">
      <c r="B30" s="73"/>
      <c r="C30" s="14"/>
      <c r="K30" s="6"/>
      <c r="L30" s="42"/>
      <c r="M30" s="42"/>
    </row>
    <row r="31" customFormat="false" ht="15" hidden="false" customHeight="true" outlineLevel="0" collapsed="false">
      <c r="B31" s="72" t="s">
        <v>7</v>
      </c>
      <c r="C31" s="98" t="n">
        <f aca="false">C27*C10+C26*C17</f>
        <v>0.0705992942921123</v>
      </c>
      <c r="K31" s="6"/>
      <c r="L31" s="42"/>
      <c r="M31" s="42"/>
    </row>
    <row r="32" customFormat="false" ht="15" hidden="false" customHeight="true" outlineLevel="0" collapsed="false">
      <c r="K32" s="6"/>
      <c r="L32" s="42"/>
      <c r="M32" s="42"/>
    </row>
    <row r="33" customFormat="false" ht="15" hidden="false" customHeight="true" outlineLevel="0" collapsed="false">
      <c r="K33" s="6"/>
      <c r="L33" s="6"/>
      <c r="M33" s="6"/>
    </row>
    <row r="34" customFormat="false" ht="15" hidden="false" customHeight="true" outlineLevel="0" collapsed="false">
      <c r="K34" s="6"/>
      <c r="L34" s="6"/>
      <c r="M34" s="42"/>
    </row>
    <row r="35" customFormat="false" ht="15" hidden="false" customHeight="true" outlineLevel="0" collapsed="false">
      <c r="K35" s="6"/>
      <c r="L35" s="6"/>
      <c r="M35" s="42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0390625" defaultRowHeight="15" customHeight="false" zeroHeight="false" outlineLevelRow="0" outlineLevelCol="0"/>
  <cols>
    <col collapsed="false" customWidth="false" hidden="false" outlineLevel="0" max="1" min="1" style="1" width="11"/>
    <col collapsed="false" customWidth="true" hidden="false" outlineLevel="0" max="2" min="2" style="1" width="27.29"/>
    <col collapsed="false" customWidth="true" hidden="false" outlineLevel="0" max="3" min="3" style="1" width="12.29"/>
    <col collapsed="false" customWidth="false" hidden="false" outlineLevel="0" max="16384" min="4" style="1" width="11"/>
  </cols>
  <sheetData>
    <row r="2" customFormat="false" ht="15" hidden="false" customHeight="true" outlineLevel="0" collapsed="false">
      <c r="B2" s="99" t="s">
        <v>86</v>
      </c>
      <c r="C2" s="100"/>
    </row>
    <row r="5" customFormat="false" ht="15" hidden="false" customHeight="true" outlineLevel="0" collapsed="false">
      <c r="B5" s="61" t="s">
        <v>54</v>
      </c>
      <c r="C5" s="66" t="n">
        <f aca="false">'FCFF &amp; DCF'!H50</f>
        <v>51712.0592569798</v>
      </c>
    </row>
    <row r="6" customFormat="false" ht="15" hidden="false" customHeight="true" outlineLevel="0" collapsed="false">
      <c r="B6" s="101" t="s">
        <v>87</v>
      </c>
      <c r="C6" s="102" t="n">
        <v>2277</v>
      </c>
    </row>
    <row r="7" customFormat="false" ht="15" hidden="false" customHeight="true" outlineLevel="0" collapsed="false">
      <c r="B7" s="103" t="s">
        <v>88</v>
      </c>
      <c r="C7" s="20" t="n">
        <v>7439</v>
      </c>
    </row>
    <row r="8" customFormat="false" ht="15" hidden="false" customHeight="true" outlineLevel="0" collapsed="false">
      <c r="B8" s="103" t="s">
        <v>89</v>
      </c>
      <c r="C8" s="20" t="n">
        <v>1644</v>
      </c>
    </row>
    <row r="9" customFormat="false" ht="15" hidden="false" customHeight="true" outlineLevel="0" collapsed="false">
      <c r="B9" s="103" t="s">
        <v>90</v>
      </c>
      <c r="C9" s="20" t="n">
        <v>3</v>
      </c>
    </row>
    <row r="10" customFormat="false" ht="15" hidden="false" customHeight="true" outlineLevel="0" collapsed="false">
      <c r="B10" s="103" t="s">
        <v>91</v>
      </c>
      <c r="C10" s="20" t="n">
        <v>0</v>
      </c>
    </row>
    <row r="11" customFormat="false" ht="15" hidden="false" customHeight="true" outlineLevel="0" collapsed="false">
      <c r="B11" s="104" t="s">
        <v>92</v>
      </c>
      <c r="C11" s="105" t="n">
        <f aca="false">C5+C6-C7-C8-C9-C10</f>
        <v>44903.0592569798</v>
      </c>
    </row>
    <row r="12" customFormat="false" ht="15" hidden="false" customHeight="true" outlineLevel="0" collapsed="false">
      <c r="B12" s="106"/>
    </row>
    <row r="13" customFormat="false" ht="15" hidden="false" customHeight="true" outlineLevel="0" collapsed="false">
      <c r="B13" s="103" t="s">
        <v>93</v>
      </c>
      <c r="C13" s="20" t="n">
        <v>500</v>
      </c>
    </row>
    <row r="14" customFormat="false" ht="15" hidden="false" customHeight="true" outlineLevel="0" collapsed="false">
      <c r="B14" s="103" t="s">
        <v>94</v>
      </c>
      <c r="C14" s="107" t="n">
        <f aca="false">C11/C13</f>
        <v>89.8061185139596</v>
      </c>
    </row>
    <row r="15" customFormat="false" ht="15" hidden="false" customHeight="true" outlineLevel="0" collapsed="false">
      <c r="B15" s="103"/>
      <c r="C15" s="103"/>
    </row>
    <row r="16" customFormat="false" ht="15" hidden="false" customHeight="true" outlineLevel="0" collapsed="false">
      <c r="B16" s="103" t="s">
        <v>95</v>
      </c>
      <c r="C16" s="108" t="n">
        <v>33.18</v>
      </c>
    </row>
    <row r="17" customFormat="false" ht="15" hidden="false" customHeight="true" outlineLevel="0" collapsed="false">
      <c r="B17" s="103" t="s">
        <v>96</v>
      </c>
      <c r="C17" s="15" t="n">
        <f aca="false">C14/C16-1</f>
        <v>1.70663407215068</v>
      </c>
    </row>
    <row r="29" customFormat="false" ht="15" hidden="false" customHeight="true" outlineLevel="0" collapsed="false">
      <c r="B29" s="61"/>
      <c r="C29" s="109"/>
    </row>
    <row r="30" customFormat="false" ht="15" hidden="false" customHeight="true" outlineLevel="0" collapsed="false">
      <c r="B30" s="103"/>
      <c r="C30" s="103"/>
    </row>
    <row r="31" customFormat="false" ht="15" hidden="false" customHeight="true" outlineLevel="0" collapsed="false">
      <c r="B31" s="103"/>
      <c r="C31" s="103"/>
    </row>
    <row r="32" customFormat="false" ht="15" hidden="false" customHeight="true" outlineLevel="0" collapsed="false">
      <c r="B32" s="103"/>
      <c r="C32" s="103"/>
    </row>
    <row r="33" customFormat="false" ht="15" hidden="false" customHeight="true" outlineLevel="0" collapsed="false">
      <c r="B33" s="103"/>
      <c r="C33" s="103"/>
    </row>
    <row r="34" customFormat="false" ht="15" hidden="false" customHeight="true" outlineLevel="0" collapsed="false">
      <c r="B34" s="103"/>
      <c r="C34" s="103"/>
    </row>
    <row r="35" customFormat="false" ht="15" hidden="false" customHeight="true" outlineLevel="0" collapsed="false">
      <c r="B35" s="61"/>
      <c r="C35" s="109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drawing r:id="rIdDR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0390625" defaultRowHeight="15" customHeight="false" zeroHeight="false" outlineLevelRow="0" outlineLevelCol="0"/>
  <cols>
    <col collapsed="false" customWidth="false" hidden="false" outlineLevel="0" max="1" min="1" style="1" width="11"/>
    <col collapsed="false" customWidth="true" hidden="false" outlineLevel="0" max="2" min="2" style="1" width="15.71"/>
    <col collapsed="false" customWidth="false" hidden="false" outlineLevel="0" max="16384" min="3" style="1" width="11"/>
  </cols>
  <sheetData>
    <row r="2" customFormat="false" ht="15" hidden="false" customHeight="true" outlineLevel="0" collapsed="false">
      <c r="B2" s="110"/>
      <c r="C2" s="111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  <c r="Q2" s="113"/>
      <c r="R2" s="113"/>
      <c r="S2" s="113"/>
      <c r="T2" s="111"/>
      <c r="U2" s="111"/>
      <c r="V2" s="111"/>
      <c r="W2" s="111"/>
      <c r="X2" s="111"/>
      <c r="Y2" s="111"/>
      <c r="Z2" s="111"/>
      <c r="AA2" s="111"/>
    </row>
    <row r="3" customFormat="false" ht="15" hidden="false" customHeight="true" outlineLevel="0" collapsed="false">
      <c r="B3" s="114"/>
      <c r="C3" s="113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</row>
    <row r="4" customFormat="false" ht="15" hidden="false" customHeight="true" outlineLevel="0" collapsed="false">
      <c r="B4" s="114"/>
      <c r="C4" s="115"/>
      <c r="D4" s="116"/>
      <c r="E4" s="116"/>
      <c r="F4" s="116"/>
      <c r="G4" s="116"/>
      <c r="H4" s="116"/>
      <c r="I4" s="116"/>
      <c r="J4" s="116"/>
      <c r="K4" s="116"/>
      <c r="L4" s="117"/>
      <c r="M4" s="117"/>
      <c r="N4" s="117"/>
      <c r="O4" s="117"/>
      <c r="P4" s="116"/>
      <c r="Q4" s="116"/>
      <c r="R4" s="116"/>
      <c r="S4" s="116"/>
      <c r="T4" s="111"/>
      <c r="U4" s="111"/>
      <c r="V4" s="111"/>
      <c r="W4" s="111"/>
      <c r="X4" s="111"/>
      <c r="Y4" s="111"/>
      <c r="Z4" s="111"/>
      <c r="AA4" s="111"/>
    </row>
    <row r="5" customFormat="false" ht="15" hidden="false" customHeight="true" outlineLevel="0" collapsed="false">
      <c r="B5" s="114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</row>
    <row r="6" customFormat="false" ht="15" hidden="false" customHeight="true" outlineLevel="0" collapsed="false">
      <c r="B6" s="118"/>
      <c r="C6" s="119"/>
      <c r="D6" s="120" t="s">
        <v>97</v>
      </c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1" t="s">
        <v>98</v>
      </c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</row>
    <row r="7" customFormat="false" ht="15" hidden="false" customHeight="true" outlineLevel="0" collapsed="false">
      <c r="B7" s="122"/>
      <c r="C7" s="123" t="s">
        <v>99</v>
      </c>
      <c r="D7" s="124" t="s">
        <v>40</v>
      </c>
      <c r="E7" s="124"/>
      <c r="F7" s="124"/>
      <c r="G7" s="124"/>
      <c r="H7" s="124" t="s">
        <v>34</v>
      </c>
      <c r="I7" s="124"/>
      <c r="J7" s="124"/>
      <c r="K7" s="124"/>
      <c r="L7" s="124" t="s">
        <v>43</v>
      </c>
      <c r="M7" s="124"/>
      <c r="N7" s="124"/>
      <c r="O7" s="124"/>
      <c r="P7" s="121" t="s">
        <v>100</v>
      </c>
      <c r="Q7" s="121"/>
      <c r="R7" s="121"/>
      <c r="S7" s="121"/>
      <c r="T7" s="125" t="s">
        <v>101</v>
      </c>
      <c r="U7" s="125"/>
      <c r="V7" s="125"/>
      <c r="W7" s="125"/>
      <c r="X7" s="125" t="s">
        <v>102</v>
      </c>
      <c r="Y7" s="125"/>
      <c r="Z7" s="125"/>
      <c r="AA7" s="125"/>
    </row>
    <row r="8" customFormat="false" ht="15" hidden="false" customHeight="true" outlineLevel="0" collapsed="false">
      <c r="B8" s="122" t="s">
        <v>103</v>
      </c>
      <c r="C8" s="126"/>
      <c r="D8" s="127" t="s">
        <v>104</v>
      </c>
      <c r="E8" s="127"/>
      <c r="F8" s="127"/>
      <c r="G8" s="127"/>
      <c r="H8" s="127" t="s">
        <v>104</v>
      </c>
      <c r="I8" s="127"/>
      <c r="J8" s="127"/>
      <c r="K8" s="127"/>
      <c r="L8" s="127" t="s">
        <v>104</v>
      </c>
      <c r="M8" s="127"/>
      <c r="N8" s="127"/>
      <c r="O8" s="127"/>
      <c r="P8" s="128" t="s">
        <v>105</v>
      </c>
      <c r="Q8" s="128"/>
      <c r="R8" s="128"/>
      <c r="S8" s="128"/>
      <c r="T8" s="129" t="s">
        <v>105</v>
      </c>
      <c r="U8" s="129"/>
      <c r="V8" s="129"/>
      <c r="W8" s="129"/>
      <c r="X8" s="129" t="s">
        <v>105</v>
      </c>
      <c r="Y8" s="129"/>
      <c r="Z8" s="129"/>
      <c r="AA8" s="129"/>
    </row>
    <row r="9" customFormat="false" ht="15" hidden="false" customHeight="true" outlineLevel="0" collapsed="false">
      <c r="B9" s="130"/>
      <c r="C9" s="131" t="s">
        <v>104</v>
      </c>
      <c r="D9" s="132" t="s">
        <v>106</v>
      </c>
      <c r="E9" s="133" t="s">
        <v>107</v>
      </c>
      <c r="F9" s="133" t="s">
        <v>108</v>
      </c>
      <c r="G9" s="134" t="s">
        <v>109</v>
      </c>
      <c r="H9" s="132" t="s">
        <v>106</v>
      </c>
      <c r="I9" s="133" t="s">
        <v>107</v>
      </c>
      <c r="J9" s="133" t="s">
        <v>108</v>
      </c>
      <c r="K9" s="134" t="s">
        <v>109</v>
      </c>
      <c r="L9" s="132" t="s">
        <v>106</v>
      </c>
      <c r="M9" s="133" t="s">
        <v>107</v>
      </c>
      <c r="N9" s="133" t="s">
        <v>108</v>
      </c>
      <c r="O9" s="134" t="s">
        <v>109</v>
      </c>
      <c r="P9" s="135" t="s">
        <v>106</v>
      </c>
      <c r="Q9" s="135" t="s">
        <v>107</v>
      </c>
      <c r="R9" s="135" t="s">
        <v>108</v>
      </c>
      <c r="S9" s="136" t="s">
        <v>109</v>
      </c>
      <c r="T9" s="137" t="s">
        <v>106</v>
      </c>
      <c r="U9" s="135" t="s">
        <v>107</v>
      </c>
      <c r="V9" s="135" t="s">
        <v>108</v>
      </c>
      <c r="W9" s="136" t="s">
        <v>109</v>
      </c>
      <c r="X9" s="137" t="s">
        <v>106</v>
      </c>
      <c r="Y9" s="135" t="s">
        <v>107</v>
      </c>
      <c r="Z9" s="135" t="s">
        <v>108</v>
      </c>
      <c r="AA9" s="136" t="s">
        <v>109</v>
      </c>
    </row>
    <row r="10" customFormat="false" ht="15" hidden="false" customHeight="true" outlineLevel="0" collapsed="false">
      <c r="B10" s="86" t="s">
        <v>66</v>
      </c>
      <c r="C10" s="138" t="n">
        <v>56773</v>
      </c>
      <c r="D10" s="139" t="n">
        <v>6885</v>
      </c>
      <c r="E10" s="139" t="n">
        <v>6304</v>
      </c>
      <c r="F10" s="139" t="n">
        <v>7128</v>
      </c>
      <c r="G10" s="140" t="n">
        <v>7989</v>
      </c>
      <c r="H10" s="139" t="n">
        <v>43483</v>
      </c>
      <c r="I10" s="139" t="n">
        <v>42482</v>
      </c>
      <c r="J10" s="139" t="n">
        <v>44622</v>
      </c>
      <c r="K10" s="140" t="n">
        <v>47938</v>
      </c>
      <c r="L10" s="139" t="n">
        <v>4886</v>
      </c>
      <c r="M10" s="139" t="n">
        <v>4161</v>
      </c>
      <c r="N10" s="139" t="n">
        <v>5119</v>
      </c>
      <c r="O10" s="139" t="n">
        <v>6060</v>
      </c>
      <c r="P10" s="141" t="n">
        <f aca="false">$C10/D10</f>
        <v>8.24589687726943</v>
      </c>
      <c r="Q10" s="142" t="n">
        <f aca="false">$C10/E10</f>
        <v>9.0058692893401</v>
      </c>
      <c r="R10" s="142" t="n">
        <f aca="false">$C10/F10</f>
        <v>7.96478675645342</v>
      </c>
      <c r="S10" s="143" t="n">
        <f aca="false">$C10/G10</f>
        <v>7.1063962949055</v>
      </c>
      <c r="T10" s="142" t="n">
        <f aca="false">$C10/H10</f>
        <v>1.30563668560127</v>
      </c>
      <c r="U10" s="142" t="n">
        <f aca="false">$C10/I10</f>
        <v>1.33640129937385</v>
      </c>
      <c r="V10" s="142" t="n">
        <f aca="false">$C10/J10</f>
        <v>1.27230962305589</v>
      </c>
      <c r="W10" s="143" t="n">
        <f aca="false">$C10/K10</f>
        <v>1.18430055488339</v>
      </c>
      <c r="X10" s="142" t="n">
        <f aca="false">IF(ISNUMBER(L10),$C10/L10,"n/a")</f>
        <v>11.6195251739664</v>
      </c>
      <c r="Y10" s="142" t="n">
        <f aca="false">IF(ISNUMBER(M10),$C10/M10,"n/a")</f>
        <v>13.6440759432829</v>
      </c>
      <c r="Z10" s="142" t="n">
        <f aca="false">IF(ISNUMBER(N10),$C10/N10,"n/a")</f>
        <v>11.0906427036531</v>
      </c>
      <c r="AA10" s="143" t="n">
        <f aca="false">IF(ISNUMBER(O10),$C10/O10,"n/a")</f>
        <v>9.36848184818482</v>
      </c>
    </row>
    <row r="11" customFormat="false" ht="15" hidden="false" customHeight="true" outlineLevel="0" collapsed="false">
      <c r="B11" s="73" t="s">
        <v>68</v>
      </c>
      <c r="C11" s="144" t="n">
        <v>23813</v>
      </c>
      <c r="D11" s="145" t="n">
        <v>4403</v>
      </c>
      <c r="E11" s="145" t="n">
        <v>4049</v>
      </c>
      <c r="F11" s="145" t="n">
        <v>4643</v>
      </c>
      <c r="G11" s="146" t="n">
        <v>5850</v>
      </c>
      <c r="H11" s="145" t="n">
        <v>45530</v>
      </c>
      <c r="I11" s="145" t="n">
        <v>44003</v>
      </c>
      <c r="J11" s="145" t="n">
        <v>48685</v>
      </c>
      <c r="K11" s="146" t="n">
        <v>52583</v>
      </c>
      <c r="L11" s="145" t="n">
        <v>3328</v>
      </c>
      <c r="M11" s="145" t="n">
        <v>3015</v>
      </c>
      <c r="N11" s="145" t="n">
        <v>3551</v>
      </c>
      <c r="O11" s="146" t="n">
        <v>4695</v>
      </c>
      <c r="P11" s="147" t="n">
        <f aca="false">$C11/D11</f>
        <v>5.4083579377697</v>
      </c>
      <c r="Q11" s="147" t="n">
        <f aca="false">$C11/E11</f>
        <v>5.88120523586071</v>
      </c>
      <c r="R11" s="147" t="n">
        <f aca="false">$C11/F11</f>
        <v>5.12879603704501</v>
      </c>
      <c r="S11" s="148" t="n">
        <f aca="false">$C11/G11</f>
        <v>4.07059829059829</v>
      </c>
      <c r="T11" s="147" t="n">
        <f aca="false">$C11/H11</f>
        <v>0.523017790467823</v>
      </c>
      <c r="U11" s="147" t="n">
        <f aca="false">$C11/I11</f>
        <v>0.541167647660387</v>
      </c>
      <c r="V11" s="147" t="n">
        <f aca="false">$C11/J11</f>
        <v>0.489123960151998</v>
      </c>
      <c r="W11" s="148" t="n">
        <f aca="false">$C11/K11</f>
        <v>0.452864994389822</v>
      </c>
      <c r="X11" s="147" t="n">
        <f aca="false">IF(ISNUMBER(L11),$C11/L11,"n/a")</f>
        <v>7.15534855769231</v>
      </c>
      <c r="Y11" s="147" t="n">
        <f aca="false">IF(ISNUMBER(M11),$C11/M11,"n/a")</f>
        <v>7.89817578772803</v>
      </c>
      <c r="Z11" s="147" t="n">
        <f aca="false">IF(ISNUMBER(N11),$C11/N11,"n/a")</f>
        <v>6.70599831033512</v>
      </c>
      <c r="AA11" s="148" t="n">
        <f aca="false">IF(ISNUMBER(O11),$C11/O11,"n/a")</f>
        <v>5.07199148029819</v>
      </c>
    </row>
    <row r="12" customFormat="false" ht="15" hidden="false" customHeight="true" outlineLevel="0" collapsed="false">
      <c r="B12" s="149" t="s">
        <v>110</v>
      </c>
      <c r="C12" s="150" t="n">
        <v>1241</v>
      </c>
      <c r="D12" s="151" t="n">
        <v>1378</v>
      </c>
      <c r="E12" s="151" t="n">
        <v>1169</v>
      </c>
      <c r="F12" s="151" t="n">
        <v>1609</v>
      </c>
      <c r="G12" s="152" t="n">
        <v>1842</v>
      </c>
      <c r="H12" s="151" t="n">
        <v>13428</v>
      </c>
      <c r="I12" s="151" t="n">
        <v>13230</v>
      </c>
      <c r="J12" s="151" t="n">
        <v>14920</v>
      </c>
      <c r="K12" s="152" t="n">
        <v>16258</v>
      </c>
      <c r="L12" s="153" t="s">
        <v>111</v>
      </c>
      <c r="M12" s="153" t="s">
        <v>111</v>
      </c>
      <c r="N12" s="153" t="s">
        <v>111</v>
      </c>
      <c r="O12" s="154" t="s">
        <v>111</v>
      </c>
      <c r="P12" s="155" t="n">
        <f aca="false">$C12/D12</f>
        <v>0.900580551523948</v>
      </c>
      <c r="Q12" s="155" t="n">
        <f aca="false">$C12/E12</f>
        <v>1.06159110350727</v>
      </c>
      <c r="R12" s="155" t="n">
        <f aca="false">$C12/F12</f>
        <v>0.771286513362337</v>
      </c>
      <c r="S12" s="156" t="n">
        <f aca="false">$C12/G12</f>
        <v>0.673724212812161</v>
      </c>
      <c r="T12" s="155" t="n">
        <f aca="false">$C12/H12</f>
        <v>0.0924188263330354</v>
      </c>
      <c r="U12" s="155" t="n">
        <f aca="false">$C12/I12</f>
        <v>0.0938019652305367</v>
      </c>
      <c r="V12" s="155" t="n">
        <f aca="false">$C12/J12</f>
        <v>0.0831769436997319</v>
      </c>
      <c r="W12" s="156" t="n">
        <f aca="false">$C12/K12</f>
        <v>0.0763316521097306</v>
      </c>
      <c r="X12" s="155" t="str">
        <f aca="false">IF(ISNUMBER(L12),$C12/L12,"n/a")</f>
        <v>n/a</v>
      </c>
      <c r="Y12" s="155" t="str">
        <f aca="false">IF(ISNUMBER(M12),$C12/M12,"n/a")</f>
        <v>n/a</v>
      </c>
      <c r="Z12" s="155" t="str">
        <f aca="false">IF(ISNUMBER(N12),$C12/N12,"n/a")</f>
        <v>n/a</v>
      </c>
      <c r="AA12" s="156" t="str">
        <f aca="false">IF(ISNUMBER(O12),$C12/O12,"n/a")</f>
        <v>n/a</v>
      </c>
    </row>
    <row r="13" customFormat="false" ht="15" hidden="false" customHeight="true" outlineLevel="0" collapsed="false">
      <c r="B13" s="6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</row>
    <row r="14" customFormat="false" ht="15" hidden="false" customHeight="true" outlineLevel="0" collapsed="false">
      <c r="B14" s="118"/>
      <c r="C14" s="119"/>
      <c r="D14" s="159" t="s">
        <v>97</v>
      </c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21" t="s">
        <v>112</v>
      </c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</row>
    <row r="15" customFormat="false" ht="15" hidden="false" customHeight="true" outlineLevel="0" collapsed="false">
      <c r="B15" s="160"/>
      <c r="C15" s="123" t="s">
        <v>99</v>
      </c>
      <c r="D15" s="161" t="s">
        <v>40</v>
      </c>
      <c r="E15" s="161"/>
      <c r="F15" s="161"/>
      <c r="G15" s="161"/>
      <c r="H15" s="161" t="s">
        <v>34</v>
      </c>
      <c r="I15" s="161"/>
      <c r="J15" s="161"/>
      <c r="K15" s="161"/>
      <c r="L15" s="161" t="s">
        <v>43</v>
      </c>
      <c r="M15" s="161"/>
      <c r="N15" s="161"/>
      <c r="O15" s="161"/>
      <c r="P15" s="121" t="s">
        <v>100</v>
      </c>
      <c r="Q15" s="121"/>
      <c r="R15" s="121"/>
      <c r="S15" s="121"/>
      <c r="T15" s="121" t="s">
        <v>101</v>
      </c>
      <c r="U15" s="121"/>
      <c r="V15" s="121"/>
      <c r="W15" s="121"/>
      <c r="X15" s="121" t="s">
        <v>102</v>
      </c>
      <c r="Y15" s="121"/>
      <c r="Z15" s="121"/>
      <c r="AA15" s="121"/>
    </row>
    <row r="16" customFormat="false" ht="15" hidden="false" customHeight="true" outlineLevel="0" collapsed="false">
      <c r="B16" s="122" t="s">
        <v>103</v>
      </c>
      <c r="C16" s="126"/>
      <c r="D16" s="127" t="s">
        <v>104</v>
      </c>
      <c r="E16" s="127"/>
      <c r="F16" s="127"/>
      <c r="G16" s="127"/>
      <c r="H16" s="127" t="s">
        <v>104</v>
      </c>
      <c r="I16" s="127"/>
      <c r="J16" s="127"/>
      <c r="K16" s="127"/>
      <c r="L16" s="127" t="s">
        <v>104</v>
      </c>
      <c r="M16" s="127"/>
      <c r="N16" s="127"/>
      <c r="O16" s="127"/>
      <c r="P16" s="128" t="s">
        <v>105</v>
      </c>
      <c r="Q16" s="128"/>
      <c r="R16" s="128"/>
      <c r="S16" s="128"/>
      <c r="T16" s="129" t="s">
        <v>105</v>
      </c>
      <c r="U16" s="129"/>
      <c r="V16" s="129"/>
      <c r="W16" s="129"/>
      <c r="X16" s="129" t="s">
        <v>105</v>
      </c>
      <c r="Y16" s="129"/>
      <c r="Z16" s="129"/>
      <c r="AA16" s="129"/>
    </row>
    <row r="17" customFormat="false" ht="15" hidden="false" customHeight="true" outlineLevel="0" collapsed="false">
      <c r="B17" s="162"/>
      <c r="C17" s="131" t="s">
        <v>104</v>
      </c>
      <c r="D17" s="132" t="s">
        <v>106</v>
      </c>
      <c r="E17" s="133" t="s">
        <v>107</v>
      </c>
      <c r="F17" s="133" t="s">
        <v>108</v>
      </c>
      <c r="G17" s="134" t="s">
        <v>109</v>
      </c>
      <c r="H17" s="132" t="s">
        <v>106</v>
      </c>
      <c r="I17" s="133" t="s">
        <v>107</v>
      </c>
      <c r="J17" s="133" t="s">
        <v>108</v>
      </c>
      <c r="K17" s="134" t="s">
        <v>109</v>
      </c>
      <c r="L17" s="132" t="s">
        <v>106</v>
      </c>
      <c r="M17" s="133" t="s">
        <v>107</v>
      </c>
      <c r="N17" s="133" t="s">
        <v>108</v>
      </c>
      <c r="O17" s="134" t="s">
        <v>109</v>
      </c>
      <c r="P17" s="135" t="s">
        <v>106</v>
      </c>
      <c r="Q17" s="135" t="s">
        <v>107</v>
      </c>
      <c r="R17" s="135" t="s">
        <v>108</v>
      </c>
      <c r="S17" s="136" t="s">
        <v>109</v>
      </c>
      <c r="T17" s="137" t="s">
        <v>106</v>
      </c>
      <c r="U17" s="135" t="s">
        <v>107</v>
      </c>
      <c r="V17" s="135" t="s">
        <v>108</v>
      </c>
      <c r="W17" s="136" t="s">
        <v>109</v>
      </c>
      <c r="X17" s="137" t="s">
        <v>106</v>
      </c>
      <c r="Y17" s="135" t="s">
        <v>107</v>
      </c>
      <c r="Z17" s="135" t="s">
        <v>108</v>
      </c>
      <c r="AA17" s="136" t="s">
        <v>109</v>
      </c>
    </row>
    <row r="18" customFormat="false" ht="15" hidden="false" customHeight="true" outlineLevel="0" collapsed="false">
      <c r="B18" s="149" t="s">
        <v>113</v>
      </c>
      <c r="C18" s="163" t="n">
        <v>20759</v>
      </c>
      <c r="D18" s="151" t="n">
        <v>5966</v>
      </c>
      <c r="E18" s="151" t="n">
        <v>6072</v>
      </c>
      <c r="F18" s="151" t="n">
        <v>5719</v>
      </c>
      <c r="G18" s="164" t="n">
        <v>6723</v>
      </c>
      <c r="H18" s="151" t="n">
        <v>44051</v>
      </c>
      <c r="I18" s="151" t="n">
        <v>43675</v>
      </c>
      <c r="J18" s="151" t="n">
        <v>45897</v>
      </c>
      <c r="K18" s="164" t="n">
        <v>48970</v>
      </c>
      <c r="L18" s="151" t="n">
        <v>2819</v>
      </c>
      <c r="M18" s="151" t="n">
        <v>2731</v>
      </c>
      <c r="N18" s="151" t="n">
        <v>3049</v>
      </c>
      <c r="O18" s="164" t="n">
        <v>3986</v>
      </c>
      <c r="P18" s="165" t="n">
        <f aca="false">MEDIAN(P10:P12)*D18</f>
        <v>32266.263456734</v>
      </c>
      <c r="Q18" s="166" t="n">
        <f aca="false">MEDIAN(Q10:Q12)*E18</f>
        <v>35710.6781921462</v>
      </c>
      <c r="R18" s="166" t="n">
        <f aca="false">MEDIAN(R10:R12)*F18</f>
        <v>29331.5845358604</v>
      </c>
      <c r="S18" s="167" t="n">
        <f aca="false">MEDIAN(S10:S12)*G18</f>
        <v>27366.6323076923</v>
      </c>
      <c r="T18" s="166" t="n">
        <f aca="false">MEDIAN(T10:T12)*H18</f>
        <v>23039.4566878981</v>
      </c>
      <c r="U18" s="166" t="n">
        <f aca="false">MEDIAN(U10:U12)*I18</f>
        <v>23635.4970115674</v>
      </c>
      <c r="V18" s="166" t="n">
        <f aca="false">MEDIAN(V10:V12)*J18</f>
        <v>22449.3223990962</v>
      </c>
      <c r="W18" s="167" t="n">
        <f aca="false">MEDIAN(W10:W12)*K18</f>
        <v>22176.7987752696</v>
      </c>
      <c r="X18" s="166" t="n">
        <f aca="false">MEDIAN(X10:X11)*L18</f>
        <v>26463.184524773</v>
      </c>
      <c r="Y18" s="166" t="n">
        <f aca="false">MEDIAN(Y10:Y11)*M18</f>
        <v>29415.9447386954</v>
      </c>
      <c r="Z18" s="166" t="n">
        <f aca="false">MEDIAN(Z10:Z11)*N18</f>
        <v>27130.979225825</v>
      </c>
      <c r="AA18" s="167" t="n">
        <f aca="false">MEDIAN(AA10:AA11)*O18</f>
        <v>28779.8633436666</v>
      </c>
    </row>
    <row r="19" customFormat="false" ht="15" hidden="false" customHeight="true" outlineLevel="0" collapsed="false">
      <c r="B19" s="6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9"/>
      <c r="Q19" s="169"/>
      <c r="R19" s="169"/>
      <c r="S19" s="169"/>
      <c r="T19" s="169"/>
      <c r="U19" s="169"/>
      <c r="V19" s="169"/>
      <c r="W19" s="169"/>
      <c r="X19" s="6"/>
      <c r="Y19" s="6"/>
      <c r="Z19" s="6"/>
      <c r="AA19" s="6"/>
    </row>
    <row r="20" customFormat="false" ht="15" hidden="false" customHeight="true" outlineLevel="0" collapsed="false">
      <c r="B20" s="170" t="s">
        <v>114</v>
      </c>
      <c r="C20" s="171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9"/>
      <c r="Q20" s="169"/>
      <c r="R20" s="169"/>
      <c r="S20" s="169"/>
      <c r="T20" s="169"/>
      <c r="U20" s="169"/>
      <c r="V20" s="169"/>
      <c r="W20" s="169"/>
      <c r="X20" s="6"/>
      <c r="Y20" s="6"/>
      <c r="Z20" s="6"/>
      <c r="AA20" s="6"/>
    </row>
    <row r="21" customFormat="false" ht="15" hidden="false" customHeight="true" outlineLevel="0" collapsed="false">
      <c r="B21" s="172"/>
      <c r="C21" s="173" t="s">
        <v>99</v>
      </c>
      <c r="D21" s="124" t="s">
        <v>40</v>
      </c>
      <c r="E21" s="124"/>
      <c r="F21" s="124"/>
      <c r="G21" s="124"/>
      <c r="H21" s="124" t="s">
        <v>34</v>
      </c>
      <c r="I21" s="124"/>
      <c r="J21" s="124"/>
      <c r="K21" s="124"/>
      <c r="L21" s="124" t="s">
        <v>43</v>
      </c>
      <c r="M21" s="124"/>
      <c r="N21" s="124"/>
      <c r="O21" s="124"/>
      <c r="P21" s="121" t="s">
        <v>100</v>
      </c>
      <c r="Q21" s="121"/>
      <c r="R21" s="121"/>
      <c r="S21" s="121"/>
      <c r="T21" s="121" t="s">
        <v>101</v>
      </c>
      <c r="U21" s="121"/>
      <c r="V21" s="121"/>
      <c r="W21" s="121"/>
      <c r="X21" s="121" t="s">
        <v>102</v>
      </c>
      <c r="Y21" s="121"/>
      <c r="Z21" s="121"/>
      <c r="AA21" s="121"/>
    </row>
    <row r="22" customFormat="false" ht="15" hidden="false" customHeight="true" outlineLevel="0" collapsed="false">
      <c r="B22" s="174" t="s">
        <v>113</v>
      </c>
      <c r="C22" s="175"/>
      <c r="D22" s="176"/>
      <c r="E22" s="177"/>
      <c r="F22" s="177"/>
      <c r="G22" s="178"/>
      <c r="H22" s="177"/>
      <c r="I22" s="177"/>
      <c r="J22" s="177"/>
      <c r="K22" s="178"/>
      <c r="L22" s="177"/>
      <c r="M22" s="177"/>
      <c r="N22" s="177"/>
      <c r="O22" s="178"/>
      <c r="P22" s="179" t="n">
        <f aca="false">$C$18/D18</f>
        <v>3.47955078779752</v>
      </c>
      <c r="Q22" s="179" t="n">
        <f aca="false">$C$18/E18</f>
        <v>3.41880764163373</v>
      </c>
      <c r="R22" s="179" t="n">
        <f aca="false">$C$18/F18</f>
        <v>3.62983038992831</v>
      </c>
      <c r="S22" s="180" t="n">
        <f aca="false">$C$18/G18</f>
        <v>3.0877584411721</v>
      </c>
      <c r="T22" s="181" t="n">
        <f aca="false">$C$18/H18</f>
        <v>0.471249233842592</v>
      </c>
      <c r="U22" s="179" t="n">
        <f aca="false">$C$18/I18</f>
        <v>0.475306239267315</v>
      </c>
      <c r="V22" s="179" t="n">
        <f aca="false">$C$18/J18</f>
        <v>0.452295356995011</v>
      </c>
      <c r="W22" s="180" t="n">
        <f aca="false">$C$18/K18</f>
        <v>0.423912599550745</v>
      </c>
      <c r="X22" s="181" t="n">
        <f aca="false">$C$18/L18</f>
        <v>7.36395885065626</v>
      </c>
      <c r="Y22" s="179" t="n">
        <f aca="false">$C$18/M18</f>
        <v>7.60124496521421</v>
      </c>
      <c r="Z22" s="179" t="n">
        <f aca="false">$C$18/N18</f>
        <v>6.80846179075107</v>
      </c>
      <c r="AA22" s="180" t="n">
        <f aca="false">$C$18/O18</f>
        <v>5.20797792272955</v>
      </c>
    </row>
    <row r="23" customFormat="false" ht="15" hidden="false" customHeight="true" outlineLevel="0" collapsed="false">
      <c r="B23" s="182" t="s">
        <v>115</v>
      </c>
      <c r="C23" s="183"/>
      <c r="D23" s="23"/>
      <c r="E23" s="23"/>
      <c r="F23" s="23"/>
      <c r="G23" s="184"/>
      <c r="H23" s="23"/>
      <c r="I23" s="23"/>
      <c r="J23" s="23"/>
      <c r="K23" s="184"/>
      <c r="L23" s="23"/>
      <c r="M23" s="23"/>
      <c r="N23" s="23"/>
      <c r="O23" s="184"/>
      <c r="P23" s="147" t="n">
        <f aca="false">QUARTILE(P10:P12,1)</f>
        <v>3.15446924464683</v>
      </c>
      <c r="Q23" s="147" t="n">
        <f aca="false">QUARTILE(Q10:Q12,1)</f>
        <v>3.47139816968399</v>
      </c>
      <c r="R23" s="147" t="n">
        <f aca="false">QUARTILE(R10:R12,1)</f>
        <v>2.95004127520368</v>
      </c>
      <c r="S23" s="143" t="n">
        <f aca="false">QUARTILE(S10:S12,1)</f>
        <v>2.37216125170523</v>
      </c>
      <c r="T23" s="147" t="n">
        <f aca="false">QUARTILE(T10:T12,1)</f>
        <v>0.307718308400429</v>
      </c>
      <c r="U23" s="147" t="n">
        <f aca="false">QUARTILE(U10:U12,1)</f>
        <v>0.317484806445462</v>
      </c>
      <c r="V23" s="147" t="n">
        <f aca="false">QUARTILE(V10:V12,1)</f>
        <v>0.286150451925865</v>
      </c>
      <c r="W23" s="143" t="n">
        <f aca="false">QUARTILE(W10:W12,1)</f>
        <v>0.264598323249776</v>
      </c>
      <c r="X23" s="147" t="n">
        <f aca="false">QUARTILE(X10:X11,1)</f>
        <v>8.27139271176084</v>
      </c>
      <c r="Y23" s="147" t="n">
        <f aca="false">QUARTILE(Y10:Y11,1)</f>
        <v>9.33465082661674</v>
      </c>
      <c r="Z23" s="147" t="n">
        <f aca="false">QUARTILE(Z10:Z11,1)</f>
        <v>7.8021594086646</v>
      </c>
      <c r="AA23" s="143" t="n">
        <f aca="false">QUARTILE(AA10:AA11,1)</f>
        <v>6.14611407226985</v>
      </c>
    </row>
    <row r="24" customFormat="false" ht="15" hidden="false" customHeight="true" outlineLevel="0" collapsed="false">
      <c r="B24" s="185" t="s">
        <v>12</v>
      </c>
      <c r="C24" s="186"/>
      <c r="D24" s="23"/>
      <c r="E24" s="23"/>
      <c r="F24" s="23"/>
      <c r="G24" s="187"/>
      <c r="H24" s="23"/>
      <c r="I24" s="23"/>
      <c r="J24" s="23"/>
      <c r="K24" s="187"/>
      <c r="L24" s="23"/>
      <c r="M24" s="23"/>
      <c r="N24" s="23"/>
      <c r="O24" s="187"/>
      <c r="P24" s="147" t="n">
        <f aca="false">AVERAGE(P10:P12)</f>
        <v>4.85161178885436</v>
      </c>
      <c r="Q24" s="147" t="n">
        <f aca="false">AVERAGE(Q10:Q12)</f>
        <v>5.31622187623603</v>
      </c>
      <c r="R24" s="147" t="n">
        <f aca="false">AVERAGE(R10:R12)</f>
        <v>4.62162310228692</v>
      </c>
      <c r="S24" s="148" t="n">
        <f aca="false">AVERAGE(S10:S12)</f>
        <v>3.95023959943865</v>
      </c>
      <c r="T24" s="147" t="n">
        <f aca="false">AVERAGE(T10:T12)</f>
        <v>0.640357767467376</v>
      </c>
      <c r="U24" s="147" t="n">
        <f aca="false">AVERAGE(U10:U12)</f>
        <v>0.657123637421592</v>
      </c>
      <c r="V24" s="147" t="n">
        <f aca="false">AVERAGE(V10:V12)</f>
        <v>0.614870175635874</v>
      </c>
      <c r="W24" s="148" t="n">
        <f aca="false">AVERAGE(W10:W12)</f>
        <v>0.571165733794315</v>
      </c>
      <c r="X24" s="147" t="n">
        <f aca="false">AVERAGE(X10:X11)</f>
        <v>9.38743686582937</v>
      </c>
      <c r="Y24" s="147" t="n">
        <f aca="false">AVERAGE(Y10:Y11)</f>
        <v>10.7711258655054</v>
      </c>
      <c r="Z24" s="147" t="n">
        <f aca="false">AVERAGE(Z10:Z11)</f>
        <v>8.89832050699409</v>
      </c>
      <c r="AA24" s="148" t="n">
        <f aca="false">AVERAGE(AA10:AA11)</f>
        <v>7.2202366642415</v>
      </c>
    </row>
    <row r="25" customFormat="false" ht="15" hidden="false" customHeight="true" outlineLevel="0" collapsed="false">
      <c r="B25" s="185" t="s">
        <v>116</v>
      </c>
      <c r="C25" s="186"/>
      <c r="D25" s="23"/>
      <c r="E25" s="23"/>
      <c r="F25" s="23"/>
      <c r="G25" s="187"/>
      <c r="H25" s="23"/>
      <c r="I25" s="23"/>
      <c r="J25" s="23"/>
      <c r="K25" s="187"/>
      <c r="L25" s="23"/>
      <c r="M25" s="23"/>
      <c r="N25" s="23"/>
      <c r="O25" s="187"/>
      <c r="P25" s="147" t="n">
        <f aca="false">MEDIAN(P10:P12)</f>
        <v>5.4083579377697</v>
      </c>
      <c r="Q25" s="147" t="n">
        <f aca="false">MEDIAN(Q10:Q12)</f>
        <v>5.88120523586071</v>
      </c>
      <c r="R25" s="147" t="n">
        <f aca="false">MEDIAN(R10:R12)</f>
        <v>5.12879603704501</v>
      </c>
      <c r="S25" s="148" t="n">
        <f aca="false">MEDIAN(S10:S12)</f>
        <v>4.07059829059829</v>
      </c>
      <c r="T25" s="147" t="n">
        <f aca="false">MEDIAN(T10:T12)</f>
        <v>0.523017790467823</v>
      </c>
      <c r="U25" s="147" t="n">
        <f aca="false">MEDIAN(U10:U12)</f>
        <v>0.541167647660387</v>
      </c>
      <c r="V25" s="147" t="n">
        <f aca="false">MEDIAN(V10:V12)</f>
        <v>0.489123960151998</v>
      </c>
      <c r="W25" s="148" t="n">
        <f aca="false">MEDIAN(W10:W12)</f>
        <v>0.452864994389822</v>
      </c>
      <c r="X25" s="147" t="n">
        <f aca="false">MEDIAN(X10:X11)</f>
        <v>9.38743686582937</v>
      </c>
      <c r="Y25" s="147" t="n">
        <f aca="false">MEDIAN(Y10:Y11)</f>
        <v>10.7711258655054</v>
      </c>
      <c r="Z25" s="147" t="n">
        <f aca="false">MEDIAN(Z10:Z11)</f>
        <v>8.89832050699409</v>
      </c>
      <c r="AA25" s="148" t="n">
        <f aca="false">MEDIAN(AA10:AA11)</f>
        <v>7.2202366642415</v>
      </c>
    </row>
    <row r="26" customFormat="false" ht="15" hidden="false" customHeight="true" outlineLevel="0" collapsed="false">
      <c r="B26" s="188" t="s">
        <v>117</v>
      </c>
      <c r="C26" s="189"/>
      <c r="D26" s="190"/>
      <c r="E26" s="191"/>
      <c r="F26" s="191"/>
      <c r="G26" s="192"/>
      <c r="H26" s="191"/>
      <c r="I26" s="191"/>
      <c r="J26" s="191"/>
      <c r="K26" s="192"/>
      <c r="L26" s="191"/>
      <c r="M26" s="191"/>
      <c r="N26" s="191"/>
      <c r="O26" s="192"/>
      <c r="P26" s="155" t="n">
        <f aca="false">QUARTILE(P10:P12,3)</f>
        <v>6.82712740751957</v>
      </c>
      <c r="Q26" s="155" t="n">
        <f aca="false">QUARTILE(Q10:Q12,3)</f>
        <v>7.4435372626004</v>
      </c>
      <c r="R26" s="155" t="n">
        <f aca="false">QUARTILE(R10:R12,3)</f>
        <v>6.54679139674922</v>
      </c>
      <c r="S26" s="156" t="n">
        <f aca="false">QUARTILE(S10:S12,3)</f>
        <v>5.58849729275189</v>
      </c>
      <c r="T26" s="193" t="n">
        <f aca="false">QUARTILE(T10:T12,3)</f>
        <v>0.914327238034546</v>
      </c>
      <c r="U26" s="155" t="n">
        <f aca="false">QUARTILE(U10:U12,3)</f>
        <v>0.93878447351712</v>
      </c>
      <c r="V26" s="155" t="n">
        <f aca="false">QUARTILE(V10:V12,3)</f>
        <v>0.880716791603945</v>
      </c>
      <c r="W26" s="156" t="n">
        <f aca="false">QUARTILE(W10:W12,3)</f>
        <v>0.818582774636607</v>
      </c>
      <c r="X26" s="193" t="n">
        <f aca="false">QUARTILE(X10:X11,3)</f>
        <v>10.5034810198979</v>
      </c>
      <c r="Y26" s="155" t="n">
        <f aca="false">QUARTILE(Y10:Y11,3)</f>
        <v>12.2076009043942</v>
      </c>
      <c r="Z26" s="155" t="n">
        <f aca="false">QUARTILE(Z10:Z11,3)</f>
        <v>9.99448160532357</v>
      </c>
      <c r="AA26" s="156" t="n">
        <f aca="false">QUARTILE(AA10:AA11,3)</f>
        <v>8.29435925621316</v>
      </c>
    </row>
    <row r="28" customFormat="false" ht="15" hidden="false" customHeight="true" outlineLevel="0" collapsed="false">
      <c r="B28" s="1" t="s">
        <v>118</v>
      </c>
    </row>
    <row r="29" customFormat="false" ht="15" hidden="false" customHeight="true" outlineLevel="0" collapsed="false">
      <c r="B29" s="1" t="s">
        <v>119</v>
      </c>
      <c r="C29" s="194" t="n">
        <f aca="false">(R18+'Equity Bridge'!$C$6-'Equity Bridge'!$C$7-'Equity Bridge'!$C$8-'Equity Bridge'!$C$9)/'Equity Bridge'!$C$13</f>
        <v>45.0451690717209</v>
      </c>
    </row>
    <row r="30" customFormat="false" ht="15" hidden="false" customHeight="true" outlineLevel="0" collapsed="false">
      <c r="B30" s="1" t="s">
        <v>120</v>
      </c>
      <c r="C30" s="194" t="n">
        <f aca="false">(S18+'Equity Bridge'!$C$6-'Equity Bridge'!$C$7-'Equity Bridge'!$C$8-'Equity Bridge'!$C$9)/'Equity Bridge'!$C$13</f>
        <v>41.1152646153846</v>
      </c>
    </row>
    <row r="31" customFormat="false" ht="15" hidden="false" customHeight="true" outlineLevel="0" collapsed="false">
      <c r="B31" s="1" t="s">
        <v>121</v>
      </c>
      <c r="C31" s="194" t="n">
        <f aca="false">(V18+'Equity Bridge'!$C$6-'Equity Bridge'!$C$7-'Equity Bridge'!$C$8-'Equity Bridge'!$C$9)/'Equity Bridge'!$C$13</f>
        <v>31.2806447981925</v>
      </c>
    </row>
    <row r="32" customFormat="false" ht="15" hidden="false" customHeight="true" outlineLevel="0" collapsed="false">
      <c r="B32" s="1" t="s">
        <v>122</v>
      </c>
      <c r="C32" s="194" t="n">
        <f aca="false">(Z18+'Equity Bridge'!$C$6-'Equity Bridge'!$C$7-'Equity Bridge'!$C$8-'Equity Bridge'!$C$9)/'Equity Bridge'!$C$13</f>
        <v>40.6439584516499</v>
      </c>
    </row>
    <row r="34" customFormat="false" ht="15" hidden="false" customHeight="true" outlineLevel="0" collapsed="false">
      <c r="B34" s="1" t="s">
        <v>123</v>
      </c>
      <c r="C34" s="195" t="n">
        <f aca="false">MEDIAN(15.4,12.81)*4.2</f>
        <v>59.241</v>
      </c>
    </row>
  </sheetData>
  <mergeCells count="38">
    <mergeCell ref="D2:O2"/>
    <mergeCell ref="D3:G3"/>
    <mergeCell ref="H3:K3"/>
    <mergeCell ref="L3:O3"/>
    <mergeCell ref="D6:O6"/>
    <mergeCell ref="P6:AA6"/>
    <mergeCell ref="D7:G7"/>
    <mergeCell ref="H7:K7"/>
    <mergeCell ref="L7:O7"/>
    <mergeCell ref="P7:S7"/>
    <mergeCell ref="T7:W7"/>
    <mergeCell ref="X7:AA7"/>
    <mergeCell ref="D8:G8"/>
    <mergeCell ref="H8:K8"/>
    <mergeCell ref="L8:O8"/>
    <mergeCell ref="P8:S8"/>
    <mergeCell ref="T8:W8"/>
    <mergeCell ref="X8:AA8"/>
    <mergeCell ref="D14:O14"/>
    <mergeCell ref="P14:AA14"/>
    <mergeCell ref="D15:G15"/>
    <mergeCell ref="H15:K15"/>
    <mergeCell ref="L15:O15"/>
    <mergeCell ref="P15:S15"/>
    <mergeCell ref="T15:W15"/>
    <mergeCell ref="X15:AA15"/>
    <mergeCell ref="D16:G16"/>
    <mergeCell ref="H16:K16"/>
    <mergeCell ref="L16:O16"/>
    <mergeCell ref="P16:S16"/>
    <mergeCell ref="T16:W16"/>
    <mergeCell ref="X16:AA16"/>
    <mergeCell ref="D21:G21"/>
    <mergeCell ref="H21:K21"/>
    <mergeCell ref="L21:O21"/>
    <mergeCell ref="P21:S21"/>
    <mergeCell ref="T21:W21"/>
    <mergeCell ref="X21:AA2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I3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0390625" defaultRowHeight="15" customHeight="false" zeroHeight="false" outlineLevelRow="0" outlineLevelCol="0"/>
  <cols>
    <col collapsed="false" customWidth="false" hidden="false" outlineLevel="0" max="8" min="1" style="1" width="11"/>
    <col collapsed="false" customWidth="true" hidden="false" outlineLevel="0" max="9" min="9" style="1" width="26.71"/>
    <col collapsed="false" customWidth="true" hidden="false" outlineLevel="0" max="11" min="10" style="1" width="5.57"/>
    <col collapsed="false" customWidth="true" hidden="false" outlineLevel="0" max="12" min="12" style="1" width="6.57"/>
    <col collapsed="false" customWidth="false" hidden="false" outlineLevel="0" max="16384" min="13" style="1" width="11"/>
  </cols>
  <sheetData>
    <row r="3" customFormat="false" ht="15" hidden="false" customHeight="true" outlineLevel="0" collapsed="false">
      <c r="I3" s="1" t="s">
        <v>124</v>
      </c>
      <c r="J3" s="1" t="s">
        <v>125</v>
      </c>
      <c r="K3" s="1" t="s">
        <v>126</v>
      </c>
      <c r="L3" s="1" t="s">
        <v>127</v>
      </c>
      <c r="N3" s="1" t="s">
        <v>128</v>
      </c>
    </row>
    <row r="4" customFormat="false" ht="15" hidden="false" customHeight="true" outlineLevel="0" collapsed="false">
      <c r="I4" s="1" t="s">
        <v>129</v>
      </c>
      <c r="J4" s="108" t="n">
        <v>25.78</v>
      </c>
      <c r="K4" s="18" t="n">
        <f aca="false">L4-J4</f>
        <v>11.56</v>
      </c>
      <c r="L4" s="108" t="n">
        <v>37.34</v>
      </c>
      <c r="N4" s="196" t="n">
        <v>33.18</v>
      </c>
    </row>
    <row r="5" customFormat="false" ht="15" hidden="false" customHeight="true" outlineLevel="0" collapsed="false">
      <c r="I5" s="1" t="s">
        <v>130</v>
      </c>
      <c r="J5" s="108" t="n">
        <v>23</v>
      </c>
      <c r="K5" s="18" t="n">
        <f aca="false">L5-J5</f>
        <v>25</v>
      </c>
      <c r="L5" s="108" t="n">
        <v>48</v>
      </c>
    </row>
    <row r="6" customFormat="false" ht="15" hidden="false" customHeight="true" outlineLevel="0" collapsed="false">
      <c r="I6" s="1" t="s">
        <v>131</v>
      </c>
      <c r="J6" s="197" t="n">
        <f aca="false">'FCFF &amp; DCF'!K58/'Equity Bridge'!$C$13</f>
        <v>77.1583875897061</v>
      </c>
      <c r="K6" s="18" t="n">
        <f aca="false">L6-J6</f>
        <v>33.5896277577191</v>
      </c>
      <c r="L6" s="197" t="n">
        <f aca="false">'FCFF &amp; DCF'!M56/'Equity Bridge'!$C$13</f>
        <v>110.748015347425</v>
      </c>
    </row>
    <row r="7" customFormat="false" ht="15" hidden="false" customHeight="true" outlineLevel="0" collapsed="false">
      <c r="I7" s="1" t="s">
        <v>132</v>
      </c>
      <c r="J7" s="197" t="n">
        <f aca="false">(Multiples!R11*Multiples!F18+'Equity Bridge'!$C$6-'Equity Bridge'!$C$7-'Equity Bridge'!$C$8-'Equity Bridge'!$C$9)/'Equity Bridge'!$C$13</f>
        <v>45.0451690717209</v>
      </c>
      <c r="K7" s="18" t="n">
        <f aca="false">L7-J7</f>
        <v>32.4380618485934</v>
      </c>
      <c r="L7" s="197" t="n">
        <f aca="false">(Multiples!R10*Multiples!F18+'Equity Bridge'!$C$6-'Equity Bridge'!$C$7-'Equity Bridge'!$C$8-'Equity Bridge'!$C$9)/'Equity Bridge'!$C$13</f>
        <v>77.4832309203143</v>
      </c>
    </row>
    <row r="8" customFormat="false" ht="15" hidden="false" customHeight="true" outlineLevel="0" collapsed="false">
      <c r="K8" s="198"/>
      <c r="L8" s="198"/>
    </row>
    <row r="9" customFormat="false" ht="15" hidden="false" customHeight="true" outlineLevel="0" collapsed="false">
      <c r="K9" s="198"/>
      <c r="L9" s="198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drawing r:id="rIdDR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99" width="44"/>
    <col collapsed="false" customWidth="true" hidden="false" outlineLevel="0" max="6" min="3" style="199" width="16"/>
  </cols>
  <sheetData>
    <row r="2" customFormat="false" ht="15" hidden="false" customHeight="true" outlineLevel="0" collapsed="false">
      <c r="B2" s="200" t="s">
        <v>133</v>
      </c>
    </row>
    <row r="4" customFormat="false" ht="15" hidden="false" customHeight="true" outlineLevel="0" collapsed="false">
      <c r="B4" s="200" t="s">
        <v>134</v>
      </c>
    </row>
    <row r="5" customFormat="false" ht="15" hidden="false" customHeight="true" outlineLevel="0" collapsed="false">
      <c r="C5" s="200" t="s">
        <v>113</v>
      </c>
      <c r="D5" s="200" t="s">
        <v>135</v>
      </c>
      <c r="E5" s="200" t="s">
        <v>68</v>
      </c>
    </row>
    <row r="6" customFormat="false" ht="15" hidden="false" customHeight="true" outlineLevel="0" collapsed="false">
      <c r="B6" s="199" t="s">
        <v>136</v>
      </c>
      <c r="C6" s="199" t="n">
        <v>28799</v>
      </c>
      <c r="D6" s="199" t="n">
        <v>257633</v>
      </c>
      <c r="E6" s="199" t="n">
        <v>29921</v>
      </c>
    </row>
    <row r="7" customFormat="false" ht="15" hidden="false" customHeight="true" outlineLevel="0" collapsed="false">
      <c r="B7" s="199" t="s">
        <v>137</v>
      </c>
      <c r="C7" s="199" t="n">
        <v>3005</v>
      </c>
      <c r="D7" s="199" t="n">
        <v>72573</v>
      </c>
      <c r="E7" s="199" t="n">
        <v>12903</v>
      </c>
    </row>
    <row r="8" customFormat="false" ht="15" hidden="false" customHeight="true" outlineLevel="0" collapsed="false">
      <c r="B8" s="199" t="s">
        <v>138</v>
      </c>
      <c r="C8" s="199" t="n">
        <v>25794</v>
      </c>
      <c r="D8" s="199" t="n">
        <v>185060</v>
      </c>
      <c r="E8" s="199" t="n">
        <v>17018</v>
      </c>
    </row>
    <row r="9" customFormat="false" ht="15" hidden="false" customHeight="true" outlineLevel="0" collapsed="false">
      <c r="B9" s="199" t="s">
        <v>139</v>
      </c>
      <c r="C9" s="199" t="n">
        <v>4009</v>
      </c>
      <c r="D9" s="199" t="n">
        <v>-44058</v>
      </c>
      <c r="E9" s="199" t="n">
        <v>-9161</v>
      </c>
    </row>
    <row r="10" customFormat="false" ht="15" hidden="false" customHeight="true" outlineLevel="0" collapsed="false">
      <c r="B10" s="199" t="s">
        <v>140</v>
      </c>
      <c r="C10" s="199" t="n">
        <v>17906</v>
      </c>
      <c r="D10" s="199" t="s">
        <v>141</v>
      </c>
      <c r="E10" s="199" t="s">
        <v>141</v>
      </c>
    </row>
    <row r="11" customFormat="false" ht="15" hidden="false" customHeight="true" outlineLevel="0" collapsed="false">
      <c r="B11" s="199" t="s">
        <v>142</v>
      </c>
      <c r="C11" s="199" t="n">
        <v>0.66</v>
      </c>
      <c r="D11" s="199" t="n">
        <v>-0.63</v>
      </c>
      <c r="E11" s="199" t="n">
        <v>-2.26</v>
      </c>
    </row>
    <row r="13" customFormat="false" ht="61.5" hidden="false" customHeight="true" outlineLevel="0" collapsed="false">
      <c r="B13" s="201" t="s">
        <v>143</v>
      </c>
    </row>
    <row r="16" customFormat="false" ht="15" hidden="false" customHeight="true" outlineLevel="0" collapsed="false">
      <c r="B16" s="200" t="s">
        <v>144</v>
      </c>
    </row>
    <row r="17" customFormat="false" ht="15" hidden="false" customHeight="true" outlineLevel="0" collapsed="false">
      <c r="C17" s="200" t="s">
        <v>34</v>
      </c>
      <c r="D17" s="200" t="s">
        <v>145</v>
      </c>
      <c r="E17" s="200" t="s">
        <v>146</v>
      </c>
    </row>
    <row r="18" customFormat="false" ht="15" hidden="false" customHeight="true" outlineLevel="0" collapsed="false">
      <c r="B18" s="199" t="s">
        <v>147</v>
      </c>
      <c r="C18" s="199" t="n">
        <v>17945</v>
      </c>
      <c r="D18" s="199" t="n">
        <v>1926</v>
      </c>
      <c r="E18" s="199" t="s">
        <v>148</v>
      </c>
    </row>
    <row r="19" customFormat="false" ht="15" hidden="false" customHeight="true" outlineLevel="0" collapsed="false">
      <c r="B19" s="199" t="s">
        <v>149</v>
      </c>
      <c r="C19" s="199" t="n">
        <v>14095</v>
      </c>
      <c r="D19" s="199" t="n">
        <v>904</v>
      </c>
      <c r="E19" s="199" t="s">
        <v>150</v>
      </c>
    </row>
    <row r="20" customFormat="false" ht="15" hidden="false" customHeight="true" outlineLevel="0" collapsed="false">
      <c r="B20" s="199" t="s">
        <v>151</v>
      </c>
      <c r="C20" s="199" t="n">
        <v>8169</v>
      </c>
      <c r="D20" s="199" t="n">
        <v>9</v>
      </c>
      <c r="E20" s="199" t="s">
        <v>152</v>
      </c>
    </row>
    <row r="21" customFormat="false" ht="15" hidden="false" customHeight="true" outlineLevel="0" collapsed="false">
      <c r="B21" s="199" t="s">
        <v>153</v>
      </c>
      <c r="C21" s="199" t="n">
        <v>2768</v>
      </c>
      <c r="D21" s="199" t="n">
        <v>323</v>
      </c>
      <c r="E21" s="199" t="s">
        <v>154</v>
      </c>
    </row>
    <row r="22" customFormat="false" ht="15" hidden="false" customHeight="true" outlineLevel="0" collapsed="false">
      <c r="B22" s="199" t="s">
        <v>155</v>
      </c>
      <c r="C22" s="199" t="n">
        <v>2188</v>
      </c>
      <c r="D22" s="199" t="n">
        <v>167</v>
      </c>
      <c r="E22" s="199" t="s">
        <v>156</v>
      </c>
    </row>
    <row r="24" customFormat="false" ht="61.5" hidden="false" customHeight="true" outlineLevel="0" collapsed="false">
      <c r="B24" s="201" t="s">
        <v>157</v>
      </c>
    </row>
    <row r="27" customFormat="false" ht="15" hidden="false" customHeight="true" outlineLevel="0" collapsed="false">
      <c r="B27" s="200" t="s">
        <v>158</v>
      </c>
    </row>
    <row r="28" customFormat="false" ht="15" hidden="false" customHeight="true" outlineLevel="0" collapsed="false">
      <c r="C28" s="200" t="s">
        <v>159</v>
      </c>
      <c r="D28" s="200" t="s">
        <v>160</v>
      </c>
      <c r="E28" s="200" t="s">
        <v>161</v>
      </c>
    </row>
    <row r="29" customFormat="false" ht="15" hidden="false" customHeight="true" outlineLevel="0" collapsed="false">
      <c r="B29" s="199" t="s">
        <v>162</v>
      </c>
      <c r="C29" s="199" t="n">
        <v>45897</v>
      </c>
      <c r="D29" s="199" t="n">
        <v>45755</v>
      </c>
      <c r="E29" s="199" t="s">
        <v>163</v>
      </c>
    </row>
    <row r="30" customFormat="false" ht="15" hidden="false" customHeight="true" outlineLevel="0" collapsed="false">
      <c r="B30" s="199" t="s">
        <v>164</v>
      </c>
      <c r="C30" s="199" t="n">
        <v>48970</v>
      </c>
      <c r="D30" s="199" t="n">
        <v>48661</v>
      </c>
      <c r="E30" s="199" t="s">
        <v>165</v>
      </c>
    </row>
    <row r="31" customFormat="false" ht="15" hidden="false" customHeight="true" outlineLevel="0" collapsed="false">
      <c r="B31" s="199" t="s">
        <v>166</v>
      </c>
      <c r="C31" s="199" t="n">
        <v>5719</v>
      </c>
      <c r="D31" s="199" t="n">
        <v>5802</v>
      </c>
      <c r="E31" s="199" t="s">
        <v>167</v>
      </c>
    </row>
    <row r="32" customFormat="false" ht="15" hidden="false" customHeight="true" outlineLevel="0" collapsed="false">
      <c r="B32" s="199" t="s">
        <v>168</v>
      </c>
      <c r="C32" s="199" t="n">
        <v>6723</v>
      </c>
      <c r="D32" s="199" t="n">
        <v>6746</v>
      </c>
      <c r="E32" s="199" t="s">
        <v>169</v>
      </c>
    </row>
    <row r="33" customFormat="false" ht="15" hidden="false" customHeight="true" outlineLevel="0" collapsed="false">
      <c r="B33" s="199" t="s">
        <v>170</v>
      </c>
      <c r="C33" s="199" t="n">
        <v>4.2</v>
      </c>
      <c r="D33" s="199" t="n">
        <v>4.22</v>
      </c>
      <c r="E33" s="199" t="s">
        <v>171</v>
      </c>
    </row>
    <row r="34" customFormat="false" ht="15" hidden="false" customHeight="true" outlineLevel="0" collapsed="false">
      <c r="B34" s="199" t="s">
        <v>172</v>
      </c>
      <c r="C34" s="199" t="s">
        <v>173</v>
      </c>
      <c r="D34" s="199" t="s">
        <v>174</v>
      </c>
      <c r="E34" s="199" t="s">
        <v>175</v>
      </c>
    </row>
    <row r="36" customFormat="false" ht="61.5" hidden="false" customHeight="true" outlineLevel="0" collapsed="false">
      <c r="B36" s="201" t="s">
        <v>176</v>
      </c>
    </row>
    <row r="39" customFormat="false" ht="15" hidden="false" customHeight="true" outlineLevel="0" collapsed="false">
      <c r="B39" s="200" t="s">
        <v>177</v>
      </c>
    </row>
    <row r="40" customFormat="false" ht="61.5" hidden="false" customHeight="true" outlineLevel="0" collapsed="false">
      <c r="B40" s="201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2022-06-26T09:52:18Z</dcterms:created>
  <dc:creator>Arne Reichel</dc:creator>
  <dc:description/>
  <dc:language>en-US</dc:language>
  <cp:lastModifiedBy/>
  <cp:lastPrinted>2022-06-27T21:14:51Z</cp:lastPrinted>
  <dcterms:modified xsi:type="dcterms:W3CDTF">2026-07-08T13:20:23Z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