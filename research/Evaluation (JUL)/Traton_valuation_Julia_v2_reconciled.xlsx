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FF &amp; DCF" sheetId="1" state="visible" r:id="rId1"/>
    <sheet name="WACC" sheetId="2" state="visible" r:id="rId2"/>
    <sheet name="Equity Bridge" sheetId="3" state="visible" r:id="rId3"/>
    <sheet name="Multiples" sheetId="4" state="visible" r:id="rId4"/>
    <sheet name="Football-Field" sheetId="5" state="visible" r:id="rId5"/>
    <sheet name="Change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i val="1"/>
      <color rgb="00808080"/>
      <sz val="9"/>
    </font>
    <font>
      <i val="1"/>
      <color rgb="00C00000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0" fillId="3" borderId="1" pivotButton="0" quotePrefix="0" xfId="0"/>
    <xf numFmtId="0" fontId="3" fillId="0" borderId="0" pivotButton="0" quotePrefix="0" xfId="0"/>
    <xf numFmtId="10" fontId="0" fillId="0" borderId="1" pivotButton="0" quotePrefix="0" xfId="0"/>
    <xf numFmtId="0" fontId="0" fillId="0" borderId="1" pivotButton="0" quotePrefix="0" xfId="0"/>
    <xf numFmtId="3" fontId="0" fillId="3" borderId="1" pivotButton="0" quotePrefix="0" xfId="0"/>
    <xf numFmtId="0" fontId="3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4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3" fontId="0" fillId="5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1" pivotButton="0" quotePrefix="0" xfId="0"/>
    <xf numFmtId="3" fontId="0" fillId="5" borderId="1" pivotButton="0" quotePrefix="0" xfId="0"/>
    <xf numFmtId="164" fontId="0" fillId="0" borderId="1" pivotButton="0" quotePrefix="0" xfId="0"/>
    <xf numFmtId="164" fontId="2" fillId="0" borderId="0" pivotButton="0" quotePrefix="0" xfId="0"/>
    <xf numFmtId="10" fontId="2" fillId="0" borderId="0" pivotButton="0" quotePrefix="0" xfId="0"/>
    <xf numFmtId="2" fontId="0" fillId="0" borderId="0" pivotButton="0" quotePrefix="0" xfId="0"/>
    <xf numFmtId="10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166" fontId="0" fillId="5" borderId="1" pivotButton="0" quotePrefix="0" xfId="0"/>
    <xf numFmtId="10" fontId="0" fillId="5" borderId="1" pivotButton="0" quotePrefix="0" xfId="0"/>
    <xf numFmtId="10" fontId="2" fillId="5" borderId="1" pivotButton="0" quotePrefix="0" xfId="0"/>
    <xf numFmtId="0" fontId="4" fillId="0" borderId="0" pivotButton="0" quotePrefix="0" xfId="0"/>
    <xf numFmtId="2" fontId="0" fillId="5" borderId="1" pivotButton="0" quotePrefix="0" xfId="0"/>
    <xf numFmtId="2" fontId="0" fillId="3" borderId="1" pivotButton="0" quotePrefix="0" xfId="0"/>
    <xf numFmtId="0" fontId="5" fillId="6" borderId="1" applyAlignment="1" pivotButton="0" quotePrefix="0" xfId="0">
      <alignment horizontal="center"/>
    </xf>
    <xf numFmtId="167" fontId="0" fillId="0" borderId="1" pivotButton="0" quotePrefix="0" xfId="0"/>
    <xf numFmtId="167" fontId="2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5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>
      <c r="B2" s="1" t="inlineStr">
        <is>
          <t>Traton SE — DCF (FCFF)  |  Valuation date 30.06.2026  |  improved reconciliation</t>
        </is>
      </c>
    </row>
    <row r="4">
      <c r="B4" s="2" t="inlineStr">
        <is>
          <t>Assumptions</t>
        </is>
      </c>
      <c r="C4" s="3" t="inlineStr"/>
    </row>
    <row r="5">
      <c r="B5" t="inlineStr">
        <is>
          <t>Tax rate</t>
        </is>
      </c>
      <c r="C5" s="4" t="n">
        <v>0.3</v>
      </c>
      <c r="E5" s="5" t="inlineStr">
        <is>
          <t>Yellow = input   |   Green = key result</t>
        </is>
      </c>
    </row>
    <row r="6">
      <c r="B6" t="inlineStr">
        <is>
          <t>LT growth rate (g)</t>
        </is>
      </c>
      <c r="C6" s="4" t="n">
        <v>0.015</v>
      </c>
    </row>
    <row r="7">
      <c r="B7" t="inlineStr">
        <is>
          <t>WACC (from WACC tab)</t>
        </is>
      </c>
      <c r="C7" s="6">
        <f>WACC!C23</f>
        <v/>
      </c>
    </row>
    <row r="8">
      <c r="B8" t="inlineStr">
        <is>
          <t>Depreciation / Revenue</t>
        </is>
      </c>
      <c r="C8" s="4" t="n">
        <v>0.06</v>
      </c>
    </row>
    <row r="9">
      <c r="B9" t="inlineStr">
        <is>
          <t>CapEx / Revenue</t>
        </is>
      </c>
      <c r="C9" s="4" t="n">
        <v>0.07000000000000001</v>
      </c>
    </row>
    <row r="10">
      <c r="B10" t="inlineStr">
        <is>
          <t>NWC intensity (of ΔRevenue)</t>
        </is>
      </c>
      <c r="C10" s="4" t="n">
        <v>0.15</v>
      </c>
    </row>
    <row r="11">
      <c r="B11" t="inlineStr">
        <is>
          <t>Valuation date</t>
        </is>
      </c>
      <c r="C11" s="7" t="inlineStr">
        <is>
          <t>30.06.2026</t>
        </is>
      </c>
    </row>
    <row r="12">
      <c r="B12" t="inlineStr">
        <is>
          <t>Shares outstanding (m)</t>
        </is>
      </c>
      <c r="C12" s="8" t="n">
        <v>500</v>
      </c>
    </row>
    <row r="15">
      <c r="B15" s="2" t="inlineStr">
        <is>
          <t>Free Cash Flow build-up (EURm)</t>
        </is>
      </c>
      <c r="C15" s="3" t="n"/>
      <c r="D15" s="3" t="n"/>
      <c r="E15" s="9" t="inlineStr">
        <is>
          <t>← Historical (actual)</t>
        </is>
      </c>
      <c r="F15" s="3" t="n"/>
      <c r="G15" s="3" t="n"/>
      <c r="H15" s="3" t="n"/>
      <c r="I15" s="3" t="n"/>
      <c r="J15" s="3" t="n"/>
      <c r="K15" s="9" t="inlineStr">
        <is>
          <t>Forecast →</t>
        </is>
      </c>
      <c r="L15" s="3" t="n"/>
      <c r="M15" s="3" t="n"/>
      <c r="N15" s="3" t="n"/>
      <c r="O15" s="3" t="n"/>
    </row>
    <row r="16">
      <c r="B16" s="10" t="inlineStr">
        <is>
          <t>Year</t>
        </is>
      </c>
      <c r="C16" s="11" t="n">
        <v>2021</v>
      </c>
      <c r="D16" s="11" t="n">
        <v>2022</v>
      </c>
      <c r="E16" s="11" t="n">
        <v>2023</v>
      </c>
      <c r="F16" s="11" t="n">
        <v>2024</v>
      </c>
      <c r="G16" s="11" t="n">
        <v>2025</v>
      </c>
      <c r="H16" s="12" t="inlineStr">
        <is>
          <t>2026E</t>
        </is>
      </c>
      <c r="I16" s="12" t="inlineStr">
        <is>
          <t>2027E</t>
        </is>
      </c>
      <c r="J16" s="12" t="inlineStr">
        <is>
          <t>2028E</t>
        </is>
      </c>
      <c r="K16" s="12" t="inlineStr">
        <is>
          <t>2029E</t>
        </is>
      </c>
      <c r="L16" s="12" t="inlineStr">
        <is>
          <t>2030E</t>
        </is>
      </c>
      <c r="M16" s="12" t="inlineStr">
        <is>
          <t>2031E</t>
        </is>
      </c>
      <c r="N16" s="12" t="inlineStr">
        <is>
          <t>2032E</t>
        </is>
      </c>
    </row>
    <row r="17">
      <c r="B17" s="10" t="inlineStr">
        <is>
          <t>Revenue</t>
        </is>
      </c>
      <c r="C17" s="13" t="n">
        <v>30620</v>
      </c>
      <c r="D17" s="13" t="n">
        <v>40335</v>
      </c>
      <c r="E17" s="13" t="n">
        <v>46872</v>
      </c>
      <c r="F17" s="13" t="n">
        <v>47473</v>
      </c>
      <c r="G17" s="13" t="n">
        <v>44051</v>
      </c>
      <c r="H17" s="8" t="n">
        <v>45897</v>
      </c>
      <c r="I17" s="8" t="n">
        <v>48970</v>
      </c>
      <c r="J17" s="8" t="n">
        <v>51418</v>
      </c>
      <c r="K17" s="8" t="n">
        <v>53218</v>
      </c>
      <c r="L17" s="8" t="n">
        <v>54549</v>
      </c>
      <c r="M17" s="8" t="n">
        <v>55640</v>
      </c>
      <c r="N17" s="8" t="n">
        <v>56474</v>
      </c>
    </row>
    <row r="18">
      <c r="B18" t="inlineStr">
        <is>
          <t>Revenue growth</t>
        </is>
      </c>
      <c r="D18" s="14">
        <f>D17/C17-1</f>
        <v/>
      </c>
      <c r="E18" s="14">
        <f>E17/D17-1</f>
        <v/>
      </c>
      <c r="F18" s="14">
        <f>F17/E17-1</f>
        <v/>
      </c>
      <c r="G18" s="14">
        <f>G17/F17-1</f>
        <v/>
      </c>
      <c r="H18" s="14">
        <f>H17/G17-1</f>
        <v/>
      </c>
      <c r="I18" s="14">
        <f>I17/H17-1</f>
        <v/>
      </c>
      <c r="J18" s="14">
        <f>J17/I17-1</f>
        <v/>
      </c>
      <c r="K18" s="14">
        <f>K17/J17-1</f>
        <v/>
      </c>
      <c r="L18" s="14">
        <f>L17/K17-1</f>
        <v/>
      </c>
      <c r="M18" s="14">
        <f>M17/L17-1</f>
        <v/>
      </c>
      <c r="N18" s="14">
        <f>N17/M17-1</f>
        <v/>
      </c>
    </row>
    <row r="19">
      <c r="B19" t="inlineStr">
        <is>
          <t>EBIT margin</t>
        </is>
      </c>
      <c r="C19" s="14">
        <f>C20/C17</f>
        <v/>
      </c>
      <c r="D19" s="14">
        <f>D20/D17</f>
        <v/>
      </c>
      <c r="E19" s="14">
        <f>E20/E17</f>
        <v/>
      </c>
      <c r="F19" s="14">
        <f>F20/F17</f>
        <v/>
      </c>
      <c r="G19" s="14">
        <f>G20/G17</f>
        <v/>
      </c>
      <c r="H19" s="4" t="n">
        <v>0.0664</v>
      </c>
      <c r="I19" s="4" t="n">
        <v>0.0814</v>
      </c>
      <c r="J19" s="4" t="n">
        <v>0.08</v>
      </c>
      <c r="K19" s="4" t="n">
        <v>0.08</v>
      </c>
      <c r="L19" s="4" t="n">
        <v>0.08</v>
      </c>
      <c r="M19" s="4" t="n">
        <v>0.08</v>
      </c>
      <c r="N19" s="4" t="n">
        <v>0.08</v>
      </c>
    </row>
    <row r="20">
      <c r="B20" s="10" t="inlineStr">
        <is>
          <t>EBIT</t>
        </is>
      </c>
      <c r="C20" s="13" t="n">
        <v>502</v>
      </c>
      <c r="D20" s="13" t="n">
        <v>1920</v>
      </c>
      <c r="E20" s="13" t="n">
        <v>3825</v>
      </c>
      <c r="F20" s="13" t="n">
        <v>4417</v>
      </c>
      <c r="G20" s="13" t="n">
        <v>2819</v>
      </c>
      <c r="H20" s="13">
        <f>H19*H17</f>
        <v/>
      </c>
      <c r="I20" s="13">
        <f>I19*I17</f>
        <v/>
      </c>
      <c r="J20" s="13">
        <f>J19*J17</f>
        <v/>
      </c>
      <c r="K20" s="13">
        <f>K19*K17</f>
        <v/>
      </c>
      <c r="L20" s="13">
        <f>L19*L17</f>
        <v/>
      </c>
      <c r="M20" s="13">
        <f>M19*M17</f>
        <v/>
      </c>
      <c r="N20" s="13">
        <f>N19*N17</f>
        <v/>
      </c>
    </row>
    <row r="21">
      <c r="B21" t="inlineStr">
        <is>
          <t>Depreciation &amp; amort.</t>
        </is>
      </c>
      <c r="C21" s="13" t="n">
        <v>2729</v>
      </c>
      <c r="D21" s="13" t="n">
        <v>2982</v>
      </c>
      <c r="E21" s="13" t="n">
        <v>2861</v>
      </c>
      <c r="F21" s="13" t="n">
        <v>2975</v>
      </c>
      <c r="G21" s="13" t="n">
        <v>3147</v>
      </c>
      <c r="H21" s="13">
        <f>$C$8*H17</f>
        <v/>
      </c>
      <c r="I21" s="13">
        <f>$C$8*I17</f>
        <v/>
      </c>
      <c r="J21" s="13">
        <f>$C$8*J17</f>
        <v/>
      </c>
      <c r="K21" s="13">
        <f>$C$8*K17</f>
        <v/>
      </c>
      <c r="L21" s="13">
        <f>$C$8*L17</f>
        <v/>
      </c>
      <c r="M21" s="13">
        <f>$C$8*M17</f>
        <v/>
      </c>
      <c r="N21" s="13">
        <f>$C$8*N17</f>
        <v/>
      </c>
    </row>
    <row r="22">
      <c r="B22" t="inlineStr">
        <is>
          <t>EBITDA (=EBIT + D&amp;A)</t>
        </is>
      </c>
      <c r="C22" s="13">
        <f>C20+C21</f>
        <v/>
      </c>
      <c r="D22" s="13">
        <f>D20+D21</f>
        <v/>
      </c>
      <c r="E22" s="13">
        <f>E20+E21</f>
        <v/>
      </c>
      <c r="F22" s="13">
        <f>F20+F21</f>
        <v/>
      </c>
      <c r="G22" s="13">
        <f>G20+G21</f>
        <v/>
      </c>
      <c r="H22" s="13">
        <f>H20+H21</f>
        <v/>
      </c>
      <c r="I22" s="13">
        <f>I20+I21</f>
        <v/>
      </c>
      <c r="J22" s="13">
        <f>J20+J21</f>
        <v/>
      </c>
      <c r="K22" s="13">
        <f>K20+K21</f>
        <v/>
      </c>
      <c r="L22" s="13">
        <f>L20+L21</f>
        <v/>
      </c>
      <c r="M22" s="13">
        <f>M20+M21</f>
        <v/>
      </c>
      <c r="N22" s="13">
        <f>N20+N21</f>
        <v/>
      </c>
    </row>
    <row r="23">
      <c r="B23" t="inlineStr">
        <is>
          <t>EBITDA margin</t>
        </is>
      </c>
      <c r="C23" s="14">
        <f>C22/C17</f>
        <v/>
      </c>
      <c r="D23" s="14">
        <f>D22/D17</f>
        <v/>
      </c>
      <c r="E23" s="14">
        <f>E22/E17</f>
        <v/>
      </c>
      <c r="F23" s="14">
        <f>F22/F17</f>
        <v/>
      </c>
      <c r="G23" s="14">
        <f>G22/G17</f>
        <v/>
      </c>
      <c r="H23" s="14">
        <f>H22/H17</f>
        <v/>
      </c>
      <c r="I23" s="14">
        <f>I22/I17</f>
        <v/>
      </c>
      <c r="J23" s="14">
        <f>J22/J17</f>
        <v/>
      </c>
      <c r="K23" s="14">
        <f>K22/K17</f>
        <v/>
      </c>
      <c r="L23" s="14">
        <f>L22/L17</f>
        <v/>
      </c>
      <c r="M23" s="14">
        <f>M22/M17</f>
        <v/>
      </c>
      <c r="N23" s="14">
        <f>N22/N17</f>
        <v/>
      </c>
    </row>
    <row r="24">
      <c r="B24" t="inlineStr">
        <is>
          <t>Taxes on EBIT</t>
        </is>
      </c>
      <c r="H24" s="13">
        <f>H20*$C$5</f>
        <v/>
      </c>
      <c r="I24" s="13">
        <f>I20*$C$5</f>
        <v/>
      </c>
      <c r="J24" s="13">
        <f>J20*$C$5</f>
        <v/>
      </c>
      <c r="K24" s="13">
        <f>K20*$C$5</f>
        <v/>
      </c>
      <c r="L24" s="13">
        <f>L20*$C$5</f>
        <v/>
      </c>
      <c r="M24" s="13">
        <f>M20*$C$5</f>
        <v/>
      </c>
      <c r="N24" s="13">
        <f>N20*$C$5</f>
        <v/>
      </c>
    </row>
    <row r="25">
      <c r="B25" s="10" t="inlineStr">
        <is>
          <t>NOPAT (=EBIT×(1−t))</t>
        </is>
      </c>
      <c r="H25" s="13">
        <f>H20-H24</f>
        <v/>
      </c>
      <c r="I25" s="13">
        <f>I20-I24</f>
        <v/>
      </c>
      <c r="J25" s="13">
        <f>J20-J24</f>
        <v/>
      </c>
      <c r="K25" s="13">
        <f>K20-K24</f>
        <v/>
      </c>
      <c r="L25" s="13">
        <f>L20-L24</f>
        <v/>
      </c>
      <c r="M25" s="13">
        <f>M20-M24</f>
        <v/>
      </c>
      <c r="N25" s="13">
        <f>N20-N24</f>
        <v/>
      </c>
    </row>
    <row r="26">
      <c r="B26" t="inlineStr">
        <is>
          <t>CapEx</t>
        </is>
      </c>
      <c r="H26" s="13">
        <f>$C$9*H17</f>
        <v/>
      </c>
      <c r="I26" s="13">
        <f>$C$9*I17</f>
        <v/>
      </c>
      <c r="J26" s="13">
        <f>$C$9*J17</f>
        <v/>
      </c>
      <c r="K26" s="13">
        <f>$C$9*K17</f>
        <v/>
      </c>
      <c r="L26" s="13">
        <f>$C$9*L17</f>
        <v/>
      </c>
      <c r="M26" s="13">
        <f>$C$9*M17</f>
        <v/>
      </c>
      <c r="N26" s="13">
        <f>$C$9*N17</f>
        <v/>
      </c>
    </row>
    <row r="27">
      <c r="B27" t="inlineStr">
        <is>
          <t>+ Depreciation add-back</t>
        </is>
      </c>
      <c r="H27" s="13">
        <f>H21</f>
        <v/>
      </c>
      <c r="I27" s="13">
        <f>I21</f>
        <v/>
      </c>
      <c r="J27" s="13">
        <f>J21</f>
        <v/>
      </c>
      <c r="K27" s="13">
        <f>K21</f>
        <v/>
      </c>
      <c r="L27" s="13">
        <f>L21</f>
        <v/>
      </c>
      <c r="M27" s="13">
        <f>M21</f>
        <v/>
      </c>
      <c r="N27" s="13">
        <f>N21</f>
        <v/>
      </c>
    </row>
    <row r="28">
      <c r="B28" t="inlineStr">
        <is>
          <t>− ΔNWC (=intensity×ΔRev)</t>
        </is>
      </c>
      <c r="H28" s="13">
        <f>$C$10*(H17-G17)</f>
        <v/>
      </c>
      <c r="I28" s="13">
        <f>$C$10*(I17-H17)</f>
        <v/>
      </c>
      <c r="J28" s="13">
        <f>$C$10*(J17-I17)</f>
        <v/>
      </c>
      <c r="K28" s="13">
        <f>$C$10*(K17-J17)</f>
        <v/>
      </c>
      <c r="L28" s="13">
        <f>$C$10*(L17-K17)</f>
        <v/>
      </c>
      <c r="M28" s="13">
        <f>$C$10*(M17-L17)</f>
        <v/>
      </c>
      <c r="N28" s="13">
        <f>$C$10*(N17-M17)</f>
        <v/>
      </c>
    </row>
    <row r="29">
      <c r="B29" s="10" t="inlineStr">
        <is>
          <t>Free Cash Flow to Firm</t>
        </is>
      </c>
      <c r="H29" s="15">
        <f>H25+H27-H26-H28</f>
        <v/>
      </c>
      <c r="I29" s="15">
        <f>I25+I27-I26-I28</f>
        <v/>
      </c>
      <c r="J29" s="15">
        <f>J25+J27-J26-J28</f>
        <v/>
      </c>
      <c r="K29" s="15">
        <f>K25+K27-K26-K28</f>
        <v/>
      </c>
      <c r="L29" s="15">
        <f>L25+L27-L26-L28</f>
        <v/>
      </c>
      <c r="M29" s="15">
        <f>M25+M27-M26-M28</f>
        <v/>
      </c>
      <c r="N29" s="15">
        <f>N25+N27-N26-N28</f>
        <v/>
      </c>
    </row>
    <row r="30">
      <c r="B30" t="inlineStr">
        <is>
          <t>Discount period (mid-year)</t>
        </is>
      </c>
      <c r="H30" s="16" t="n">
        <v>0.5</v>
      </c>
      <c r="I30" s="16" t="n">
        <v>1.5</v>
      </c>
      <c r="J30" s="16" t="n">
        <v>2.5</v>
      </c>
      <c r="K30" s="16" t="n">
        <v>3.5</v>
      </c>
      <c r="L30" s="16" t="n">
        <v>4.5</v>
      </c>
      <c r="M30" s="16" t="n">
        <v>5.5</v>
      </c>
      <c r="N30" s="16" t="n">
        <v>6.5</v>
      </c>
    </row>
    <row r="31">
      <c r="B31" t="inlineStr">
        <is>
          <t>Discount factor</t>
        </is>
      </c>
      <c r="H31" s="17">
        <f>1/(1+$C$7)^H30</f>
        <v/>
      </c>
      <c r="I31" s="17">
        <f>1/(1+$C$7)^I30</f>
        <v/>
      </c>
      <c r="J31" s="17">
        <f>1/(1+$C$7)^J30</f>
        <v/>
      </c>
      <c r="K31" s="17">
        <f>1/(1+$C$7)^K30</f>
        <v/>
      </c>
      <c r="L31" s="17">
        <f>1/(1+$C$7)^L30</f>
        <v/>
      </c>
      <c r="M31" s="17">
        <f>1/(1+$C$7)^M30</f>
        <v/>
      </c>
      <c r="N31" s="17">
        <f>1/(1+$C$7)^N30</f>
        <v/>
      </c>
    </row>
    <row r="32">
      <c r="B32" t="inlineStr">
        <is>
          <t>PV of FCFF</t>
        </is>
      </c>
      <c r="H32" s="13">
        <f>H29*H31</f>
        <v/>
      </c>
      <c r="I32" s="13">
        <f>I29*I31</f>
        <v/>
      </c>
      <c r="J32" s="13">
        <f>J29*J31</f>
        <v/>
      </c>
      <c r="K32" s="13">
        <f>K29*K31</f>
        <v/>
      </c>
      <c r="L32" s="13">
        <f>L29*L31</f>
        <v/>
      </c>
      <c r="M32" s="13">
        <f>M29*M31</f>
        <v/>
      </c>
      <c r="N32" s="13">
        <f>N29*N31</f>
        <v/>
      </c>
    </row>
    <row r="34">
      <c r="B34" s="10" t="inlineStr">
        <is>
          <t>Sum of PV (explicit FCFF)</t>
        </is>
      </c>
      <c r="C34" s="18">
        <f>SUM(H32:N32)</f>
        <v/>
      </c>
    </row>
    <row r="35">
      <c r="B35" s="10" t="inlineStr">
        <is>
          <t>Terminal value (Gordon, on 2032E)</t>
        </is>
      </c>
      <c r="C35" s="18">
        <f>N29*(1+C6)/(C7-C6)</f>
        <v/>
      </c>
    </row>
    <row r="36">
      <c r="B36" s="10" t="inlineStr">
        <is>
          <t>PV of terminal value</t>
        </is>
      </c>
      <c r="C36" s="18">
        <f>C35*N31</f>
        <v/>
      </c>
    </row>
    <row r="37">
      <c r="B37" s="10" t="inlineStr">
        <is>
          <t>Enterprise / Firm Value</t>
        </is>
      </c>
      <c r="C37" s="19">
        <f>C34+C36</f>
        <v/>
      </c>
    </row>
    <row r="38">
      <c r="B38" s="10" t="inlineStr">
        <is>
          <t>TV as % of Firm Value</t>
        </is>
      </c>
      <c r="C38" s="20">
        <f>C36/C37</f>
        <v/>
      </c>
    </row>
    <row r="40">
      <c r="B40" s="2" t="inlineStr">
        <is>
          <t>Sensitivity — Firm Value (EURm): WACC (rows) × g (cols)</t>
        </is>
      </c>
    </row>
    <row r="41">
      <c r="B41" s="10" t="inlineStr">
        <is>
          <t>WACC \ g</t>
        </is>
      </c>
      <c r="C41" s="21" t="n">
        <v>0.005</v>
      </c>
      <c r="D41" s="21" t="n">
        <v>0.01</v>
      </c>
      <c r="E41" s="21" t="n">
        <v>0.015</v>
      </c>
      <c r="F41" s="21" t="n">
        <v>0.02</v>
      </c>
      <c r="G41" s="21" t="n">
        <v>0.025</v>
      </c>
    </row>
    <row r="42">
      <c r="B42" s="22">
        <f>C7+-0.01</f>
        <v/>
      </c>
      <c r="C42" s="13">
        <f>SUMPRODUCT($H$29:$N$29,(1+$B$42)^(-$H$30:$N$30))+($N$29*(1+C$41)/($B$42-C$41))*(1+$B$42)^(-$N$30)</f>
        <v/>
      </c>
      <c r="D42" s="13">
        <f>SUMPRODUCT($H$29:$N$29,(1+$B$42)^(-$H$30:$N$30))+($N$29*(1+D$41)/($B$42-D$41))*(1+$B$42)^(-$N$30)</f>
        <v/>
      </c>
      <c r="E42" s="13">
        <f>SUMPRODUCT($H$29:$N$29,(1+$B$42)^(-$H$30:$N$30))+($N$29*(1+E$41)/($B$42-E$41))*(1+$B$42)^(-$N$30)</f>
        <v/>
      </c>
      <c r="F42" s="13">
        <f>SUMPRODUCT($H$29:$N$29,(1+$B$42)^(-$H$30:$N$30))+($N$29*(1+F$41)/($B$42-F$41))*(1+$B$42)^(-$N$30)</f>
        <v/>
      </c>
      <c r="G42" s="13">
        <f>SUMPRODUCT($H$29:$N$29,(1+$B$42)^(-$H$30:$N$30))+($N$29*(1+G$41)/($B$42-G$41))*(1+$B$42)^(-$N$30)</f>
        <v/>
      </c>
    </row>
    <row r="43">
      <c r="B43" s="22">
        <f>C7+-0.005</f>
        <v/>
      </c>
      <c r="C43" s="13">
        <f>SUMPRODUCT($H$29:$N$29,(1+$B$43)^(-$H$30:$N$30))+($N$29*(1+C$41)/($B$43-C$41))*(1+$B$43)^(-$N$30)</f>
        <v/>
      </c>
      <c r="D43" s="13">
        <f>SUMPRODUCT($H$29:$N$29,(1+$B$43)^(-$H$30:$N$30))+($N$29*(1+D$41)/($B$43-D$41))*(1+$B$43)^(-$N$30)</f>
        <v/>
      </c>
      <c r="E43" s="13">
        <f>SUMPRODUCT($H$29:$N$29,(1+$B$43)^(-$H$30:$N$30))+($N$29*(1+E$41)/($B$43-E$41))*(1+$B$43)^(-$N$30)</f>
        <v/>
      </c>
      <c r="F43" s="13">
        <f>SUMPRODUCT($H$29:$N$29,(1+$B$43)^(-$H$30:$N$30))+($N$29*(1+F$41)/($B$43-F$41))*(1+$B$43)^(-$N$30)</f>
        <v/>
      </c>
      <c r="G43" s="13">
        <f>SUMPRODUCT($H$29:$N$29,(1+$B$43)^(-$H$30:$N$30))+($N$29*(1+G$41)/($B$43-G$41))*(1+$B$43)^(-$N$30)</f>
        <v/>
      </c>
    </row>
    <row r="44">
      <c r="B44" s="22">
        <f>C7+0.0</f>
        <v/>
      </c>
      <c r="C44" s="13">
        <f>SUMPRODUCT($H$29:$N$29,(1+$B$44)^(-$H$30:$N$30))+($N$29*(1+C$41)/($B$44-C$41))*(1+$B$44)^(-$N$30)</f>
        <v/>
      </c>
      <c r="D44" s="13">
        <f>SUMPRODUCT($H$29:$N$29,(1+$B$44)^(-$H$30:$N$30))+($N$29*(1+D$41)/($B$44-D$41))*(1+$B$44)^(-$N$30)</f>
        <v/>
      </c>
      <c r="E44" s="13">
        <f>SUMPRODUCT($H$29:$N$29,(1+$B$44)^(-$H$30:$N$30))+($N$29*(1+E$41)/($B$44-E$41))*(1+$B$44)^(-$N$30)</f>
        <v/>
      </c>
      <c r="F44" s="13">
        <f>SUMPRODUCT($H$29:$N$29,(1+$B$44)^(-$H$30:$N$30))+($N$29*(1+F$41)/($B$44-F$41))*(1+$B$44)^(-$N$30)</f>
        <v/>
      </c>
      <c r="G44" s="13">
        <f>SUMPRODUCT($H$29:$N$29,(1+$B$44)^(-$H$30:$N$30))+($N$29*(1+G$41)/($B$44-G$41))*(1+$B$44)^(-$N$30)</f>
        <v/>
      </c>
    </row>
    <row r="45">
      <c r="B45" s="22">
        <f>C7+0.005</f>
        <v/>
      </c>
      <c r="C45" s="13">
        <f>SUMPRODUCT($H$29:$N$29,(1+$B$45)^(-$H$30:$N$30))+($N$29*(1+C$41)/($B$45-C$41))*(1+$B$45)^(-$N$30)</f>
        <v/>
      </c>
      <c r="D45" s="13">
        <f>SUMPRODUCT($H$29:$N$29,(1+$B$45)^(-$H$30:$N$30))+($N$29*(1+D$41)/($B$45-D$41))*(1+$B$45)^(-$N$30)</f>
        <v/>
      </c>
      <c r="E45" s="13">
        <f>SUMPRODUCT($H$29:$N$29,(1+$B$45)^(-$H$30:$N$30))+($N$29*(1+E$41)/($B$45-E$41))*(1+$B$45)^(-$N$30)</f>
        <v/>
      </c>
      <c r="F45" s="13">
        <f>SUMPRODUCT($H$29:$N$29,(1+$B$45)^(-$H$30:$N$30))+($N$29*(1+F$41)/($B$45-F$41))*(1+$B$45)^(-$N$30)</f>
        <v/>
      </c>
      <c r="G45" s="13">
        <f>SUMPRODUCT($H$29:$N$29,(1+$B$45)^(-$H$30:$N$30))+($N$29*(1+G$41)/($B$45-G$41))*(1+$B$45)^(-$N$30)</f>
        <v/>
      </c>
    </row>
    <row r="46">
      <c r="B46" s="22">
        <f>C7+0.01</f>
        <v/>
      </c>
      <c r="C46" s="13">
        <f>SUMPRODUCT($H$29:$N$29,(1+$B$46)^(-$H$30:$N$30))+($N$29*(1+C$41)/($B$46-C$41))*(1+$B$46)^(-$N$30)</f>
        <v/>
      </c>
      <c r="D46" s="13">
        <f>SUMPRODUCT($H$29:$N$29,(1+$B$46)^(-$H$30:$N$30))+($N$29*(1+D$41)/($B$46-D$41))*(1+$B$46)^(-$N$30)</f>
        <v/>
      </c>
      <c r="E46" s="13">
        <f>SUMPRODUCT($H$29:$N$29,(1+$B$46)^(-$H$30:$N$30))+($N$29*(1+E$41)/($B$46-E$41))*(1+$B$46)^(-$N$30)</f>
        <v/>
      </c>
      <c r="F46" s="13">
        <f>SUMPRODUCT($H$29:$N$29,(1+$B$46)^(-$H$30:$N$30))+($N$29*(1+F$41)/($B$46-F$41))*(1+$B$46)^(-$N$30)</f>
        <v/>
      </c>
      <c r="G46" s="13">
        <f>SUMPRODUCT($H$29:$N$29,(1+$B$46)^(-$H$30:$N$30))+($N$29*(1+G$41)/($B$46-G$41))*(1+$B$46)^(-$N$30)</f>
        <v/>
      </c>
    </row>
    <row r="48">
      <c r="B48" s="2" t="inlineStr">
        <is>
          <t>Sensitivity — Implied Price (€): WACC (rows) × g (cols)</t>
        </is>
      </c>
    </row>
    <row r="49">
      <c r="B49" s="10" t="inlineStr">
        <is>
          <t>WACC \ g</t>
        </is>
      </c>
      <c r="C49" s="21" t="n">
        <v>0.005</v>
      </c>
      <c r="D49" s="21" t="n">
        <v>0.01</v>
      </c>
      <c r="E49" s="21" t="n">
        <v>0.015</v>
      </c>
      <c r="F49" s="21" t="n">
        <v>0.02</v>
      </c>
      <c r="G49" s="21" t="n">
        <v>0.025</v>
      </c>
    </row>
    <row r="50">
      <c r="B50" s="22">
        <f>B42</f>
        <v/>
      </c>
      <c r="C50" s="23">
        <f>(C42-('Equity Bridge'!$C$6+'Equity Bridge'!$C$7+'Equity Bridge'!$C$8))/$C$12</f>
        <v/>
      </c>
      <c r="D50" s="23">
        <f>(D42-('Equity Bridge'!$C$6+'Equity Bridge'!$C$7+'Equity Bridge'!$C$8))/$C$12</f>
        <v/>
      </c>
      <c r="E50" s="23">
        <f>(E42-('Equity Bridge'!$C$6+'Equity Bridge'!$C$7+'Equity Bridge'!$C$8))/$C$12</f>
        <v/>
      </c>
      <c r="F50" s="23">
        <f>(F42-('Equity Bridge'!$C$6+'Equity Bridge'!$C$7+'Equity Bridge'!$C$8))/$C$12</f>
        <v/>
      </c>
      <c r="G50" s="23">
        <f>(G42-('Equity Bridge'!$C$6+'Equity Bridge'!$C$7+'Equity Bridge'!$C$8))/$C$12</f>
        <v/>
      </c>
    </row>
    <row r="51">
      <c r="B51" s="22">
        <f>B43</f>
        <v/>
      </c>
      <c r="C51" s="23">
        <f>(C43-('Equity Bridge'!$C$6+'Equity Bridge'!$C$7+'Equity Bridge'!$C$8))/$C$12</f>
        <v/>
      </c>
      <c r="D51" s="23">
        <f>(D43-('Equity Bridge'!$C$6+'Equity Bridge'!$C$7+'Equity Bridge'!$C$8))/$C$12</f>
        <v/>
      </c>
      <c r="E51" s="23">
        <f>(E43-('Equity Bridge'!$C$6+'Equity Bridge'!$C$7+'Equity Bridge'!$C$8))/$C$12</f>
        <v/>
      </c>
      <c r="F51" s="23">
        <f>(F43-('Equity Bridge'!$C$6+'Equity Bridge'!$C$7+'Equity Bridge'!$C$8))/$C$12</f>
        <v/>
      </c>
      <c r="G51" s="23">
        <f>(G43-('Equity Bridge'!$C$6+'Equity Bridge'!$C$7+'Equity Bridge'!$C$8))/$C$12</f>
        <v/>
      </c>
    </row>
    <row r="52">
      <c r="B52" s="22">
        <f>B44</f>
        <v/>
      </c>
      <c r="C52" s="23">
        <f>(C44-('Equity Bridge'!$C$6+'Equity Bridge'!$C$7+'Equity Bridge'!$C$8))/$C$12</f>
        <v/>
      </c>
      <c r="D52" s="23">
        <f>(D44-('Equity Bridge'!$C$6+'Equity Bridge'!$C$7+'Equity Bridge'!$C$8))/$C$12</f>
        <v/>
      </c>
      <c r="E52" s="23">
        <f>(E44-('Equity Bridge'!$C$6+'Equity Bridge'!$C$7+'Equity Bridge'!$C$8))/$C$12</f>
        <v/>
      </c>
      <c r="F52" s="23">
        <f>(F44-('Equity Bridge'!$C$6+'Equity Bridge'!$C$7+'Equity Bridge'!$C$8))/$C$12</f>
        <v/>
      </c>
      <c r="G52" s="23">
        <f>(G44-('Equity Bridge'!$C$6+'Equity Bridge'!$C$7+'Equity Bridge'!$C$8))/$C$12</f>
        <v/>
      </c>
    </row>
    <row r="53">
      <c r="B53" s="22">
        <f>B45</f>
        <v/>
      </c>
      <c r="C53" s="23">
        <f>(C45-('Equity Bridge'!$C$6+'Equity Bridge'!$C$7+'Equity Bridge'!$C$8))/$C$12</f>
        <v/>
      </c>
      <c r="D53" s="23">
        <f>(D45-('Equity Bridge'!$C$6+'Equity Bridge'!$C$7+'Equity Bridge'!$C$8))/$C$12</f>
        <v/>
      </c>
      <c r="E53" s="23">
        <f>(E45-('Equity Bridge'!$C$6+'Equity Bridge'!$C$7+'Equity Bridge'!$C$8))/$C$12</f>
        <v/>
      </c>
      <c r="F53" s="23">
        <f>(F45-('Equity Bridge'!$C$6+'Equity Bridge'!$C$7+'Equity Bridge'!$C$8))/$C$12</f>
        <v/>
      </c>
      <c r="G53" s="23">
        <f>(G45-('Equity Bridge'!$C$6+'Equity Bridge'!$C$7+'Equity Bridge'!$C$8))/$C$12</f>
        <v/>
      </c>
    </row>
    <row r="54">
      <c r="B54" s="22">
        <f>B46</f>
        <v/>
      </c>
      <c r="C54" s="23">
        <f>(C46-('Equity Bridge'!$C$6+'Equity Bridge'!$C$7+'Equity Bridge'!$C$8))/$C$12</f>
        <v/>
      </c>
      <c r="D54" s="23">
        <f>(D46-('Equity Bridge'!$C$6+'Equity Bridge'!$C$7+'Equity Bridge'!$C$8))/$C$12</f>
        <v/>
      </c>
      <c r="E54" s="23">
        <f>(E46-('Equity Bridge'!$C$6+'Equity Bridge'!$C$7+'Equity Bridge'!$C$8))/$C$12</f>
        <v/>
      </c>
      <c r="F54" s="23">
        <f>(F46-('Equity Bridge'!$C$6+'Equity Bridge'!$C$7+'Equity Bridge'!$C$8))/$C$12</f>
        <v/>
      </c>
      <c r="G54" s="23">
        <f>(G46-('Equity Bridge'!$C$6+'Equity Bridge'!$C$7+'Equity Bridge'!$C$8))/$C$12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2">
      <c r="B2" s="1" t="inlineStr">
        <is>
          <t>WACC — live calculation (single tax shield)</t>
        </is>
      </c>
    </row>
    <row r="4">
      <c r="B4" s="2" t="inlineStr">
        <is>
          <t>Cost of Equity (CAPM)</t>
        </is>
      </c>
      <c r="C4" s="3" t="n"/>
      <c r="E4" s="2" t="inlineStr">
        <is>
          <t>Peer unlevered betas</t>
        </is>
      </c>
      <c r="F4" s="3" t="n"/>
    </row>
    <row r="5">
      <c r="B5" t="inlineStr">
        <is>
          <t>Risk-free rate (10Y Bund)</t>
        </is>
      </c>
      <c r="C5" s="24" t="n">
        <v>0.035</v>
      </c>
      <c r="E5" t="inlineStr">
        <is>
          <t>Daimler Truck</t>
        </is>
      </c>
      <c r="F5" s="25" t="n">
        <v>1.089</v>
      </c>
    </row>
    <row r="6">
      <c r="B6" t="inlineStr">
        <is>
          <t>Equity market premium (DE)</t>
        </is>
      </c>
      <c r="C6" s="24" t="n">
        <v>0.0423</v>
      </c>
      <c r="E6" t="inlineStr">
        <is>
          <t>Volvo</t>
        </is>
      </c>
      <c r="F6" s="25" t="n">
        <v>0.921</v>
      </c>
    </row>
    <row r="7">
      <c r="B7" t="inlineStr">
        <is>
          <t>Peer unlevered beta (avg)</t>
        </is>
      </c>
      <c r="C7" s="26">
        <f>AVERAGE(F5:F6)</f>
        <v/>
      </c>
      <c r="E7" s="5" t="inlineStr">
        <is>
          <t>(already unlevered peer betas)</t>
        </is>
      </c>
    </row>
    <row r="8">
      <c r="B8" t="inlineStr">
        <is>
          <t>Tax rate</t>
        </is>
      </c>
      <c r="C8" s="4" t="n">
        <v>0.3</v>
      </c>
    </row>
    <row r="9">
      <c r="B9" t="inlineStr">
        <is>
          <t>Net industrial debt (EV−MCap)</t>
        </is>
      </c>
      <c r="C9" s="8" t="n">
        <v>4539</v>
      </c>
    </row>
    <row r="10">
      <c r="B10" t="inlineStr">
        <is>
          <t>Equity market value (MCap)</t>
        </is>
      </c>
      <c r="C10" s="8" t="n">
        <v>16590</v>
      </c>
    </row>
    <row r="11">
      <c r="B11" t="inlineStr">
        <is>
          <t>Target D/E</t>
        </is>
      </c>
      <c r="C11" s="26">
        <f>C9/C10</f>
        <v/>
      </c>
    </row>
    <row r="12">
      <c r="B12" t="inlineStr">
        <is>
          <t>Re-levered beta  βL=βU·(1+(1−t)·D/E)</t>
        </is>
      </c>
      <c r="C12" s="27">
        <f>C7*(1+(1-C8)*C11)</f>
        <v/>
      </c>
    </row>
    <row r="13">
      <c r="B13" t="inlineStr">
        <is>
          <t>Cost of equity  Ke=rf+βL·MRP</t>
        </is>
      </c>
      <c r="C13" s="28">
        <f>C5+C12*C6</f>
        <v/>
      </c>
    </row>
    <row r="15">
      <c r="B15" s="2" t="inlineStr">
        <is>
          <t>Cost of Debt</t>
        </is>
      </c>
      <c r="C15" s="3" t="n"/>
    </row>
    <row r="16">
      <c r="B16" t="inlineStr">
        <is>
          <t>CDS spread</t>
        </is>
      </c>
      <c r="C16" s="24" t="n">
        <v>0.012</v>
      </c>
    </row>
    <row r="17">
      <c r="B17" t="inlineStr">
        <is>
          <t>Pre-tax cost of debt  (rf+CDS)</t>
        </is>
      </c>
      <c r="C17" s="6">
        <f>C5+C16</f>
        <v/>
      </c>
    </row>
    <row r="18">
      <c r="B18" t="inlineStr">
        <is>
          <t>After-tax cost of debt  ×(1−t)</t>
        </is>
      </c>
      <c r="C18" s="28">
        <f>C17*(1-C8)</f>
        <v/>
      </c>
    </row>
    <row r="20">
      <c r="B20" s="2" t="inlineStr">
        <is>
          <t>WACC</t>
        </is>
      </c>
      <c r="C20" s="3" t="n"/>
    </row>
    <row r="21">
      <c r="B21" t="inlineStr">
        <is>
          <t>Debt / Capital</t>
        </is>
      </c>
      <c r="C21" s="6">
        <f>C9/(C9+C10)</f>
        <v/>
      </c>
    </row>
    <row r="22">
      <c r="B22" t="inlineStr">
        <is>
          <t>Equity / Capital</t>
        </is>
      </c>
      <c r="C22" s="6">
        <f>C10/(C9+C10)</f>
        <v/>
      </c>
    </row>
    <row r="23">
      <c r="B23" t="inlineStr">
        <is>
          <t>WACC = E/V·Ke + D/V·Kd(1−t)</t>
        </is>
      </c>
      <c r="C23" s="29">
        <f>C22*C13+C21*C18</f>
        <v/>
      </c>
      <c r="E23" s="30" t="inlineStr">
        <is>
          <t>← no double tax shield (C18 already after-tax)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14" customWidth="1" min="3" max="3"/>
  </cols>
  <sheetData>
    <row r="2">
      <c r="B2" s="1" t="inlineStr">
        <is>
          <t>Equity Bridge — industrial net debt basis</t>
        </is>
      </c>
    </row>
    <row r="4">
      <c r="B4" s="10" t="inlineStr">
        <is>
          <t>Firm / Enterprise Value</t>
        </is>
      </c>
      <c r="C4" s="18">
        <f>'FCFF &amp; DCF'!C37</f>
        <v/>
      </c>
    </row>
    <row r="5">
      <c r="B5" t="inlineStr">
        <is>
          <t>+ Cash (in industrial net debt)</t>
        </is>
      </c>
      <c r="C5" s="18" t="n">
        <v>0</v>
      </c>
    </row>
    <row r="6">
      <c r="B6" t="inlineStr">
        <is>
          <t>− Net industrial debt (EV−MCap)</t>
        </is>
      </c>
      <c r="C6" s="8" t="n">
        <v>4539</v>
      </c>
    </row>
    <row r="7">
      <c r="B7" t="inlineStr">
        <is>
          <t>− Pension provisions</t>
        </is>
      </c>
      <c r="C7" s="8" t="n">
        <v>1590</v>
      </c>
    </row>
    <row r="8">
      <c r="B8" t="inlineStr">
        <is>
          <t>− Minority interest</t>
        </is>
      </c>
      <c r="C8" s="8" t="n">
        <v>3</v>
      </c>
    </row>
    <row r="9">
      <c r="B9" t="inlineStr">
        <is>
          <t>− Preferred stock</t>
        </is>
      </c>
      <c r="C9" s="8" t="n">
        <v>0</v>
      </c>
    </row>
    <row r="10">
      <c r="B10" s="10" t="inlineStr">
        <is>
          <t>Equity Value</t>
        </is>
      </c>
      <c r="C10" s="19">
        <f>C4+C5-C6-C7-C8-C9</f>
        <v/>
      </c>
    </row>
    <row r="12">
      <c r="B12" t="inlineStr">
        <is>
          <t>Shares outstanding (m)</t>
        </is>
      </c>
      <c r="C12" s="18" t="n">
        <v>500</v>
      </c>
    </row>
    <row r="13">
      <c r="B13" s="10" t="inlineStr">
        <is>
          <t>Implied share price (€)</t>
        </is>
      </c>
      <c r="C13" s="31">
        <f>C10/C12</f>
        <v/>
      </c>
    </row>
    <row r="14">
      <c r="B14" t="inlineStr">
        <is>
          <t>Current price 30.06.2026 (€)</t>
        </is>
      </c>
      <c r="C14" s="32" t="n">
        <v>33.18</v>
      </c>
    </row>
    <row r="15">
      <c r="B15" s="10" t="inlineStr">
        <is>
          <t>Implied upside</t>
        </is>
      </c>
      <c r="C15" s="20">
        <f>C13/C14-1</f>
        <v/>
      </c>
    </row>
    <row r="17">
      <c r="B17" s="5" t="inlineStr">
        <is>
          <t>Note: Gross debt ≈ EUR 28,799m, but ~22bn is captive Financial-Services debt</t>
        </is>
      </c>
    </row>
    <row r="18">
      <c r="B18" s="5" t="inlineStr">
        <is>
          <t>matched by financing receivables → use industrial net debt (EV−MCap = 4,539). See A.1.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Trading Multiples — peer group (FY+1 focus)</t>
        </is>
      </c>
    </row>
    <row r="4">
      <c r="B4" s="5" t="inlineStr">
        <is>
          <t>Note: Volvo figures in SEK; ratios are dimensionless so comparable.</t>
        </is>
      </c>
    </row>
    <row r="6">
      <c r="B6" s="33" t="inlineStr">
        <is>
          <t>Company</t>
        </is>
      </c>
      <c r="C6" s="33" t="inlineStr">
        <is>
          <t>EV</t>
        </is>
      </c>
      <c r="D6" s="33" t="inlineStr">
        <is>
          <t>EBITDA FY+1</t>
        </is>
      </c>
      <c r="E6" s="33" t="inlineStr">
        <is>
          <t>Revenue FY+1</t>
        </is>
      </c>
      <c r="F6" s="33" t="inlineStr">
        <is>
          <t>EBIT FY+1</t>
        </is>
      </c>
      <c r="G6" s="33" t="inlineStr">
        <is>
          <t>EV/EBITDA</t>
        </is>
      </c>
      <c r="H6" s="33" t="inlineStr">
        <is>
          <t>EV/Revenue</t>
        </is>
      </c>
      <c r="I6" s="33" t="inlineStr">
        <is>
          <t>EV/EBIT</t>
        </is>
      </c>
    </row>
    <row r="7">
      <c r="B7" s="7" t="inlineStr">
        <is>
          <t>Daimler Truck</t>
        </is>
      </c>
      <c r="C7" s="8" t="n">
        <v>24731</v>
      </c>
      <c r="D7" s="8" t="n">
        <v>4643</v>
      </c>
      <c r="E7" s="8" t="n">
        <v>48727</v>
      </c>
      <c r="F7" s="8" t="n">
        <v>3551</v>
      </c>
      <c r="G7" s="34">
        <f>C7/D7</f>
        <v/>
      </c>
      <c r="H7" s="34">
        <f>C7/E7</f>
        <v/>
      </c>
      <c r="I7" s="34">
        <f>C7/F7</f>
        <v/>
      </c>
    </row>
    <row r="8">
      <c r="B8" s="7" t="inlineStr">
        <is>
          <t>Volvo (SEK)</t>
        </is>
      </c>
      <c r="C8" s="8" t="n">
        <v>639956</v>
      </c>
      <c r="D8" s="8" t="n">
        <v>78548</v>
      </c>
      <c r="E8" s="8" t="n">
        <v>491731</v>
      </c>
      <c r="F8" s="8" t="n">
        <v>56412</v>
      </c>
      <c r="G8" s="34">
        <f>C8/D8</f>
        <v/>
      </c>
      <c r="H8" s="34">
        <f>C8/E8</f>
        <v/>
      </c>
      <c r="I8" s="34">
        <f>C8/F8</f>
        <v/>
      </c>
    </row>
    <row r="9">
      <c r="B9" s="10" t="inlineStr">
        <is>
          <t>Median (peer)</t>
        </is>
      </c>
      <c r="G9" s="35">
        <f>MEDIAN(G7:G8)</f>
        <v/>
      </c>
      <c r="H9" s="35">
        <f>MEDIAN(H7:H8)</f>
        <v/>
      </c>
      <c r="I9" s="35">
        <f>MEDIAN(I7:I8)</f>
        <v/>
      </c>
    </row>
    <row r="10">
      <c r="B10" t="inlineStr">
        <is>
          <t>Min (peer)</t>
        </is>
      </c>
      <c r="G10" s="34">
        <f>MIN(G7:G8)</f>
        <v/>
      </c>
      <c r="H10" s="34">
        <f>MIN(H7:H8)</f>
        <v/>
      </c>
      <c r="I10" s="34">
        <f>MIN(I7:I8)</f>
        <v/>
      </c>
    </row>
    <row r="11">
      <c r="B11" t="inlineStr">
        <is>
          <t>Max (peer)</t>
        </is>
      </c>
      <c r="G11" s="34">
        <f>MAX(G7:G8)</f>
        <v/>
      </c>
      <c r="H11" s="34">
        <f>MAX(H7:H8)</f>
        <v/>
      </c>
      <c r="I11" s="34">
        <f>MAX(I7:I8)</f>
        <v/>
      </c>
    </row>
    <row r="13">
      <c r="B13" s="2" t="inlineStr">
        <is>
          <t>Traton metric (FY+1 2026E)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t="inlineStr">
        <is>
          <t>Traton</t>
        </is>
      </c>
      <c r="D14" s="8" t="n">
        <v>5719</v>
      </c>
      <c r="E14" s="8" t="n">
        <v>45897</v>
      </c>
      <c r="F14" s="8" t="n">
        <v>3049</v>
      </c>
    </row>
    <row r="16">
      <c r="B16" s="2" t="inlineStr">
        <is>
          <t>Implied valuation (median peer × Traton FY+1)</t>
        </is>
      </c>
      <c r="C16" s="3" t="n"/>
      <c r="D16" s="3" t="n"/>
      <c r="E16" s="3" t="n"/>
      <c r="F16" s="3" t="n"/>
    </row>
    <row r="17">
      <c r="B17" s="10" t="inlineStr">
        <is>
          <t>Method</t>
        </is>
      </c>
      <c r="C17" s="10" t="inlineStr">
        <is>
          <t>Implied EV</t>
        </is>
      </c>
      <c r="D17" s="10" t="inlineStr">
        <is>
          <t>Implied Equity</t>
        </is>
      </c>
      <c r="E17" s="10" t="inlineStr">
        <is>
          <t>Implied Price</t>
        </is>
      </c>
      <c r="F17" s="10" t="inlineStr">
        <is>
          <t>Upside</t>
        </is>
      </c>
    </row>
    <row r="18">
      <c r="B18" s="7" t="inlineStr">
        <is>
          <t>EV/EBITDA</t>
        </is>
      </c>
      <c r="C18" s="18">
        <f>G9*D14</f>
        <v/>
      </c>
      <c r="D18" s="18">
        <f>C18-('Equity Bridge'!$C$6+'Equity Bridge'!$C$7+'Equity Bridge'!$C$8)</f>
        <v/>
      </c>
      <c r="E18" s="31">
        <f>D18/'Equity Bridge'!$C$12</f>
        <v/>
      </c>
      <c r="F18" s="20">
        <f>E18/'Equity Bridge'!$C$14-1</f>
        <v/>
      </c>
    </row>
    <row r="19">
      <c r="B19" s="7" t="inlineStr">
        <is>
          <t>EV/Revenue</t>
        </is>
      </c>
      <c r="C19" s="18">
        <f>H9*E14</f>
        <v/>
      </c>
      <c r="D19" s="18">
        <f>C19-('Equity Bridge'!$C$6+'Equity Bridge'!$C$7+'Equity Bridge'!$C$8)</f>
        <v/>
      </c>
      <c r="E19" s="31">
        <f>D19/'Equity Bridge'!$C$12</f>
        <v/>
      </c>
      <c r="F19" s="20">
        <f>E19/'Equity Bridge'!$C$14-1</f>
        <v/>
      </c>
    </row>
    <row r="20">
      <c r="B20" s="7" t="inlineStr">
        <is>
          <t>EV/EBIT</t>
        </is>
      </c>
      <c r="C20" s="18">
        <f>I9*F14</f>
        <v/>
      </c>
      <c r="D20" s="18">
        <f>C20-('Equity Bridge'!$C$6+'Equity Bridge'!$C$7+'Equity Bridge'!$C$8)</f>
        <v/>
      </c>
      <c r="E20" s="31">
        <f>D20/'Equity Bridge'!$C$12</f>
        <v/>
      </c>
      <c r="F20" s="20">
        <f>E20/'Equity Bridge'!$C$14-1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12" customWidth="1" min="3" max="3"/>
    <col width="12" customWidth="1" min="4" max="4"/>
    <col width="12" customWidth="1" min="5" max="5"/>
  </cols>
  <sheetData>
    <row r="2">
      <c r="B2" s="1" t="inlineStr">
        <is>
          <t>Football Field — valuation range (€/share)</t>
        </is>
      </c>
    </row>
    <row r="4">
      <c r="B4" s="33" t="inlineStr">
        <is>
          <t>Method</t>
        </is>
      </c>
      <c r="C4" s="33" t="inlineStr">
        <is>
          <t>Low</t>
        </is>
      </c>
      <c r="D4" s="33" t="inlineStr">
        <is>
          <t>Δ</t>
        </is>
      </c>
      <c r="E4" s="33" t="inlineStr">
        <is>
          <t>High</t>
        </is>
      </c>
    </row>
    <row r="5">
      <c r="B5" s="7" t="inlineStr">
        <is>
          <t>DCF (WACC ±0.5%, g 1.5%)</t>
        </is>
      </c>
      <c r="C5" s="36">
        <f>'FCFF &amp; DCF'!E53</f>
        <v/>
      </c>
      <c r="D5" s="36">
        <f>E5-C5</f>
        <v/>
      </c>
      <c r="E5" s="36">
        <f>'FCFF &amp; DCF'!E51</f>
        <v/>
      </c>
    </row>
    <row r="6">
      <c r="B6" s="7" t="inlineStr">
        <is>
          <t>EV/EBITDA (peer min–max)</t>
        </is>
      </c>
      <c r="C6" s="36">
        <f>(Multiples!G10*Multiples!D14-('Equity Bridge'!$C$6+'Equity Bridge'!$C$7+'Equity Bridge'!$C$8))/'Equity Bridge'!$C$12</f>
        <v/>
      </c>
      <c r="D6" s="36">
        <f>E6-C6</f>
        <v/>
      </c>
      <c r="E6" s="36">
        <f>(Multiples!G11*Multiples!D14-('Equity Bridge'!$C$6+'Equity Bridge'!$C$7+'Equity Bridge'!$C$8))/'Equity Bridge'!$C$12</f>
        <v/>
      </c>
    </row>
    <row r="7">
      <c r="B7" s="7" t="inlineStr">
        <is>
          <t>EV/Revenue (peer min–max)</t>
        </is>
      </c>
      <c r="C7" s="36">
        <f>(Multiples!H10*Multiples!E14-('Equity Bridge'!$C$6+'Equity Bridge'!$C$7+'Equity Bridge'!$C$8))/'Equity Bridge'!$C$12</f>
        <v/>
      </c>
      <c r="D7" s="36">
        <f>E7-C7</f>
        <v/>
      </c>
      <c r="E7" s="36">
        <f>(Multiples!H11*Multiples!E14-('Equity Bridge'!$C$6+'Equity Bridge'!$C$7+'Equity Bridge'!$C$8))/'Equity Bridge'!$C$12</f>
        <v/>
      </c>
    </row>
    <row r="8">
      <c r="B8" s="7" t="inlineStr">
        <is>
          <t>EV/EBIT (peer min–max)</t>
        </is>
      </c>
      <c r="C8" s="36">
        <f>(Multiples!I10*Multiples!F14-('Equity Bridge'!$C$6+'Equity Bridge'!$C$7+'Equity Bridge'!$C$8))/'Equity Bridge'!$C$12</f>
        <v/>
      </c>
      <c r="D8" s="36">
        <f>E8-C8</f>
        <v/>
      </c>
      <c r="E8" s="36">
        <f>(Multiples!I11*Multiples!F14-('Equity Bridge'!$C$6+'Equity Bridge'!$C$7+'Equity Bridge'!$C$8))/'Equity Bridge'!$C$12</f>
        <v/>
      </c>
    </row>
    <row r="9">
      <c r="B9" s="10" t="inlineStr">
        <is>
          <t>Current price 30.06.2026</t>
        </is>
      </c>
      <c r="C9" s="36">
        <f>'Equity Bridge'!C14</f>
        <v/>
      </c>
    </row>
    <row r="10">
      <c r="B10" s="10" t="inlineStr">
        <is>
          <t>Blended fair value (avg midpoint)</t>
        </is>
      </c>
      <c r="C10" s="31">
        <f>((C5+E5)/2+(C6+E6)/2+(C7+E7)/2+(C8+E8)/2)/4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22" customWidth="1" min="3" max="3"/>
    <col width="30" customWidth="1" min="4" max="4"/>
    <col width="30" customWidth="1" min="5" max="5"/>
    <col width="30" customWidth="1" min="6" max="6"/>
  </cols>
  <sheetData>
    <row r="2">
      <c r="B2" s="1" t="inlineStr">
        <is>
          <t>What changed vs. the two existing models</t>
        </is>
      </c>
    </row>
    <row r="4">
      <c r="B4" s="33" t="inlineStr">
        <is>
          <t>#</t>
        </is>
      </c>
      <c r="C4" s="33" t="inlineStr">
        <is>
          <t>Issue</t>
        </is>
      </c>
      <c r="D4" s="33" t="inlineStr">
        <is>
          <t>Team model</t>
        </is>
      </c>
      <c r="E4" s="33" t="inlineStr">
        <is>
          <t>Julia FINAL</t>
        </is>
      </c>
      <c r="F4" s="33" t="inlineStr">
        <is>
          <t>This model (fix)</t>
        </is>
      </c>
    </row>
    <row r="5">
      <c r="B5" s="37" t="inlineStr">
        <is>
          <t>1</t>
        </is>
      </c>
      <c r="C5" s="37" t="inlineStr">
        <is>
          <t>WACC tax shield</t>
        </is>
      </c>
      <c r="D5" s="37" t="inlineStr">
        <is>
          <t>6.04% — (1−t) applied twice on Kd</t>
        </is>
      </c>
      <c r="E5" s="37" t="inlineStr">
        <is>
          <t>7.43% but hardcoded</t>
        </is>
      </c>
      <c r="F5" s="37" t="inlineStr">
        <is>
          <t>7.43% live formula, single tax shield</t>
        </is>
      </c>
    </row>
    <row r="6">
      <c r="B6" s="37" t="inlineStr">
        <is>
          <t>2</t>
        </is>
      </c>
      <c r="C6" s="37" t="inlineStr">
        <is>
          <t>CapEx vs Depreciation</t>
        </is>
      </c>
      <c r="D6" s="37" t="inlineStr">
        <is>
          <t>CapEx 6% &lt; Dep 7.16% → base shrinks</t>
        </is>
      </c>
      <c r="E6" s="37" t="inlineStr">
        <is>
          <t>CapEx = Dep (neutral)</t>
        </is>
      </c>
      <c r="F6" s="37" t="inlineStr">
        <is>
          <t>CapEx 7% &gt; Dep 6% → net reinvest 1% rev, consistent w/ g</t>
        </is>
      </c>
    </row>
    <row r="7">
      <c r="B7" s="37" t="inlineStr">
        <is>
          <t>3</t>
        </is>
      </c>
      <c r="C7" s="37" t="inlineStr">
        <is>
          <t>EBITDA build-up</t>
        </is>
      </c>
      <c r="D7" s="37" t="inlineStr">
        <is>
          <t>ok</t>
        </is>
      </c>
      <c r="E7" s="37" t="inlineStr">
        <is>
          <t>SG&amp;A jump → EBITDA +10% vs consensus</t>
        </is>
      </c>
      <c r="F7" s="37" t="inlineStr">
        <is>
          <t>EBITDA = EBIT + D&amp;A, margin ≈ consensus 12.5%</t>
        </is>
      </c>
    </row>
    <row r="8">
      <c r="B8" s="37" t="inlineStr">
        <is>
          <t>4</t>
        </is>
      </c>
      <c r="C8" s="37" t="inlineStr">
        <is>
          <t>ΔNWC</t>
        </is>
      </c>
      <c r="D8" s="37" t="inlineStr">
        <is>
          <t>1% of ΔRevenue (too low)</t>
        </is>
      </c>
      <c r="E8" s="37" t="inlineStr">
        <is>
          <t>1.6% of Revenue level (too high)</t>
        </is>
      </c>
      <c r="F8" s="37" t="inlineStr">
        <is>
          <t>15% of ΔRevenue (NWC intensity)</t>
        </is>
      </c>
    </row>
    <row r="9">
      <c r="B9" s="37" t="inlineStr">
        <is>
          <t>5</t>
        </is>
      </c>
      <c r="C9" s="37" t="inlineStr">
        <is>
          <t>Discounting</t>
        </is>
      </c>
      <c r="D9" s="37" t="inlineStr">
        <is>
          <t>period 0 for 2026E</t>
        </is>
      </c>
      <c r="E9" s="37" t="inlineStr">
        <is>
          <t>period 0 for 2026E</t>
        </is>
      </c>
      <c r="F9" s="37" t="inlineStr">
        <is>
          <t>mid-year convention (0.5…6.5) for 30.06 date</t>
        </is>
      </c>
    </row>
    <row r="10">
      <c r="B10" s="37" t="inlineStr">
        <is>
          <t>6</t>
        </is>
      </c>
      <c r="C10" s="37" t="inlineStr">
        <is>
          <t>Equity bridge</t>
        </is>
      </c>
      <c r="D10" s="37" t="inlineStr">
        <is>
          <t>−5,162 (undocumented)</t>
        </is>
      </c>
      <c r="E10" s="37" t="inlineStr">
        <is>
          <t>−4,539 industrial net debt (good)</t>
        </is>
      </c>
      <c r="F10" s="37" t="inlineStr">
        <is>
          <t>kept: −4,539 industrial net debt (A.1)</t>
        </is>
      </c>
    </row>
    <row r="11">
      <c r="B11" s="37" t="inlineStr">
        <is>
          <t>7</t>
        </is>
      </c>
      <c r="C11" s="37" t="inlineStr">
        <is>
          <t>EBIT line</t>
        </is>
      </c>
      <c r="D11" s="37" t="inlineStr">
        <is>
          <t>hardcoded</t>
        </is>
      </c>
      <c r="E11" s="37" t="inlineStr">
        <is>
          <t>hardcoded</t>
        </is>
      </c>
      <c r="F11" s="37">
        <f>EBIT margin × Revenue (live)</f>
        <v/>
      </c>
    </row>
    <row r="12">
      <c r="B12" s="37" t="inlineStr">
        <is>
          <t>8</t>
        </is>
      </c>
      <c r="C12" s="37" t="inlineStr">
        <is>
          <t>Football field</t>
        </is>
      </c>
      <c r="D12" s="37" t="inlineStr">
        <is>
          <t>mixed range defs</t>
        </is>
      </c>
      <c r="E12" s="37" t="inlineStr">
        <is>
          <t>peer min–max only</t>
        </is>
      </c>
      <c r="F12" s="37" t="inlineStr">
        <is>
          <t>peer min–max labelled + DCF WACC band</t>
        </is>
      </c>
    </row>
    <row r="14">
      <c r="B14" s="10" t="inlineStr">
        <is>
          <t>Result: implied price lands ~€63 (base), vs Julia €61 and Team €114.</t>
        </is>
      </c>
    </row>
    <row r="15">
      <c r="B15" s="5" t="inlineStr">
        <is>
          <t>Julia's model was sound; Team's €114 was inflated by the WACC bug, near-zero ΔNWC and shrinking capital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2026-07-08T11:24:22Z</dcterms:created>
  <dcterms:modified xsi:type="dcterms:W3CDTF">2026-07-08T11:24:23Z</dcterms:modified>
</cp:coreProperties>
</file>