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CFF &amp; DCF" sheetId="1" state="visible" r:id="rId1"/>
    <sheet name="WACC" sheetId="2" state="visible" r:id="rId2"/>
    <sheet name="Equity Bridge" sheetId="3" state="visible" r:id="rId3"/>
    <sheet name="Multiples" sheetId="4" state="visible" r:id="rId4"/>
    <sheet name="Football-Field" sheetId="5" state="visible" r:id="rId5"/>
  </sheets>
  <definedNames>
    <definedName name="_xlchart.v1.0" hidden="1">'Equity Bridge'!$B$5:$B$11</definedName>
    <definedName name="_xlchart.v1.1" hidden="1">'Equity Bridge'!$C$5:$C$11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2">
    <numFmt numFmtId="164" formatCode="_-* #,##0_-;\(#,##0\)_-;_-* &quot;-&quot;_-;_-@_-"/>
    <numFmt numFmtId="165" formatCode="_-* #,##0.0_-;\(#,##0.0\)_-;_-* &quot;-&quot;_-;_-@_-"/>
    <numFmt numFmtId="166" formatCode="_-* #,##0.00_-;\(#,##0.00\)_-;_-* &quot;-&quot;_-;_-@_-"/>
    <numFmt numFmtId="167" formatCode="0.000"/>
    <numFmt numFmtId="168" formatCode="#,##0.000_);\(#,##0.000\)"/>
    <numFmt numFmtId="169" formatCode="_-* #,##0.00\ &quot;€&quot;_-;\-* #,##0.00\ &quot;€&quot;_-;_-* &quot;-&quot;??\ &quot;€&quot;_-;_-@_-"/>
    <numFmt numFmtId="170" formatCode="0.0%"/>
    <numFmt numFmtId="171" formatCode="_-* #,##0.00_-;\-* #,##0.00_-;_-* &quot;-&quot;??_-;_-@_-"/>
    <numFmt numFmtId="172" formatCode="_-* #,##0.00\ _€_-;\-* #,##0.00\ _€_-;_-* &quot;-&quot;??\ _€_-;_-@_-"/>
    <numFmt numFmtId="173" formatCode="0.00\x"/>
    <numFmt numFmtId="174" formatCode="0.0\x"/>
    <numFmt numFmtId="175" formatCode="#,##0.00_);\(#,##0.00\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sz val="9"/>
    </font>
    <font>
      <name val="Calibri"/>
      <family val="2"/>
      <i val="1"/>
      <color theme="1"/>
      <sz val="10"/>
      <scheme val="minor"/>
    </font>
    <font>
      <name val="Calibri Light"/>
      <family val="2"/>
      <sz val="11"/>
      <scheme val="major"/>
    </font>
    <font>
      <name val="Calibri Light"/>
      <family val="2"/>
      <b val="1"/>
      <sz val="11"/>
      <scheme val="major"/>
    </font>
    <font>
      <name val="Calibri Light"/>
      <family val="2"/>
      <i val="1"/>
      <sz val="9"/>
      <scheme val="major"/>
    </font>
    <font>
      <name val="Calibri"/>
      <family val="2"/>
      <i val="1"/>
      <sz val="9"/>
      <scheme val="minor"/>
    </font>
    <font>
      <name val="Calibri"/>
      <family val="2"/>
      <color rgb="FF0000FF"/>
      <sz val="9"/>
      <scheme val="minor"/>
    </font>
    <font>
      <name val="Calibri"/>
      <family val="2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8999908444471572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F0F7E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75">
    <xf numFmtId="0" fontId="0" fillId="0" borderId="0" pivotButton="0" quotePrefix="0" xfId="0"/>
    <xf numFmtId="0" fontId="0" fillId="2" borderId="0" pivotButton="0" quotePrefix="0" xfId="0"/>
    <xf numFmtId="164" fontId="11" fillId="2" borderId="1" pivotButton="0" quotePrefix="0" xfId="1"/>
    <xf numFmtId="164" fontId="6" fillId="2" borderId="1" pivotButton="0" quotePrefix="0" xfId="1"/>
    <xf numFmtId="164" fontId="6" fillId="2" borderId="0" pivotButton="0" quotePrefix="1" xfId="1"/>
    <xf numFmtId="164" fontId="6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164" fontId="6" fillId="2" borderId="5" pivotButton="0" quotePrefix="0" xfId="1"/>
    <xf numFmtId="164" fontId="6" fillId="2" borderId="5" pivotButton="0" quotePrefix="1" xfId="1"/>
    <xf numFmtId="165" fontId="6" fillId="2" borderId="0" pivotButton="0" quotePrefix="0" xfId="1"/>
    <xf numFmtId="166" fontId="6" fillId="2" borderId="0" pivotButton="0" quotePrefix="0" xfId="1"/>
    <xf numFmtId="0" fontId="9" fillId="2" borderId="3" pivotButton="0" quotePrefix="0" xfId="0"/>
    <xf numFmtId="2" fontId="9" fillId="2" borderId="0" pivotButton="0" quotePrefix="0" xfId="0"/>
    <xf numFmtId="0" fontId="9" fillId="2" borderId="0" pivotButton="0" quotePrefix="0" xfId="0"/>
    <xf numFmtId="9" fontId="9" fillId="2" borderId="0" pivotButton="0" quotePrefix="0" xfId="3"/>
    <xf numFmtId="0" fontId="9" fillId="2" borderId="7" pivotButton="0" quotePrefix="0" xfId="0"/>
    <xf numFmtId="0" fontId="8" fillId="2" borderId="1" pivotButton="0" quotePrefix="0" xfId="0"/>
    <xf numFmtId="0" fontId="9" fillId="2" borderId="1" pivotButton="0" quotePrefix="0" xfId="0"/>
    <xf numFmtId="167" fontId="9" fillId="2" borderId="3" pivotButton="0" quotePrefix="0" xfId="0"/>
    <xf numFmtId="167" fontId="0" fillId="2" borderId="0" pivotButton="0" quotePrefix="0" xfId="0"/>
    <xf numFmtId="0" fontId="8" fillId="2" borderId="2" pivotButton="0" quotePrefix="0" xfId="0"/>
    <xf numFmtId="0" fontId="8" fillId="2" borderId="8" pivotButton="0" quotePrefix="0" xfId="0"/>
    <xf numFmtId="168" fontId="10" fillId="2" borderId="3" applyAlignment="1" pivotButton="0" quotePrefix="0" xfId="0">
      <alignment horizontal="right"/>
    </xf>
    <xf numFmtId="169" fontId="9" fillId="2" borderId="0" pivotButton="0" quotePrefix="0" xfId="2"/>
    <xf numFmtId="3" fontId="9" fillId="2" borderId="3" pivotButton="0" quotePrefix="0" xfId="0"/>
    <xf numFmtId="170" fontId="9" fillId="2" borderId="3" pivotButton="0" quotePrefix="0" xfId="0"/>
    <xf numFmtId="0" fontId="9" fillId="2" borderId="11" pivotButton="0" quotePrefix="0" xfId="0"/>
    <xf numFmtId="168" fontId="10" fillId="2" borderId="12" applyAlignment="1" pivotButton="0" quotePrefix="0" xfId="0">
      <alignment horizontal="right"/>
    </xf>
    <xf numFmtId="169" fontId="9" fillId="2" borderId="13" pivotButton="0" quotePrefix="0" xfId="2"/>
    <xf numFmtId="9" fontId="9" fillId="2" borderId="11" pivotButton="0" quotePrefix="0" xfId="3"/>
    <xf numFmtId="167" fontId="9" fillId="2" borderId="0" pivotButton="0" quotePrefix="0" xfId="0"/>
    <xf numFmtId="167" fontId="8" fillId="2" borderId="0" pivotButton="0" quotePrefix="0" xfId="0"/>
    <xf numFmtId="0" fontId="9" fillId="2" borderId="4" pivotButton="0" quotePrefix="0" xfId="0"/>
    <xf numFmtId="0" fontId="9" fillId="3" borderId="10" pivotButton="0" quotePrefix="0" xfId="0"/>
    <xf numFmtId="0" fontId="9" fillId="3" borderId="9" pivotButton="0" quotePrefix="0" xfId="0"/>
    <xf numFmtId="170" fontId="8" fillId="2" borderId="2" applyAlignment="1" pivotButton="0" quotePrefix="0" xfId="3">
      <alignment horizontal="right"/>
    </xf>
    <xf numFmtId="0" fontId="2" fillId="2" borderId="1" pivotButton="0" quotePrefix="0" xfId="0"/>
    <xf numFmtId="0" fontId="0" fillId="2" borderId="1" pivotButton="0" quotePrefix="0" xfId="0"/>
    <xf numFmtId="170" fontId="9" fillId="2" borderId="0" pivotButton="0" quotePrefix="0" xfId="0"/>
    <xf numFmtId="0" fontId="8" fillId="2" borderId="0" pivotButton="0" quotePrefix="0" xfId="0"/>
    <xf numFmtId="0" fontId="9" fillId="2" borderId="2" pivotButton="0" quotePrefix="0" xfId="0"/>
    <xf numFmtId="171" fontId="9" fillId="2" borderId="1" pivotButton="0" quotePrefix="0" xfId="1"/>
    <xf numFmtId="170" fontId="9" fillId="2" borderId="0" pivotButton="0" quotePrefix="0" xfId="3"/>
    <xf numFmtId="171" fontId="9" fillId="2" borderId="0" pivotButton="0" quotePrefix="0" xfId="1"/>
    <xf numFmtId="171" fontId="9" fillId="2" borderId="0" pivotButton="0" quotePrefix="0" xfId="1"/>
    <xf numFmtId="10" fontId="9" fillId="2" borderId="0" pivotButton="0" quotePrefix="0" xfId="3"/>
    <xf numFmtId="171" fontId="0" fillId="2" borderId="0" pivotButton="0" quotePrefix="0" xfId="1"/>
    <xf numFmtId="171" fontId="9" fillId="2" borderId="0" pivotButton="0" quotePrefix="0" xfId="0"/>
    <xf numFmtId="172" fontId="9" fillId="2" borderId="0" pivotButton="0" quotePrefix="0" xfId="0"/>
    <xf numFmtId="172" fontId="0" fillId="2" borderId="0" pivotButton="0" quotePrefix="0" xfId="0"/>
    <xf numFmtId="164" fontId="3" fillId="2" borderId="0" pivotButton="0" quotePrefix="0" xfId="1"/>
    <xf numFmtId="164" fontId="4" fillId="2" borderId="0" pivotButton="0" quotePrefix="0" xfId="1"/>
    <xf numFmtId="164" fontId="5" fillId="2" borderId="0" pivotButton="0" quotePrefix="0" xfId="1"/>
    <xf numFmtId="170" fontId="7" fillId="3" borderId="0" pivotButton="0" quotePrefix="0" xfId="3"/>
    <xf numFmtId="0" fontId="8" fillId="3" borderId="1" pivotButton="0" quotePrefix="0" xfId="0"/>
    <xf numFmtId="0" fontId="8" fillId="3" borderId="1" applyAlignment="1" pivotButton="0" quotePrefix="0" xfId="0">
      <alignment horizontal="right"/>
    </xf>
    <xf numFmtId="0" fontId="9" fillId="3" borderId="1" pivotButton="0" quotePrefix="0" xfId="0"/>
    <xf numFmtId="0" fontId="8" fillId="2" borderId="0" applyAlignment="1" pivotButton="0" quotePrefix="0" xfId="0">
      <alignment horizontal="right"/>
    </xf>
    <xf numFmtId="0" fontId="9" fillId="3" borderId="3" pivotButton="0" quotePrefix="0" xfId="0"/>
    <xf numFmtId="171" fontId="9" fillId="3" borderId="0" pivotButton="0" quotePrefix="0" xfId="1"/>
    <xf numFmtId="0" fontId="8" fillId="3" borderId="0" pivotButton="0" quotePrefix="0" xfId="0"/>
    <xf numFmtId="171" fontId="8" fillId="3" borderId="0" pivotButton="0" quotePrefix="0" xfId="0"/>
    <xf numFmtId="164" fontId="3" fillId="3" borderId="5" pivotButton="0" quotePrefix="0" xfId="1"/>
    <xf numFmtId="0" fontId="9" fillId="2" borderId="8" pivotButton="0" quotePrefix="0" xfId="0"/>
    <xf numFmtId="0" fontId="12" fillId="2" borderId="0" applyAlignment="1" pivotButton="0" quotePrefix="0" xfId="0">
      <alignment vertical="center"/>
    </xf>
    <xf numFmtId="0" fontId="12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Continuous" vertical="center"/>
    </xf>
    <xf numFmtId="11" fontId="14" fillId="2" borderId="0" applyAlignment="1" pivotButton="0" quotePrefix="0" xfId="0">
      <alignment horizontal="centerContinuous" vertical="center"/>
    </xf>
    <xf numFmtId="170" fontId="9" fillId="2" borderId="0" pivotButton="0" quotePrefix="0" xfId="3"/>
    <xf numFmtId="0" fontId="9" fillId="3" borderId="8" pivotButton="0" quotePrefix="0" xfId="0"/>
    <xf numFmtId="171" fontId="9" fillId="2" borderId="8" pivotButton="0" quotePrefix="0" xfId="1"/>
    <xf numFmtId="170" fontId="9" fillId="2" borderId="7" pivotButton="0" quotePrefix="0" xfId="3"/>
    <xf numFmtId="171" fontId="9" fillId="2" borderId="7" pivotButton="0" quotePrefix="0" xfId="1"/>
    <xf numFmtId="171" fontId="9" fillId="3" borderId="7" pivotButton="0" quotePrefix="0" xfId="1"/>
    <xf numFmtId="168" fontId="10" fillId="2" borderId="0" applyAlignment="1" pivotButton="0" quotePrefix="0" xfId="0">
      <alignment horizontal="right"/>
    </xf>
    <xf numFmtId="168" fontId="10" fillId="2" borderId="11" applyAlignment="1" pivotButton="0" quotePrefix="0" xfId="0">
      <alignment horizontal="right"/>
    </xf>
    <xf numFmtId="2" fontId="9" fillId="2" borderId="3" pivotButton="0" quotePrefix="0" xfId="0"/>
    <xf numFmtId="0" fontId="15" fillId="4" borderId="15" applyAlignment="1" pivotButton="0" quotePrefix="0" xfId="0">
      <alignment horizontal="right" vertical="center"/>
    </xf>
    <xf numFmtId="0" fontId="15" fillId="4" borderId="4" applyAlignment="1" pivotButton="0" quotePrefix="0" xfId="0">
      <alignment horizontal="centerContinuous" vertical="center"/>
    </xf>
    <xf numFmtId="0" fontId="15" fillId="4" borderId="5" applyAlignment="1" pivotButton="0" quotePrefix="0" xfId="0">
      <alignment horizontal="centerContinuous" vertical="center"/>
    </xf>
    <xf numFmtId="0" fontId="15" fillId="4" borderId="6" applyAlignment="1" pivotButton="0" quotePrefix="0" xfId="0">
      <alignment horizontal="centerContinuous" vertical="center"/>
    </xf>
    <xf numFmtId="0" fontId="15" fillId="4" borderId="0" applyAlignment="1" pivotButton="0" quotePrefix="0" xfId="0">
      <alignment horizontal="centerContinuous" vertical="center"/>
    </xf>
    <xf numFmtId="0" fontId="15" fillId="4" borderId="3" applyAlignment="1" pivotButton="0" quotePrefix="0" xfId="0">
      <alignment horizontal="centerContinuous" vertical="center"/>
    </xf>
    <xf numFmtId="11" fontId="15" fillId="4" borderId="5" applyAlignment="1" pivotButton="0" quotePrefix="0" xfId="0">
      <alignment horizontal="centerContinuous" vertical="center"/>
    </xf>
    <xf numFmtId="11" fontId="15" fillId="4" borderId="6" applyAlignment="1" pivotButton="0" quotePrefix="0" xfId="0">
      <alignment horizontal="centerContinuous" vertical="center"/>
    </xf>
    <xf numFmtId="0" fontId="15" fillId="5" borderId="4" applyAlignment="1" pivotButton="0" quotePrefix="0" xfId="0">
      <alignment horizontal="centerContinuous" vertical="center"/>
    </xf>
    <xf numFmtId="0" fontId="15" fillId="5" borderId="5" applyAlignment="1" pivotButton="0" quotePrefix="0" xfId="0">
      <alignment horizontal="centerContinuous" vertical="center"/>
    </xf>
    <xf numFmtId="0" fontId="15" fillId="5" borderId="6" applyAlignment="1" pivotButton="0" quotePrefix="0" xfId="0">
      <alignment horizontal="centerContinuous" vertical="center"/>
    </xf>
    <xf numFmtId="0" fontId="15" fillId="4" borderId="16" applyAlignment="1" pivotButton="0" quotePrefix="0" xfId="0">
      <alignment horizontal="right" vertical="center"/>
    </xf>
    <xf numFmtId="0" fontId="15" fillId="4" borderId="8" applyAlignment="1" pivotButton="0" quotePrefix="0" xfId="0">
      <alignment horizontal="right" vertical="center"/>
    </xf>
    <xf numFmtId="0" fontId="15" fillId="4" borderId="1" applyAlignment="1" pivotButton="0" quotePrefix="0" xfId="0">
      <alignment horizontal="right" vertical="center"/>
    </xf>
    <xf numFmtId="0" fontId="15" fillId="4" borderId="2" applyAlignment="1" pivotButton="0" quotePrefix="0" xfId="0">
      <alignment horizontal="right" vertical="center"/>
    </xf>
    <xf numFmtId="0" fontId="15" fillId="5" borderId="1" applyAlignment="1" pivotButton="0" quotePrefix="0" xfId="0">
      <alignment horizontal="right" vertical="center"/>
    </xf>
    <xf numFmtId="0" fontId="15" fillId="5" borderId="2" applyAlignment="1" pivotButton="0" quotePrefix="0" xfId="0">
      <alignment horizontal="right" vertical="center"/>
    </xf>
    <xf numFmtId="0" fontId="15" fillId="5" borderId="8" applyAlignment="1" pivotButton="0" quotePrefix="0" xfId="0">
      <alignment horizontal="right" vertical="center"/>
    </xf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3" fontId="16" fillId="2" borderId="0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0" fontId="17" fillId="4" borderId="4" applyAlignment="1" pivotButton="0" quotePrefix="0" xfId="0">
      <alignment vertical="center"/>
    </xf>
    <xf numFmtId="0" fontId="17" fillId="4" borderId="5" applyAlignment="1" pivotButton="0" quotePrefix="0" xfId="0">
      <alignment horizontal="centerContinuous" vertical="center"/>
    </xf>
    <xf numFmtId="0" fontId="18" fillId="5" borderId="5" applyAlignment="1" pivotButton="0" quotePrefix="0" xfId="0">
      <alignment horizontal="centerContinuous" vertical="center"/>
    </xf>
    <xf numFmtId="0" fontId="18" fillId="5" borderId="14" applyAlignment="1" pivotButton="0" quotePrefix="0" xfId="0">
      <alignment horizontal="centerContinuous" vertical="center"/>
    </xf>
    <xf numFmtId="0" fontId="17" fillId="5" borderId="14" applyAlignment="1" pivotButton="0" quotePrefix="0" xfId="0">
      <alignment horizontal="centerContinuous" vertical="center"/>
    </xf>
    <xf numFmtId="0" fontId="17" fillId="5" borderId="9" applyAlignment="1" pivotButton="0" quotePrefix="0" xfId="0">
      <alignment horizontal="centerContinuous" vertical="center"/>
    </xf>
    <xf numFmtId="0" fontId="18" fillId="4" borderId="7" applyAlignment="1" pivotButton="0" quotePrefix="0" xfId="0">
      <alignment vertical="center"/>
    </xf>
    <xf numFmtId="0" fontId="18" fillId="4" borderId="15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Continuous" vertical="center"/>
    </xf>
    <xf numFmtId="0" fontId="18" fillId="5" borderId="1" applyAlignment="1" pivotButton="0" quotePrefix="0" xfId="0">
      <alignment horizontal="centerContinuous" vertical="center"/>
    </xf>
    <xf numFmtId="0" fontId="18" fillId="5" borderId="2" applyAlignment="1" pivotButton="0" quotePrefix="0" xfId="0">
      <alignment horizontal="centerContinuous" vertical="center"/>
    </xf>
    <xf numFmtId="0" fontId="18" fillId="5" borderId="8" applyAlignment="1" pivotButton="0" quotePrefix="0" xfId="0">
      <alignment horizontal="centerContinuous" vertical="center"/>
    </xf>
    <xf numFmtId="0" fontId="17" fillId="5" borderId="4" applyAlignment="1" pivotButton="0" quotePrefix="0" xfId="0">
      <alignment horizontal="centerContinuous" vertical="center"/>
    </xf>
    <xf numFmtId="0" fontId="17" fillId="5" borderId="5" applyAlignment="1" pivotButton="0" quotePrefix="0" xfId="0">
      <alignment horizontal="centerContinuous" vertical="center"/>
    </xf>
    <xf numFmtId="0" fontId="17" fillId="5" borderId="6" applyAlignment="1" pivotButton="0" quotePrefix="0" xfId="0">
      <alignment horizontal="centerContinuous" vertical="center"/>
    </xf>
    <xf numFmtId="0" fontId="18" fillId="4" borderId="8" applyAlignment="1" pivotButton="0" quotePrefix="0" xfId="0">
      <alignment vertical="center"/>
    </xf>
    <xf numFmtId="0" fontId="18" fillId="4" borderId="1" applyAlignment="1" pivotButton="0" quotePrefix="0" xfId="0">
      <alignment horizontal="centerContinuous" vertical="center"/>
    </xf>
    <xf numFmtId="0" fontId="17" fillId="4" borderId="7" applyAlignment="1" pivotButton="0" quotePrefix="0" xfId="0">
      <alignment vertical="center"/>
    </xf>
    <xf numFmtId="0" fontId="18" fillId="4" borderId="8" applyAlignment="1" pivotButton="0" quotePrefix="0" xfId="0">
      <alignment horizontal="centerContinuous" vertical="center"/>
    </xf>
    <xf numFmtId="0" fontId="18" fillId="4" borderId="2" applyAlignment="1" pivotButton="0" quotePrefix="0" xfId="0">
      <alignment horizontal="centerContinuous" vertical="center"/>
    </xf>
    <xf numFmtId="0" fontId="17" fillId="4" borderId="8" applyAlignment="1" pivotButton="0" quotePrefix="0" xfId="0">
      <alignment vertical="center"/>
    </xf>
    <xf numFmtId="164" fontId="3" fillId="2" borderId="0" applyAlignment="1" pivotButton="0" quotePrefix="0" xfId="1">
      <alignment horizontal="center"/>
    </xf>
    <xf numFmtId="164" fontId="6" fillId="2" borderId="0" pivotButton="0" quotePrefix="1" xfId="1"/>
    <xf numFmtId="169" fontId="9" fillId="2" borderId="11" pivotButton="0" quotePrefix="0" xfId="2"/>
    <xf numFmtId="0" fontId="0" fillId="2" borderId="7" pivotButton="0" quotePrefix="0" xfId="0"/>
    <xf numFmtId="0" fontId="9" fillId="2" borderId="0" applyAlignment="1" pivotButton="0" quotePrefix="0" xfId="0">
      <alignment horizontal="center"/>
    </xf>
    <xf numFmtId="10" fontId="9" fillId="2" borderId="0" pivotButton="0" quotePrefix="0" xfId="0"/>
    <xf numFmtId="0" fontId="9" fillId="2" borderId="0" applyAlignment="1" pivotButton="0" quotePrefix="0" xfId="0">
      <alignment horizontal="right"/>
    </xf>
    <xf numFmtId="0" fontId="8" fillId="2" borderId="0" applyAlignment="1" pivotButton="0" quotePrefix="0" xfId="0">
      <alignment horizontal="left"/>
    </xf>
    <xf numFmtId="0" fontId="9" fillId="3" borderId="1" applyAlignment="1" pivotButton="0" quotePrefix="0" xfId="0">
      <alignment horizontal="right"/>
    </xf>
    <xf numFmtId="164" fontId="3" fillId="3" borderId="14" applyAlignment="1" pivotButton="0" quotePrefix="0" xfId="1">
      <alignment horizontal="center"/>
    </xf>
    <xf numFmtId="0" fontId="9" fillId="0" borderId="3" pivotButton="0" quotePrefix="0" xfId="0"/>
    <xf numFmtId="171" fontId="9" fillId="0" borderId="0" pivotButton="0" quotePrefix="0" xfId="1"/>
    <xf numFmtId="0" fontId="9" fillId="6" borderId="0" pivotButton="0" quotePrefix="0" xfId="0"/>
    <xf numFmtId="3" fontId="16" fillId="6" borderId="0" applyAlignment="1" pivotButton="0" quotePrefix="0" xfId="0">
      <alignment vertical="center"/>
    </xf>
    <xf numFmtId="0" fontId="8" fillId="6" borderId="17" applyAlignment="1" pivotButton="0" quotePrefix="0" xfId="0">
      <alignment vertical="center"/>
    </xf>
    <xf numFmtId="0" fontId="8" fillId="6" borderId="15" applyAlignment="1" pivotButton="0" quotePrefix="0" xfId="0">
      <alignment vertical="center"/>
    </xf>
    <xf numFmtId="0" fontId="8" fillId="6" borderId="18" applyAlignment="1" pivotButton="0" quotePrefix="0" xfId="0">
      <alignment vertical="center"/>
    </xf>
    <xf numFmtId="0" fontId="8" fillId="6" borderId="16" applyAlignment="1" pivotButton="0" quotePrefix="0" xfId="0">
      <alignment vertical="center"/>
    </xf>
    <xf numFmtId="0" fontId="8" fillId="6" borderId="0" pivotButton="0" quotePrefix="0" xfId="0"/>
    <xf numFmtId="0" fontId="18" fillId="4" borderId="17" applyAlignment="1" pivotButton="0" quotePrefix="0" xfId="0">
      <alignment horizontal="centerContinuous" vertical="center"/>
    </xf>
    <xf numFmtId="0" fontId="18" fillId="5" borderId="17" applyAlignment="1" pivotButton="0" quotePrefix="0" xfId="0">
      <alignment horizontal="centerContinuous" vertical="center"/>
    </xf>
    <xf numFmtId="0" fontId="18" fillId="4" borderId="14" applyAlignment="1" pivotButton="0" quotePrefix="0" xfId="0">
      <alignment horizontal="centerContinuous" vertical="center"/>
    </xf>
    <xf numFmtId="0" fontId="17" fillId="4" borderId="14" applyAlignment="1" pivotButton="0" quotePrefix="0" xfId="0">
      <alignment horizontal="centerContinuous" vertical="center"/>
    </xf>
    <xf numFmtId="0" fontId="17" fillId="4" borderId="9" applyAlignment="1" pivotButton="0" quotePrefix="0" xfId="0">
      <alignment horizontal="centerContinuous" vertical="center"/>
    </xf>
    <xf numFmtId="0" fontId="17" fillId="4" borderId="10" applyAlignment="1" pivotButton="0" quotePrefix="0" xfId="0">
      <alignment horizontal="centerContinuous" vertical="center"/>
    </xf>
    <xf numFmtId="0" fontId="18" fillId="5" borderId="9" applyAlignment="1" pivotButton="0" quotePrefix="0" xfId="0">
      <alignment horizontal="centerContinuous" vertical="center"/>
    </xf>
    <xf numFmtId="170" fontId="9" fillId="2" borderId="6" pivotButton="0" quotePrefix="0" xfId="3"/>
    <xf numFmtId="170" fontId="9" fillId="2" borderId="3" pivotButton="0" quotePrefix="0" xfId="3"/>
    <xf numFmtId="170" fontId="9" fillId="0" borderId="0" pivotButton="0" quotePrefix="0" xfId="3"/>
    <xf numFmtId="170" fontId="9" fillId="0" borderId="7" pivotButton="0" quotePrefix="0" xfId="3"/>
    <xf numFmtId="166" fontId="6" fillId="2" borderId="0" applyAlignment="1" pivotButton="0" quotePrefix="0" xfId="1">
      <alignment horizontal="center"/>
    </xf>
    <xf numFmtId="166" fontId="6" fillId="2" borderId="0" pivotButton="0" quotePrefix="0" xfId="1"/>
    <xf numFmtId="175" fontId="10" fillId="2" borderId="0" applyAlignment="1" pivotButton="0" quotePrefix="0" xfId="0">
      <alignment horizontal="right"/>
    </xf>
    <xf numFmtId="2" fontId="0" fillId="2" borderId="0" pivotButton="0" quotePrefix="0" xfId="0"/>
    <xf numFmtId="4" fontId="17" fillId="2" borderId="5" applyAlignment="1" pivotButton="0" quotePrefix="0" xfId="0">
      <alignment vertical="center"/>
    </xf>
    <xf numFmtId="4" fontId="17" fillId="2" borderId="6" applyAlignment="1" pivotButton="0" quotePrefix="0" xfId="0">
      <alignment vertical="center"/>
    </xf>
    <xf numFmtId="4" fontId="17" fillId="2" borderId="0" applyAlignment="1" pivotButton="0" quotePrefix="0" xfId="0">
      <alignment vertical="center"/>
    </xf>
    <xf numFmtId="4" fontId="17" fillId="2" borderId="3" applyAlignment="1" pivotButton="0" quotePrefix="0" xfId="0">
      <alignment vertical="center"/>
    </xf>
    <xf numFmtId="4" fontId="17" fillId="2" borderId="1" applyAlignment="1" pivotButton="0" quotePrefix="0" xfId="0">
      <alignment vertical="center"/>
    </xf>
    <xf numFmtId="4" fontId="17" fillId="2" borderId="2" applyAlignment="1" pivotButton="0" quotePrefix="0" xfId="0">
      <alignment vertical="center"/>
    </xf>
    <xf numFmtId="4" fontId="17" fillId="2" borderId="15" applyAlignment="1" pivotButton="0" quotePrefix="0" xfId="0">
      <alignment vertical="center"/>
    </xf>
    <xf numFmtId="4" fontId="17" fillId="2" borderId="18" applyAlignment="1" pivotButton="0" quotePrefix="0" xfId="0">
      <alignment vertical="center"/>
    </xf>
    <xf numFmtId="0" fontId="18" fillId="6" borderId="17" applyAlignment="1" pivotButton="0" quotePrefix="0" xfId="0">
      <alignment horizontal="center" vertical="center"/>
    </xf>
    <xf numFmtId="2" fontId="9" fillId="2" borderId="14" pivotButton="0" quotePrefix="0" xfId="0"/>
    <xf numFmtId="2" fontId="9" fillId="2" borderId="9" pivotButton="0" quotePrefix="0" xfId="0"/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2" fontId="9" fillId="2" borderId="17" pivotButton="0" quotePrefix="0" xfId="0"/>
    <xf numFmtId="2" fontId="9" fillId="2" borderId="18" pivotButton="0" quotePrefix="0" xfId="0"/>
    <xf numFmtId="2" fontId="9" fillId="2" borderId="16" pivotButton="0" quotePrefix="0" xfId="0"/>
    <xf numFmtId="4" fontId="17" fillId="2" borderId="16" applyAlignment="1" pivotButton="0" quotePrefix="0" xfId="0">
      <alignment vertical="center"/>
    </xf>
    <xf numFmtId="170" fontId="8" fillId="2" borderId="2" pivotButton="0" quotePrefix="0" xfId="0"/>
    <xf numFmtId="170" fontId="8" fillId="2" borderId="2" pivotButton="0" quotePrefix="0" xfId="3"/>
    <xf numFmtId="14" fontId="9" fillId="2" borderId="0" pivotButton="0" quotePrefix="0" xfId="0"/>
    <xf numFmtId="171" fontId="9" fillId="2" borderId="6" pivotButton="0" quotePrefix="0" xfId="1"/>
    <xf numFmtId="166" fontId="0" fillId="2" borderId="0" pivotButton="0" quotePrefix="0" xfId="0"/>
    <xf numFmtId="173" fontId="9" fillId="2" borderId="10" applyAlignment="1" pivotButton="0" quotePrefix="0" xfId="0">
      <alignment vertical="center"/>
    </xf>
    <xf numFmtId="2" fontId="9" fillId="2" borderId="6" pivotButton="0" quotePrefix="0" xfId="0"/>
    <xf numFmtId="2" fontId="9" fillId="2" borderId="8" pivotButton="0" quotePrefix="0" xfId="0"/>
    <xf numFmtId="2" fontId="9" fillId="2" borderId="2" pivotButton="0" quotePrefix="0" xfId="0"/>
    <xf numFmtId="2" fontId="9" fillId="2" borderId="1" pivotButton="0" quotePrefix="0" xfId="0"/>
    <xf numFmtId="2" fontId="9" fillId="2" borderId="10" pivotButton="0" quotePrefix="0" xfId="0"/>
    <xf numFmtId="2" fontId="9" fillId="2" borderId="15" pivotButton="0" quotePrefix="0" xfId="0"/>
    <xf numFmtId="4" fontId="17" fillId="2" borderId="17" applyAlignment="1" pivotButton="0" quotePrefix="0" xfId="0">
      <alignment vertical="center"/>
    </xf>
    <xf numFmtId="4" fontId="17" fillId="2" borderId="9" applyAlignment="1" pivotButton="0" quotePrefix="0" xfId="0">
      <alignment vertical="center"/>
    </xf>
    <xf numFmtId="2" fontId="9" fillId="2" borderId="3" applyAlignment="1" pivotButton="0" quotePrefix="0" xfId="0">
      <alignment horizontal="right"/>
    </xf>
    <xf numFmtId="173" fontId="9" fillId="2" borderId="8" applyAlignment="1" pivotButton="0" quotePrefix="0" xfId="0">
      <alignment vertical="center"/>
    </xf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0" fontId="0" fillId="2" borderId="5" pivotButton="0" quotePrefix="0" xfId="0"/>
    <xf numFmtId="0" fontId="2" fillId="2" borderId="0" applyAlignment="1" pivotButton="0" quotePrefix="0" xfId="0">
      <alignment horizontal="right" vertical="center" textRotation="90"/>
    </xf>
    <xf numFmtId="0" fontId="18" fillId="4" borderId="10" applyAlignment="1" pivotButton="0" quotePrefix="0" xfId="0">
      <alignment horizontal="center" vertical="center"/>
    </xf>
    <xf numFmtId="0" fontId="18" fillId="4" borderId="14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170" fontId="9" fillId="2" borderId="0" pivotButton="0" quotePrefix="0" xfId="0"/>
    <xf numFmtId="170" fontId="9" fillId="2" borderId="0" pivotButton="0" quotePrefix="0" xfId="3"/>
    <xf numFmtId="170" fontId="9" fillId="2" borderId="6" pivotButton="0" quotePrefix="0" xfId="3"/>
    <xf numFmtId="170" fontId="9" fillId="2" borderId="3" pivotButton="0" quotePrefix="0" xfId="3"/>
    <xf numFmtId="171" fontId="9" fillId="2" borderId="0" pivotButton="0" quotePrefix="0" xfId="1"/>
    <xf numFmtId="171" fontId="9" fillId="2" borderId="6" pivotButton="0" quotePrefix="0" xfId="1"/>
    <xf numFmtId="170" fontId="9" fillId="2" borderId="7" pivotButton="0" quotePrefix="0" xfId="3"/>
    <xf numFmtId="171" fontId="9" fillId="2" borderId="1" pivotButton="0" quotePrefix="0" xfId="1"/>
    <xf numFmtId="171" fontId="9" fillId="2" borderId="8" pivotButton="0" quotePrefix="0" xfId="1"/>
    <xf numFmtId="171" fontId="9" fillId="2" borderId="7" pivotButton="0" quotePrefix="0" xfId="1"/>
    <xf numFmtId="171" fontId="9" fillId="3" borderId="0" pivotButton="0" quotePrefix="0" xfId="1"/>
    <xf numFmtId="171" fontId="9" fillId="3" borderId="7" pivotButton="0" quotePrefix="0" xfId="1"/>
    <xf numFmtId="170" fontId="9" fillId="0" borderId="0" pivotButton="0" quotePrefix="0" xfId="3"/>
    <xf numFmtId="170" fontId="9" fillId="0" borderId="7" pivotButton="0" quotePrefix="0" xfId="3"/>
    <xf numFmtId="171" fontId="9" fillId="0" borderId="0" pivotButton="0" quotePrefix="0" xfId="1"/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171" fontId="9" fillId="2" borderId="0" pivotButton="0" quotePrefix="0" xfId="0"/>
    <xf numFmtId="172" fontId="9" fillId="2" borderId="0" pivotButton="0" quotePrefix="0" xfId="0"/>
    <xf numFmtId="171" fontId="8" fillId="3" borderId="0" pivotButton="0" quotePrefix="0" xfId="0"/>
    <xf numFmtId="171" fontId="0" fillId="2" borderId="0" pivotButton="0" quotePrefix="0" xfId="1"/>
    <xf numFmtId="172" fontId="0" fillId="2" borderId="0" pivotButton="0" quotePrefix="0" xfId="0"/>
    <xf numFmtId="164" fontId="3" fillId="2" borderId="0" pivotButton="0" quotePrefix="0" xfId="1"/>
    <xf numFmtId="164" fontId="4" fillId="2" borderId="0" pivotButton="0" quotePrefix="0" xfId="1"/>
    <xf numFmtId="164" fontId="5" fillId="2" borderId="0" pivotButton="0" quotePrefix="0" xfId="1"/>
    <xf numFmtId="170" fontId="7" fillId="3" borderId="0" pivotButton="0" quotePrefix="0" xfId="3"/>
    <xf numFmtId="166" fontId="6" fillId="2" borderId="0" applyAlignment="1" pivotButton="0" quotePrefix="0" xfId="1">
      <alignment horizontal="center"/>
    </xf>
    <xf numFmtId="166" fontId="6" fillId="2" borderId="0" pivotButton="0" quotePrefix="0" xfId="1"/>
    <xf numFmtId="166" fontId="0" fillId="2" borderId="0" pivotButton="0" quotePrefix="0" xfId="0"/>
    <xf numFmtId="169" fontId="9" fillId="2" borderId="0" pivotButton="0" quotePrefix="0" xfId="2"/>
    <xf numFmtId="175" fontId="10" fillId="2" borderId="0" applyAlignment="1" pivotButton="0" quotePrefix="0" xfId="0">
      <alignment horizontal="right"/>
    </xf>
    <xf numFmtId="170" fontId="9" fillId="2" borderId="3" pivotButton="0" quotePrefix="0" xfId="0"/>
    <xf numFmtId="167" fontId="9" fillId="2" borderId="3" pivotButton="0" quotePrefix="0" xfId="0"/>
    <xf numFmtId="170" fontId="8" fillId="2" borderId="2" pivotButton="0" quotePrefix="0" xfId="0"/>
    <xf numFmtId="169" fontId="9" fillId="2" borderId="13" pivotButton="0" quotePrefix="0" xfId="2"/>
    <xf numFmtId="169" fontId="9" fillId="2" borderId="11" pivotButton="0" quotePrefix="0" xfId="2"/>
    <xf numFmtId="167" fontId="9" fillId="2" borderId="0" pivotButton="0" quotePrefix="0" xfId="0"/>
    <xf numFmtId="167" fontId="8" fillId="2" borderId="0" pivotButton="0" quotePrefix="0" xfId="0"/>
    <xf numFmtId="167" fontId="0" fillId="2" borderId="0" pivotButton="0" quotePrefix="0" xfId="0"/>
    <xf numFmtId="170" fontId="8" fillId="2" borderId="2" pivotButton="0" quotePrefix="0" xfId="3"/>
    <xf numFmtId="170" fontId="8" fillId="2" borderId="2" applyAlignment="1" pivotButton="0" quotePrefix="0" xfId="3">
      <alignment horizontal="right"/>
    </xf>
    <xf numFmtId="164" fontId="11" fillId="2" borderId="1" pivotButton="0" quotePrefix="0" xfId="1"/>
    <xf numFmtId="164" fontId="6" fillId="2" borderId="1" pivotButton="0" quotePrefix="0" xfId="1"/>
    <xf numFmtId="164" fontId="3" fillId="2" borderId="0" applyAlignment="1" pivotButton="0" quotePrefix="0" xfId="1">
      <alignment horizontal="center"/>
    </xf>
    <xf numFmtId="164" fontId="6" fillId="2" borderId="5" pivotButton="0" quotePrefix="1" xfId="1"/>
    <xf numFmtId="164" fontId="6" fillId="2" borderId="5" pivotButton="0" quotePrefix="0" xfId="1"/>
    <xf numFmtId="164" fontId="6" fillId="2" borderId="0" pivotButton="0" quotePrefix="1" xfId="1"/>
    <xf numFmtId="164" fontId="6" fillId="2" borderId="0" pivotButton="0" quotePrefix="0" xfId="1"/>
    <xf numFmtId="164" fontId="3" fillId="3" borderId="5" pivotButton="0" quotePrefix="0" xfId="1"/>
    <xf numFmtId="164" fontId="3" fillId="3" borderId="14" applyAlignment="1" pivotButton="0" quotePrefix="0" xfId="1">
      <alignment horizontal="center"/>
    </xf>
    <xf numFmtId="165" fontId="6" fillId="2" borderId="0" pivotButton="0" quotePrefix="0" xfId="1"/>
    <xf numFmtId="0" fontId="0" fillId="0" borderId="5" pivotButton="0" quotePrefix="0" xfId="0"/>
    <xf numFmtId="0" fontId="18" fillId="4" borderId="1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3" fontId="9" fillId="2" borderId="10" applyAlignment="1" pivotButton="0" quotePrefix="0" xfId="0">
      <alignment vertical="center"/>
    </xf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173" fontId="9" fillId="2" borderId="8" applyAlignment="1" pivotButton="0" quotePrefix="0" xfId="0">
      <alignment vertical="center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it-IT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'Football-Field'!$J$3</f>
              <strCache>
                <ptCount val="1"/>
                <pt idx="0">
                  <v xml:space="preserve">low 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it-IT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'Football-Field'!$I$4:$I$7</f>
              <strCache>
                <ptCount val="4"/>
                <pt idx="0">
                  <v>Placeholder1</v>
                </pt>
                <pt idx="1">
                  <v>Placeholder2</v>
                </pt>
                <pt idx="2">
                  <v>Placeholder3</v>
                </pt>
                <pt idx="3">
                  <v>Placeholder4</v>
                </pt>
              </strCache>
            </strRef>
          </cat>
          <val>
            <numRef>
              <f>'Football-Field'!$J$4:$J$7</f>
              <numCache>
                <formatCode>0.00</formatCode>
                <ptCount val="4"/>
              </numCache>
            </numRef>
          </val>
        </ser>
        <ser>
          <idx val="1"/>
          <order val="1"/>
          <tx>
            <strRef>
              <f>'Football-Field'!$K$3</f>
              <strCache>
                <ptCount val="1"/>
                <pt idx="0">
                  <v>diff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strRef>
              <f>'Football-Field'!$I$4:$I$7</f>
              <strCache>
                <ptCount val="4"/>
                <pt idx="0">
                  <v>Placeholder1</v>
                </pt>
                <pt idx="1">
                  <v>Placeholder2</v>
                </pt>
                <pt idx="2">
                  <v>Placeholder3</v>
                </pt>
                <pt idx="3">
                  <v>Placeholder4</v>
                </pt>
              </strCache>
            </strRef>
          </cat>
          <val>
            <numRef>
              <f>'Football-Field'!$K$4:$K$7</f>
              <numCache>
                <formatCode>0.00</formatCode>
                <ptCount val="4"/>
              </numCache>
            </numRef>
          </val>
        </ser>
        <ser>
          <idx val="2"/>
          <order val="2"/>
          <tx>
            <strRef>
              <f>'Football-Field'!$L$3</f>
              <strCache>
                <ptCount val="1"/>
                <pt idx="0">
                  <v xml:space="preserve">high 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it-IT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'Football-Field'!$I$4:$I$7</f>
              <strCache>
                <ptCount val="4"/>
                <pt idx="0">
                  <v>Placeholder1</v>
                </pt>
                <pt idx="1">
                  <v>Placeholder2</v>
                </pt>
                <pt idx="2">
                  <v>Placeholder3</v>
                </pt>
                <pt idx="3">
                  <v>Placeholder4</v>
                </pt>
              </strCache>
            </strRef>
          </cat>
          <val>
            <numRef>
              <f>'Football-Field'!$L$4:$L$7</f>
              <numCache>
                <formatCode>0.00</formatCode>
                <ptCount val="4"/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742567920"/>
        <axId val="742572240"/>
      </barChart>
      <catAx>
        <axId val="7425679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it-IT"/>
          </a:p>
        </txPr>
        <crossAx val="742572240"/>
        <crosses val="autoZero"/>
        <auto val="1"/>
        <lblAlgn val="ctr"/>
        <lblOffset val="700"/>
        <noMultiLvlLbl val="0"/>
      </catAx>
      <valAx>
        <axId val="742572240"/>
        <scaling>
          <orientation val="minMax"/>
          <max val="200"/>
          <min val="0"/>
        </scaling>
        <delete val="1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crossAx val="74256792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</row>
      <rowOff>0</rowOff>
    </from>
    <to>
      <col>7</col>
      <colOff>171450</colOff>
      <row>15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zoomScaleNormal="100" workbookViewId="0">
      <selection activeCell="A1" sqref="A1"/>
    </sheetView>
  </sheetViews>
  <sheetFormatPr baseColWidth="8" defaultColWidth="11" defaultRowHeight="15"/>
  <cols>
    <col width="11" customWidth="1" style="1" min="1" max="1"/>
    <col width="36.28515625" customWidth="1" style="1" min="2" max="2"/>
    <col width="17.42578125" customWidth="1" style="1" min="3" max="6"/>
    <col width="19.28515625" customWidth="1" style="1" min="7" max="7"/>
    <col width="17.42578125" customWidth="1" style="1" min="8" max="22"/>
    <col width="18.42578125" customWidth="1" style="1" min="23" max="23"/>
    <col width="11" customWidth="1" style="1" min="24" max="16384"/>
  </cols>
  <sheetData>
    <row r="1">
      <c r="B1" s="37" t="n"/>
      <c r="C1" s="38" t="n"/>
    </row>
    <row r="2">
      <c r="B2" s="17" t="inlineStr">
        <is>
          <t>Assumptions and important ratios</t>
        </is>
      </c>
      <c r="C2" s="18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>
      <c r="B3" s="14" t="inlineStr">
        <is>
          <t>Tax rate:</t>
        </is>
      </c>
      <c r="C3" s="207" t="n">
        <v>0.3</v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>
      <c r="B4" s="14" t="inlineStr">
        <is>
          <t>LT growth rate</t>
        </is>
      </c>
      <c r="C4" s="207" t="n">
        <v>0.015</v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>
      <c r="B5" s="14" t="inlineStr">
        <is>
          <t>Revenue growth rate</t>
        </is>
      </c>
      <c r="C5" s="207" t="n">
        <v>0.041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>
      <c r="B6" s="14" t="inlineStr">
        <is>
          <t>COGS / Revenue</t>
        </is>
      </c>
      <c r="C6" s="207" t="n">
        <v>0.805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>
      <c r="B7" s="14" t="inlineStr">
        <is>
          <t>General Cost growth rate</t>
        </is>
      </c>
      <c r="C7" s="207" t="n">
        <v>0.02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B8" s="14" t="inlineStr">
        <is>
          <t>WACC</t>
        </is>
      </c>
      <c r="C8" s="207" t="n">
        <v>0.0743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B9" s="14" t="inlineStr">
        <is>
          <t>Annual Capex / Revenue</t>
        </is>
      </c>
      <c r="C9" s="207" t="n">
        <v>0.07000000000000001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B10" s="14" t="inlineStr">
        <is>
          <t>Avg delta NWC</t>
        </is>
      </c>
      <c r="C10" s="207" t="n">
        <v>0.016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B11" s="14" t="inlineStr">
        <is>
          <t>Valuation date</t>
        </is>
      </c>
      <c r="C11" s="183" t="n">
        <v>46203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B13" s="21" t="inlineStr">
        <is>
          <t>Assumptions (you can instead always use analyst FC)</t>
        </is>
      </c>
      <c r="C13" s="55" t="n">
        <v>2021</v>
      </c>
      <c r="D13" s="55" t="n">
        <v>2022</v>
      </c>
      <c r="E13" s="55" t="n">
        <v>2023</v>
      </c>
      <c r="F13" s="55" t="n">
        <v>2024</v>
      </c>
      <c r="G13" s="55" t="n">
        <v>2025</v>
      </c>
      <c r="H13" s="56" t="inlineStr">
        <is>
          <t>Average</t>
        </is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B14" s="12" t="inlineStr">
        <is>
          <t>Revenue growth rate (historical)</t>
        </is>
      </c>
      <c r="C14" s="208" t="n"/>
      <c r="D14" s="208" t="n"/>
      <c r="E14" s="208" t="n"/>
      <c r="F14" s="208" t="n"/>
      <c r="G14" s="209" t="n"/>
      <c r="H14" s="208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B15" s="12" t="inlineStr">
        <is>
          <t>COGS / Revenue</t>
        </is>
      </c>
      <c r="C15" s="208" t="n"/>
      <c r="D15" s="208" t="n"/>
      <c r="E15" s="208" t="n"/>
      <c r="F15" s="208" t="n"/>
      <c r="G15" s="210" t="n"/>
      <c r="H15" s="208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B16" s="12" t="inlineStr">
        <is>
          <t>COGS / Revenue growth rate</t>
        </is>
      </c>
      <c r="C16" s="208" t="n"/>
      <c r="D16" s="208" t="n"/>
      <c r="E16" s="208" t="n"/>
      <c r="F16" s="208" t="n"/>
      <c r="G16" s="210" t="n"/>
      <c r="H16" s="208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B17" s="12" t="inlineStr">
        <is>
          <t>SG&amp;A / Revenue</t>
        </is>
      </c>
      <c r="C17" s="208" t="n"/>
      <c r="D17" s="208" t="n"/>
      <c r="E17" s="208" t="n"/>
      <c r="F17" s="208" t="n"/>
      <c r="G17" s="210" t="n"/>
      <c r="H17" s="208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B18" s="12" t="inlineStr">
        <is>
          <t>CapEx / Revenue</t>
        </is>
      </c>
      <c r="C18" s="208" t="n"/>
      <c r="D18" s="208" t="n"/>
      <c r="E18" s="208" t="n"/>
      <c r="F18" s="208" t="n"/>
      <c r="G18" s="210" t="n"/>
      <c r="H18" s="208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B19" s="12" t="inlineStr">
        <is>
          <t>Depreciation / Revenue</t>
        </is>
      </c>
      <c r="C19" s="208" t="n"/>
      <c r="D19" s="208" t="n"/>
      <c r="E19" s="208" t="n"/>
      <c r="F19" s="208" t="n"/>
      <c r="G19" s="210" t="n"/>
      <c r="H19" s="208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B20" s="12" t="inlineStr">
        <is>
          <t>Depreciation / CapEx</t>
        </is>
      </c>
      <c r="C20" s="208" t="n"/>
      <c r="D20" s="208" t="n"/>
      <c r="E20" s="208" t="n"/>
      <c r="F20" s="208" t="n"/>
      <c r="G20" s="210" t="n"/>
      <c r="H20" s="208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B21" s="12" t="inlineStr">
        <is>
          <t>delta NWC / Revenue</t>
        </is>
      </c>
      <c r="C21" s="208" t="n"/>
      <c r="D21" s="208" t="n"/>
      <c r="E21" s="208" t="n"/>
      <c r="F21" s="208" t="n"/>
      <c r="G21" s="210" t="n"/>
      <c r="H21" s="208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I22" s="13" t="n"/>
      <c r="J22" s="13" t="n"/>
      <c r="K22" s="13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B24" s="40" t="inlineStr">
        <is>
          <t>Free Cash Flow Calculation</t>
        </is>
      </c>
      <c r="C24" s="14" t="n"/>
      <c r="D24" s="14" t="n"/>
      <c r="E24" s="40" t="inlineStr">
        <is>
          <t>Historical</t>
        </is>
      </c>
      <c r="F24" s="14" t="n"/>
      <c r="G24" s="14" t="n"/>
      <c r="H24" s="14" t="n"/>
      <c r="I24" s="14" t="n"/>
      <c r="J24" s="14" t="n"/>
      <c r="K24" s="137" t="inlineStr">
        <is>
          <t>Forecast</t>
        </is>
      </c>
      <c r="L24" s="14" t="n"/>
      <c r="M24" s="14" t="n"/>
      <c r="N24" s="14" t="n"/>
      <c r="O24" s="14" t="n"/>
      <c r="P24" s="58" t="inlineStr">
        <is>
          <t>TV</t>
        </is>
      </c>
      <c r="Q24" s="14" t="n"/>
      <c r="R24" s="14" t="n"/>
      <c r="S24" s="14" t="n"/>
      <c r="T24" s="14" t="n"/>
      <c r="U24" s="14" t="n"/>
      <c r="V24" s="14" t="n"/>
      <c r="W24" s="58" t="n"/>
    </row>
    <row r="25">
      <c r="B25" s="14" t="inlineStr">
        <is>
          <t>In EURm</t>
        </is>
      </c>
      <c r="C25" s="14" t="n"/>
      <c r="D25" s="14" t="n"/>
      <c r="E25" s="14" t="n"/>
      <c r="F25" s="14" t="n"/>
      <c r="G25" s="14" t="n"/>
      <c r="H25" s="14" t="n">
        <v>0</v>
      </c>
      <c r="I25" s="14" t="n">
        <v>1</v>
      </c>
      <c r="J25" s="14" t="n">
        <v>2</v>
      </c>
      <c r="K25" s="14" t="n">
        <v>3</v>
      </c>
      <c r="L25" s="14" t="n">
        <v>4</v>
      </c>
      <c r="M25" s="14" t="n">
        <v>5</v>
      </c>
      <c r="N25" s="14" t="n">
        <v>6</v>
      </c>
      <c r="O25" s="136" t="inlineStr">
        <is>
          <t>…</t>
        </is>
      </c>
      <c r="P25" s="136" t="inlineStr">
        <is>
          <t>X</t>
        </is>
      </c>
      <c r="Q25" s="14" t="n"/>
      <c r="R25" s="14" t="n"/>
      <c r="S25" s="14" t="n"/>
      <c r="T25" s="14" t="n"/>
      <c r="U25" s="14" t="n"/>
      <c r="V25" s="14" t="n"/>
      <c r="W25" s="14" t="n"/>
    </row>
    <row r="26">
      <c r="B26" s="41" t="inlineStr">
        <is>
          <t>year</t>
        </is>
      </c>
      <c r="C26" s="57" t="n">
        <v>2021</v>
      </c>
      <c r="D26" s="57" t="n">
        <v>2022</v>
      </c>
      <c r="E26" s="57" t="n">
        <v>2023</v>
      </c>
      <c r="F26" s="57" t="n">
        <v>2024</v>
      </c>
      <c r="G26" s="57" t="n">
        <v>2025</v>
      </c>
      <c r="H26" s="74" t="inlineStr">
        <is>
          <t>2026E</t>
        </is>
      </c>
      <c r="I26" s="57" t="inlineStr">
        <is>
          <t>2027E</t>
        </is>
      </c>
      <c r="J26" s="57" t="inlineStr">
        <is>
          <t>2028E</t>
        </is>
      </c>
      <c r="K26" s="57" t="inlineStr">
        <is>
          <t>2029E</t>
        </is>
      </c>
      <c r="L26" s="57" t="inlineStr">
        <is>
          <t>2030E</t>
        </is>
      </c>
      <c r="M26" s="57" t="inlineStr">
        <is>
          <t>2031E</t>
        </is>
      </c>
      <c r="N26" s="57" t="inlineStr">
        <is>
          <t>2032E</t>
        </is>
      </c>
      <c r="O26" s="57" t="n"/>
      <c r="P26" s="138" t="inlineStr">
        <is>
          <t>TV</t>
        </is>
      </c>
    </row>
    <row r="27">
      <c r="B27" s="12" t="inlineStr">
        <is>
          <t>Revenue</t>
        </is>
      </c>
      <c r="C27" s="211" t="n">
        <v>30620</v>
      </c>
      <c r="D27" s="211" t="n">
        <v>40335</v>
      </c>
      <c r="E27" s="211" t="n">
        <v>46872</v>
      </c>
      <c r="F27" s="211" t="n">
        <v>47473</v>
      </c>
      <c r="G27" s="212" t="n">
        <v>44051</v>
      </c>
      <c r="H27" s="211" t="n">
        <v>45897</v>
      </c>
      <c r="I27" s="211" t="n">
        <v>48970</v>
      </c>
      <c r="J27" s="211" t="n">
        <v>51418</v>
      </c>
      <c r="K27" s="211" t="n">
        <v>53218</v>
      </c>
      <c r="L27" s="211" t="n">
        <v>54549</v>
      </c>
      <c r="M27" s="211" t="n">
        <v>55640</v>
      </c>
      <c r="N27" s="211" t="n">
        <v>56474</v>
      </c>
      <c r="O27" s="211" t="n"/>
      <c r="P27" s="211" t="n"/>
    </row>
    <row r="28">
      <c r="B28" s="14" t="inlineStr">
        <is>
          <t>Revenue Growth (in %)</t>
        </is>
      </c>
      <c r="C28" s="213" t="n"/>
      <c r="D28" s="208" t="n"/>
      <c r="E28" s="208" t="n"/>
      <c r="F28" s="208" t="n"/>
      <c r="G28" s="210" t="n"/>
      <c r="H28" s="208">
        <f>H27/G27-1</f>
        <v/>
      </c>
      <c r="I28" s="208">
        <f>I27/H27-1</f>
        <v/>
      </c>
      <c r="J28" s="208">
        <f>J27/I27-1</f>
        <v/>
      </c>
      <c r="K28" s="208">
        <f>K27/J27-1</f>
        <v/>
      </c>
      <c r="L28" s="208">
        <f>L27/K27-1</f>
        <v/>
      </c>
      <c r="M28" s="208">
        <f>M27/L27-1</f>
        <v/>
      </c>
      <c r="N28" s="208">
        <f>N27/M27-1</f>
        <v/>
      </c>
      <c r="O28" s="208" t="n"/>
      <c r="P28" s="208" t="n"/>
    </row>
    <row r="29">
      <c r="B29" s="41" t="inlineStr">
        <is>
          <t>COGS</t>
        </is>
      </c>
      <c r="C29" s="214" t="n"/>
      <c r="D29" s="214" t="n"/>
      <c r="E29" s="214" t="n"/>
      <c r="F29" s="214" t="n"/>
      <c r="G29" s="214" t="n"/>
      <c r="H29" s="215" t="n">
        <v>36947.1</v>
      </c>
      <c r="I29" s="214" t="n">
        <v>39420.8</v>
      </c>
      <c r="J29" s="214" t="n">
        <v>41391.5</v>
      </c>
      <c r="K29" s="214" t="n">
        <v>42840.5</v>
      </c>
      <c r="L29" s="214" t="n">
        <v>43911.9</v>
      </c>
      <c r="M29" s="214" t="n">
        <v>44790.2</v>
      </c>
      <c r="N29" s="214" t="n">
        <v>45461.6</v>
      </c>
      <c r="O29" s="214" t="n"/>
      <c r="P29" s="214" t="n"/>
    </row>
    <row r="30">
      <c r="B30" s="12" t="inlineStr">
        <is>
          <t>Gross Profit</t>
        </is>
      </c>
      <c r="C30" s="211" t="n"/>
      <c r="D30" s="211" t="n"/>
      <c r="E30" s="211" t="n"/>
      <c r="F30" s="211" t="n"/>
      <c r="G30" s="211" t="n"/>
      <c r="H30" s="216">
        <f>H27-H29</f>
        <v/>
      </c>
      <c r="I30" s="211">
        <f>I27-I29</f>
        <v/>
      </c>
      <c r="J30" s="211">
        <f>J27-J29</f>
        <v/>
      </c>
      <c r="K30" s="211">
        <f>K27-K29</f>
        <v/>
      </c>
      <c r="L30" s="211">
        <f>L27-L29</f>
        <v/>
      </c>
      <c r="M30" s="211">
        <f>M27-M29</f>
        <v/>
      </c>
      <c r="N30" s="211">
        <f>N27-N29</f>
        <v/>
      </c>
      <c r="O30" s="211" t="n"/>
      <c r="P30" s="211" t="n"/>
    </row>
    <row r="31">
      <c r="B31" s="12" t="inlineStr">
        <is>
          <t>Gross Profit as % of Revenue</t>
        </is>
      </c>
      <c r="C31" s="208" t="n"/>
      <c r="D31" s="208" t="n"/>
      <c r="E31" s="208" t="n"/>
      <c r="F31" s="208" t="n"/>
      <c r="G31" s="208" t="n"/>
      <c r="H31" s="213">
        <f>H30/H27</f>
        <v/>
      </c>
      <c r="I31" s="208">
        <f>I30/I27</f>
        <v/>
      </c>
      <c r="J31" s="208">
        <f>J30/J27</f>
        <v/>
      </c>
      <c r="K31" s="208">
        <f>K30/K27</f>
        <v/>
      </c>
      <c r="L31" s="208">
        <f>L30/L27</f>
        <v/>
      </c>
      <c r="M31" s="208">
        <f>M30/M27</f>
        <v/>
      </c>
      <c r="N31" s="208">
        <f>N30/N27</f>
        <v/>
      </c>
      <c r="O31" s="46" t="n"/>
      <c r="P31" s="46" t="n"/>
    </row>
    <row r="32">
      <c r="B32" s="41" t="inlineStr">
        <is>
          <t>SG&amp;A</t>
        </is>
      </c>
      <c r="C32" s="214" t="n"/>
      <c r="D32" s="214" t="n"/>
      <c r="E32" s="214" t="n"/>
      <c r="F32" s="214" t="n"/>
      <c r="G32" s="214" t="n"/>
      <c r="H32" s="215" t="n">
        <v>2689.1</v>
      </c>
      <c r="I32" s="214" t="n">
        <v>2135.2</v>
      </c>
      <c r="J32" s="214" t="n">
        <v>2314.2</v>
      </c>
      <c r="K32" s="214" t="n">
        <v>2395.2</v>
      </c>
      <c r="L32" s="214" t="n">
        <v>2454.6</v>
      </c>
      <c r="M32" s="214" t="n">
        <v>2504</v>
      </c>
      <c r="N32" s="214" t="n">
        <v>2541.2</v>
      </c>
      <c r="O32" s="214" t="n"/>
      <c r="P32" s="214" t="n"/>
    </row>
    <row r="33">
      <c r="B33" s="59" t="inlineStr">
        <is>
          <t>EBITDA</t>
        </is>
      </c>
      <c r="C33" s="217" t="n">
        <v>3231</v>
      </c>
      <c r="D33" s="217" t="n">
        <v>4902</v>
      </c>
      <c r="E33" s="217" t="n">
        <v>6686</v>
      </c>
      <c r="F33" s="217" t="n">
        <v>7392</v>
      </c>
      <c r="G33" s="217" t="n">
        <v>5966</v>
      </c>
      <c r="H33" s="218">
        <f>H30-H32</f>
        <v/>
      </c>
      <c r="I33" s="217">
        <f>I30-I32</f>
        <v/>
      </c>
      <c r="J33" s="217">
        <f>J30-J32</f>
        <v/>
      </c>
      <c r="K33" s="217">
        <f>K30-K32</f>
        <v/>
      </c>
      <c r="L33" s="217">
        <f>L30-L32</f>
        <v/>
      </c>
      <c r="M33" s="217">
        <f>M30-M32</f>
        <v/>
      </c>
      <c r="N33" s="217">
        <f>N30-N32</f>
        <v/>
      </c>
      <c r="O33" s="217" t="n"/>
      <c r="P33" s="217" t="n"/>
    </row>
    <row r="34">
      <c r="A34" s="1" t="n"/>
      <c r="B34" s="140" t="inlineStr">
        <is>
          <t>EBITDA % margin</t>
        </is>
      </c>
      <c r="C34" s="219" t="n"/>
      <c r="D34" s="219" t="n"/>
      <c r="E34" s="219" t="n"/>
      <c r="F34" s="219" t="n"/>
      <c r="G34" s="219" t="n"/>
      <c r="H34" s="220">
        <f>H33/H27</f>
        <v/>
      </c>
      <c r="I34" s="219">
        <f>I33/I27</f>
        <v/>
      </c>
      <c r="J34" s="219">
        <f>J33/J27</f>
        <v/>
      </c>
      <c r="K34" s="219">
        <f>K33/K27</f>
        <v/>
      </c>
      <c r="L34" s="219">
        <f>L33/L27</f>
        <v/>
      </c>
      <c r="M34" s="219">
        <f>M33/M27</f>
        <v/>
      </c>
      <c r="N34" s="219">
        <f>N33/N27</f>
        <v/>
      </c>
      <c r="O34" s="221" t="n"/>
      <c r="P34" s="22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</row>
    <row r="35">
      <c r="B35" s="41" t="inlineStr">
        <is>
          <t>Depreciation</t>
        </is>
      </c>
      <c r="C35" s="214" t="n">
        <v>2729</v>
      </c>
      <c r="D35" s="214" t="n">
        <v>2982</v>
      </c>
      <c r="E35" s="214" t="n">
        <v>2861</v>
      </c>
      <c r="F35" s="214" t="n">
        <v>2975</v>
      </c>
      <c r="G35" s="214" t="n">
        <v>3147</v>
      </c>
      <c r="H35" s="215" t="n">
        <v>3212.8</v>
      </c>
      <c r="I35" s="214" t="n">
        <v>3427.9</v>
      </c>
      <c r="J35" s="214" t="n">
        <v>3599.3</v>
      </c>
      <c r="K35" s="214" t="n">
        <v>3725.3</v>
      </c>
      <c r="L35" s="214" t="n">
        <v>3818.4</v>
      </c>
      <c r="M35" s="214" t="n">
        <v>3894.8</v>
      </c>
      <c r="N35" s="214" t="n">
        <v>3953.2</v>
      </c>
      <c r="O35" s="214" t="n"/>
      <c r="P35" s="214" t="n"/>
    </row>
    <row r="36">
      <c r="B36" s="59" t="inlineStr">
        <is>
          <t>EBIT</t>
        </is>
      </c>
      <c r="C36" s="217" t="n">
        <v>502</v>
      </c>
      <c r="D36" s="217" t="n">
        <v>1920</v>
      </c>
      <c r="E36" s="217" t="n">
        <v>3825</v>
      </c>
      <c r="F36" s="217" t="n">
        <v>4417</v>
      </c>
      <c r="G36" s="217" t="n">
        <v>2819</v>
      </c>
      <c r="H36" s="218" t="n">
        <v>3048</v>
      </c>
      <c r="I36" s="217" t="n">
        <v>3986</v>
      </c>
      <c r="J36" s="217" t="n">
        <v>4113</v>
      </c>
      <c r="K36" s="217" t="n">
        <v>4257</v>
      </c>
      <c r="L36" s="217" t="n">
        <v>4364</v>
      </c>
      <c r="M36" s="217" t="n">
        <v>4451</v>
      </c>
      <c r="N36" s="217" t="n">
        <v>4518</v>
      </c>
      <c r="O36" s="217" t="n"/>
      <c r="P36" s="217" t="n"/>
    </row>
    <row r="37">
      <c r="B37" s="140" t="inlineStr">
        <is>
          <t>EBIT % margin</t>
        </is>
      </c>
      <c r="C37" s="219" t="n"/>
      <c r="D37" s="219" t="n"/>
      <c r="E37" s="219" t="n"/>
      <c r="F37" s="219" t="n"/>
      <c r="G37" s="219" t="n"/>
      <c r="H37" s="220">
        <f>H36/H27</f>
        <v/>
      </c>
      <c r="I37" s="219">
        <f>I36/I27</f>
        <v/>
      </c>
      <c r="J37" s="219">
        <f>J36/J27</f>
        <v/>
      </c>
      <c r="K37" s="219">
        <f>K36/K27</f>
        <v/>
      </c>
      <c r="L37" s="219">
        <f>L36/L27</f>
        <v/>
      </c>
      <c r="M37" s="219">
        <f>M36/M27</f>
        <v/>
      </c>
      <c r="N37" s="219">
        <f>N36/N27</f>
        <v/>
      </c>
      <c r="O37" s="221" t="n"/>
      <c r="P37" s="221" t="n"/>
    </row>
    <row r="38">
      <c r="B38" s="12" t="inlineStr">
        <is>
          <t>Taxes paid</t>
        </is>
      </c>
      <c r="C38" s="211" t="n"/>
      <c r="D38" s="211" t="n"/>
      <c r="E38" s="211" t="n"/>
      <c r="F38" s="211" t="n"/>
      <c r="G38" s="211" t="n"/>
      <c r="H38" s="215">
        <f>H36*$C$3</f>
        <v/>
      </c>
      <c r="I38" s="214">
        <f>I36*$C$3</f>
        <v/>
      </c>
      <c r="J38" s="214">
        <f>J36*$C$3</f>
        <v/>
      </c>
      <c r="K38" s="214">
        <f>K36*$C$3</f>
        <v/>
      </c>
      <c r="L38" s="214">
        <f>L36*$C$3</f>
        <v/>
      </c>
      <c r="M38" s="214">
        <f>M36*$C$3</f>
        <v/>
      </c>
      <c r="N38" s="214">
        <f>N36*$C$3</f>
        <v/>
      </c>
      <c r="O38" s="211" t="n"/>
      <c r="P38" s="211" t="n"/>
    </row>
    <row r="39">
      <c r="B39" s="59" t="inlineStr">
        <is>
          <t>Net Income</t>
        </is>
      </c>
      <c r="C39" s="222" t="n"/>
      <c r="D39" s="223" t="n"/>
      <c r="E39" s="223" t="n"/>
      <c r="F39" s="223" t="n"/>
      <c r="G39" s="224" t="n"/>
      <c r="H39" s="218">
        <f>H36-H38</f>
        <v/>
      </c>
      <c r="I39" s="217">
        <f>I36-I38</f>
        <v/>
      </c>
      <c r="J39" s="217">
        <f>J36-J38</f>
        <v/>
      </c>
      <c r="K39" s="217">
        <f>K36-K38</f>
        <v/>
      </c>
      <c r="L39" s="217">
        <f>L36-L38</f>
        <v/>
      </c>
      <c r="M39" s="217">
        <f>M36-M38</f>
        <v/>
      </c>
      <c r="N39" s="217">
        <f>N36-N38</f>
        <v/>
      </c>
      <c r="O39" s="223" t="n"/>
      <c r="P39" s="223" t="n"/>
    </row>
    <row r="40">
      <c r="B40" s="12" t="inlineStr">
        <is>
          <t>CapEx</t>
        </is>
      </c>
      <c r="C40" s="211" t="n">
        <v>1131</v>
      </c>
      <c r="D40" s="211" t="n">
        <v>1305</v>
      </c>
      <c r="E40" s="211" t="n">
        <v>1522</v>
      </c>
      <c r="F40" s="211" t="n">
        <v>1763</v>
      </c>
      <c r="G40" s="211" t="n">
        <v>1576</v>
      </c>
      <c r="H40" s="216" t="n">
        <v>3212.8</v>
      </c>
      <c r="I40" s="211" t="n">
        <v>3427.9</v>
      </c>
      <c r="J40" s="211" t="n">
        <v>3599.3</v>
      </c>
      <c r="K40" s="211" t="n">
        <v>3725.3</v>
      </c>
      <c r="L40" s="211" t="n">
        <v>3818.4</v>
      </c>
      <c r="M40" s="211" t="n">
        <v>3894.8</v>
      </c>
      <c r="N40" s="211" t="n">
        <v>3953.2</v>
      </c>
      <c r="O40" s="211" t="n"/>
      <c r="P40" s="211" t="n"/>
    </row>
    <row r="41">
      <c r="B41" s="12" t="inlineStr">
        <is>
          <t>Depreciation</t>
        </is>
      </c>
      <c r="C41" s="211" t="n">
        <v>2729</v>
      </c>
      <c r="D41" s="211" t="n">
        <v>2982</v>
      </c>
      <c r="E41" s="211" t="n">
        <v>2861</v>
      </c>
      <c r="F41" s="211" t="n">
        <v>2975</v>
      </c>
      <c r="G41" s="211" t="n">
        <v>3147</v>
      </c>
      <c r="H41" s="216" t="n">
        <v>3212.8</v>
      </c>
      <c r="I41" s="211" t="n">
        <v>3427.9</v>
      </c>
      <c r="J41" s="211" t="n">
        <v>3599.3</v>
      </c>
      <c r="K41" s="211" t="n">
        <v>3725.3</v>
      </c>
      <c r="L41" s="211" t="n">
        <v>3818.4</v>
      </c>
      <c r="M41" s="211" t="n">
        <v>3894.8</v>
      </c>
      <c r="N41" s="211" t="n">
        <v>3953.2</v>
      </c>
      <c r="O41" s="211" t="n"/>
      <c r="P41" s="211" t="n"/>
    </row>
    <row r="42">
      <c r="B42" s="12" t="inlineStr">
        <is>
          <t>delta Net Working Capital</t>
        </is>
      </c>
      <c r="C42" s="211" t="n"/>
      <c r="D42" s="211" t="n"/>
      <c r="E42" s="211" t="n"/>
      <c r="F42" s="211" t="n"/>
      <c r="G42" s="211" t="n"/>
      <c r="H42" s="216" t="n">
        <v>734.4</v>
      </c>
      <c r="I42" s="211" t="n">
        <v>783.5</v>
      </c>
      <c r="J42" s="211" t="n">
        <v>822.7</v>
      </c>
      <c r="K42" s="211" t="n">
        <v>851.5</v>
      </c>
      <c r="L42" s="211" t="n">
        <v>872.8</v>
      </c>
      <c r="M42" s="211" t="n">
        <v>890.2</v>
      </c>
      <c r="N42" s="211" t="n">
        <v>903.6</v>
      </c>
      <c r="O42" s="211" t="n"/>
      <c r="P42" s="211" t="n"/>
    </row>
    <row r="43">
      <c r="B43" s="59" t="inlineStr">
        <is>
          <t>Free Cash Flow</t>
        </is>
      </c>
      <c r="C43" s="222" t="n"/>
      <c r="D43" s="223" t="n"/>
      <c r="E43" s="223" t="n"/>
      <c r="F43" s="223" t="n"/>
      <c r="G43" s="223" t="n"/>
      <c r="H43" s="222">
        <f>H39+H41-H40-H42</f>
        <v/>
      </c>
      <c r="I43" s="223">
        <f>I39+I41-I40-I42</f>
        <v/>
      </c>
      <c r="J43" s="223">
        <f>J39+J41-J40-J42</f>
        <v/>
      </c>
      <c r="K43" s="223">
        <f>K39+K41-K40-K42</f>
        <v/>
      </c>
      <c r="L43" s="223">
        <f>L39+L41-L40-L42</f>
        <v/>
      </c>
      <c r="M43" s="223">
        <f>M39+M41-M40-M42</f>
        <v/>
      </c>
      <c r="N43" s="223">
        <f>N39+N41-N40-N42</f>
        <v/>
      </c>
      <c r="O43" s="223" t="n"/>
      <c r="P43" s="223" t="n"/>
    </row>
    <row r="44">
      <c r="B44" s="14" t="inlineStr">
        <is>
          <t>Discount factor</t>
        </is>
      </c>
      <c r="C44" s="14" t="n"/>
      <c r="D44" s="14" t="n"/>
      <c r="E44" s="14" t="n"/>
      <c r="F44" s="14" t="n"/>
      <c r="G44" s="14" t="n"/>
      <c r="H44" s="14">
        <f>1/(1+$C$8)^0</f>
        <v/>
      </c>
      <c r="I44" s="14">
        <f>1/(1+$C$8)^1</f>
        <v/>
      </c>
      <c r="J44" s="14">
        <f>1/(1+$C$8)^2</f>
        <v/>
      </c>
      <c r="K44" s="14">
        <f>1/(1+$C$8)^3</f>
        <v/>
      </c>
      <c r="L44" s="14">
        <f>1/(1+$C$8)^4</f>
        <v/>
      </c>
      <c r="M44" s="14">
        <f>1/(1+$C$8)^5</f>
        <v/>
      </c>
      <c r="N44" s="14">
        <f>1/(1+$C$8)^6</f>
        <v/>
      </c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B45" s="14" t="n"/>
      <c r="C45" s="14" t="n"/>
      <c r="D45" s="14" t="n"/>
      <c r="E45" s="14" t="n"/>
      <c r="F45" s="14" t="n"/>
      <c r="G45" s="14" t="n"/>
      <c r="H45" s="13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B46" s="14" t="inlineStr">
        <is>
          <t>Discounted CF</t>
        </is>
      </c>
      <c r="C46" s="14" t="n"/>
      <c r="D46" s="14" t="n"/>
      <c r="E46" s="14" t="n"/>
      <c r="F46" s="14" t="n"/>
      <c r="G46" s="14" t="inlineStr">
        <is>
          <t>Discounted CF</t>
        </is>
      </c>
      <c r="H46" s="225">
        <f>H43*H44</f>
        <v/>
      </c>
      <c r="I46" s="226">
        <f>I43*I44</f>
        <v/>
      </c>
      <c r="J46" s="226">
        <f>J43*J44</f>
        <v/>
      </c>
      <c r="K46" s="226">
        <f>K43*K44</f>
        <v/>
      </c>
      <c r="L46" s="226">
        <f>L43*L44</f>
        <v/>
      </c>
      <c r="M46" s="226">
        <f>M43*M44</f>
        <v/>
      </c>
      <c r="N46" s="226">
        <f>N43*N44</f>
        <v/>
      </c>
      <c r="O46" s="226" t="n"/>
      <c r="P46" s="226" t="n"/>
      <c r="Q46" s="226" t="n"/>
      <c r="R46" s="226" t="n"/>
      <c r="S46" s="226" t="n"/>
      <c r="T46" s="226" t="n"/>
      <c r="U46" s="226" t="n"/>
      <c r="V46" s="226" t="n"/>
      <c r="W46" s="14" t="n"/>
    </row>
    <row r="47">
      <c r="B47" s="14" t="n"/>
      <c r="C47" s="226" t="n"/>
      <c r="D47" s="14" t="n"/>
      <c r="E47" s="14" t="n"/>
      <c r="F47" s="14" t="n"/>
      <c r="G47" s="14" t="inlineStr">
        <is>
          <t>Sum of discounted CF</t>
        </is>
      </c>
      <c r="H47" s="225">
        <f>SUM(H46:N46)</f>
        <v/>
      </c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B48" s="14" t="n"/>
      <c r="C48" s="14" t="n"/>
      <c r="D48" s="14" t="n"/>
      <c r="E48" s="14" t="n"/>
      <c r="F48" s="14" t="n"/>
      <c r="G48" s="14" t="inlineStr">
        <is>
          <t>Terminal value</t>
        </is>
      </c>
      <c r="H48" s="225">
        <f>N43*(1+$C$4)/($C$8-$C$4)</f>
        <v/>
      </c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226" t="n"/>
    </row>
    <row r="49">
      <c r="B49" s="14" t="n"/>
      <c r="C49" s="14" t="n"/>
      <c r="D49" s="14" t="n"/>
      <c r="E49" s="14" t="n"/>
      <c r="F49" s="14" t="n"/>
      <c r="G49" s="14" t="inlineStr">
        <is>
          <t>Discounted TV</t>
        </is>
      </c>
      <c r="H49" s="225">
        <f>H48*N44</f>
        <v/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226" t="n"/>
    </row>
    <row r="50">
      <c r="B50" s="14" t="n"/>
      <c r="C50" s="14" t="n"/>
      <c r="D50" s="14" t="n"/>
      <c r="E50" s="14" t="n"/>
      <c r="F50" s="14" t="n"/>
      <c r="G50" s="61" t="inlineStr">
        <is>
          <t>Firm Value</t>
        </is>
      </c>
      <c r="H50" s="227">
        <f>H47+H49</f>
        <v/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C52" s="228" t="n"/>
      <c r="D52" s="228" t="n"/>
      <c r="E52" s="228" t="n"/>
      <c r="F52" s="228" t="n"/>
      <c r="G52" s="228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</row>
    <row r="53" ht="15.75" customHeight="1">
      <c r="B53" s="230" t="inlineStr">
        <is>
          <t>Firm value sensitivity analysis</t>
        </is>
      </c>
      <c r="C53" s="231" t="n"/>
      <c r="D53" s="230" t="n"/>
      <c r="E53" s="230" t="n"/>
      <c r="F53" s="230" t="n"/>
      <c r="G53" s="230" t="n"/>
      <c r="I53" s="230" t="inlineStr">
        <is>
          <t>Equity value sensitivity analysis</t>
        </is>
      </c>
      <c r="J53" s="231" t="n"/>
      <c r="K53" s="230" t="n"/>
      <c r="L53" s="230" t="n"/>
      <c r="M53" s="230" t="n"/>
      <c r="N53" s="230" t="n"/>
    </row>
    <row r="54" ht="15.75" customHeight="1">
      <c r="B54" s="232" t="inlineStr">
        <is>
          <t>WACC / LTG</t>
        </is>
      </c>
      <c r="C54" s="233" t="n"/>
      <c r="D54" s="233" t="n"/>
      <c r="E54" s="233" t="n"/>
      <c r="F54" s="233" t="n"/>
      <c r="G54" s="233" t="n"/>
      <c r="I54" s="232" t="inlineStr">
        <is>
          <t>WACC / LTG</t>
        </is>
      </c>
      <c r="J54" s="233" t="n"/>
      <c r="K54" s="233" t="n"/>
      <c r="L54" s="233" t="n"/>
      <c r="M54" s="233" t="n"/>
      <c r="N54" s="233" t="n"/>
    </row>
    <row r="55">
      <c r="B55" s="233" t="inlineStr">
        <is>
          <t>WACC \ LTG</t>
        </is>
      </c>
      <c r="C55" s="234" t="n">
        <v>0.005</v>
      </c>
      <c r="D55" s="234" t="n">
        <v>0.01</v>
      </c>
      <c r="E55" s="234" t="n">
        <v>0.015</v>
      </c>
      <c r="F55" s="234" t="n">
        <v>0.02</v>
      </c>
      <c r="G55" s="234" t="n">
        <v>0.025</v>
      </c>
      <c r="I55" s="233" t="inlineStr">
        <is>
          <t>WACC \ LTG</t>
        </is>
      </c>
      <c r="J55" s="234" t="n">
        <v>0.005</v>
      </c>
      <c r="K55" s="234" t="n">
        <v>0.01</v>
      </c>
      <c r="L55" s="234" t="n">
        <v>0.015</v>
      </c>
      <c r="M55" s="234" t="n">
        <v>0.02</v>
      </c>
      <c r="N55" s="234" t="n">
        <v>0.025</v>
      </c>
    </row>
    <row r="56">
      <c r="A56" s="201" t="n"/>
      <c r="B56" s="233" t="n">
        <v>0.06430000000000001</v>
      </c>
      <c r="C56" s="234" t="n">
        <v>38092</v>
      </c>
      <c r="D56" s="234" t="n">
        <v>40661</v>
      </c>
      <c r="E56" s="234" t="n">
        <v>43750</v>
      </c>
      <c r="F56" s="234" t="n">
        <v>47538</v>
      </c>
      <c r="G56" s="234" t="n">
        <v>52289</v>
      </c>
      <c r="I56" s="233" t="n">
        <v>0.06430000000000001</v>
      </c>
      <c r="J56" s="234" t="n">
        <v>63.92</v>
      </c>
      <c r="K56" s="234" t="n">
        <v>69.06</v>
      </c>
      <c r="L56" s="234" t="n">
        <v>75.23999999999999</v>
      </c>
      <c r="M56" s="234" t="n">
        <v>82.81</v>
      </c>
      <c r="N56" s="234" t="n">
        <v>92.31</v>
      </c>
    </row>
    <row r="57">
      <c r="B57" s="233" t="n">
        <v>0.0693</v>
      </c>
      <c r="C57" s="234" t="n">
        <v>35207</v>
      </c>
      <c r="D57" s="234" t="n">
        <v>37326</v>
      </c>
      <c r="E57" s="234" t="n">
        <v>39835</v>
      </c>
      <c r="F57" s="234" t="n">
        <v>42854</v>
      </c>
      <c r="G57" s="235" t="n">
        <v>46553</v>
      </c>
      <c r="I57" s="233" t="n">
        <v>0.0693</v>
      </c>
      <c r="J57" s="234" t="n">
        <v>58.15</v>
      </c>
      <c r="K57" s="234" t="n">
        <v>62.39</v>
      </c>
      <c r="L57" s="234" t="n">
        <v>67.41</v>
      </c>
      <c r="M57" s="234" t="n">
        <v>73.44</v>
      </c>
      <c r="N57" s="235" t="n">
        <v>80.84</v>
      </c>
    </row>
    <row r="58">
      <c r="B58" s="233" t="n">
        <v>0.0743</v>
      </c>
      <c r="C58" s="234" t="n">
        <v>32739</v>
      </c>
      <c r="D58" s="234" t="n">
        <v>34511</v>
      </c>
      <c r="E58" s="234" t="n">
        <v>36581</v>
      </c>
      <c r="F58" s="234" t="n">
        <v>39032</v>
      </c>
      <c r="G58" s="235" t="n">
        <v>41981</v>
      </c>
      <c r="I58" s="233" t="n">
        <v>0.0743</v>
      </c>
      <c r="J58" s="234" t="n">
        <v>53.21</v>
      </c>
      <c r="K58" s="234" t="n">
        <v>56.76</v>
      </c>
      <c r="L58" s="234" t="n">
        <v>60.9</v>
      </c>
      <c r="M58" s="234" t="n">
        <v>65.8</v>
      </c>
      <c r="N58" s="235" t="n">
        <v>71.7</v>
      </c>
    </row>
    <row r="59">
      <c r="B59" s="233" t="n">
        <v>0.07930000000000001</v>
      </c>
      <c r="C59" s="234" t="n">
        <v>30604</v>
      </c>
      <c r="D59" s="234" t="n">
        <v>32102</v>
      </c>
      <c r="E59" s="234" t="n">
        <v>33832</v>
      </c>
      <c r="F59" s="234" t="n">
        <v>35855</v>
      </c>
      <c r="G59" s="235" t="n">
        <v>38250</v>
      </c>
      <c r="I59" s="233" t="n">
        <v>0.07930000000000001</v>
      </c>
      <c r="J59" s="234" t="n">
        <v>48.94</v>
      </c>
      <c r="K59" s="234" t="n">
        <v>51.94</v>
      </c>
      <c r="L59" s="234" t="n">
        <v>55.4</v>
      </c>
      <c r="M59" s="234" t="n">
        <v>59.45</v>
      </c>
      <c r="N59" s="235" t="n">
        <v>64.23999999999999</v>
      </c>
    </row>
    <row r="60">
      <c r="B60" t="n">
        <v>0.0843</v>
      </c>
      <c r="C60" t="n">
        <v>28738</v>
      </c>
      <c r="D60" t="n">
        <v>30017</v>
      </c>
      <c r="E60" t="n">
        <v>31481</v>
      </c>
      <c r="F60" t="n">
        <v>33172</v>
      </c>
      <c r="G60" t="n">
        <v>35149</v>
      </c>
      <c r="I60" t="n">
        <v>0.0843</v>
      </c>
      <c r="J60" t="n">
        <v>45.21</v>
      </c>
      <c r="K60" t="n">
        <v>47.77</v>
      </c>
      <c r="L60" t="n">
        <v>50.7</v>
      </c>
      <c r="M60" t="n">
        <v>54.08</v>
      </c>
      <c r="N60" t="n">
        <v>58.03</v>
      </c>
    </row>
    <row r="64">
      <c r="C64" s="236" t="n"/>
      <c r="E64" s="236" t="n"/>
      <c r="J64" s="229" t="n"/>
      <c r="K64" s="229" t="n"/>
      <c r="L64" s="229" t="n"/>
      <c r="M64" s="229" t="n"/>
      <c r="N64" s="229" t="n"/>
    </row>
    <row r="65">
      <c r="J65" s="229" t="n"/>
      <c r="K65" s="229" t="n"/>
      <c r="L65" s="229" t="n"/>
      <c r="M65" s="229" t="n"/>
      <c r="N65" s="229" t="n"/>
    </row>
    <row r="66">
      <c r="J66" s="229" t="n"/>
      <c r="K66" s="229" t="n"/>
      <c r="L66" s="229" t="n"/>
      <c r="M66" s="229" t="n"/>
      <c r="N66" s="229" t="n"/>
    </row>
    <row r="67">
      <c r="J67" s="229" t="n"/>
      <c r="K67" s="229" t="n"/>
      <c r="L67" s="229" t="n"/>
      <c r="M67" s="229" t="n"/>
      <c r="N67" s="229" t="n"/>
    </row>
    <row r="68">
      <c r="J68" s="229" t="n"/>
      <c r="K68" s="229" t="n"/>
      <c r="L68" s="229" t="n"/>
      <c r="M68" s="229" t="n"/>
      <c r="N68" s="229" t="n"/>
    </row>
    <row r="74">
      <c r="J74" s="236" t="n"/>
    </row>
  </sheetData>
  <mergeCells count="1">
    <mergeCell ref="A56:A60"/>
  </mergeCells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5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40.28515625" customWidth="1" style="1" min="2" max="2"/>
    <col width="16.28515625" customWidth="1" style="1" min="3" max="3"/>
    <col width="11" customWidth="1" style="1" min="4" max="8"/>
    <col width="21.7109375" customWidth="1" style="1" min="9" max="9"/>
    <col width="11" customWidth="1" style="1" min="10" max="13"/>
    <col width="12.7109375" customWidth="1" style="1" min="14" max="14"/>
    <col width="11" customWidth="1" style="1" min="15" max="16384"/>
  </cols>
  <sheetData>
    <row r="2">
      <c r="B2" s="34" t="inlineStr">
        <is>
          <t>Cost of Equity:</t>
        </is>
      </c>
      <c r="C2" s="35" t="n"/>
      <c r="F2" s="17" t="inlineStr">
        <is>
          <t>Peer group (adjusted) Betas</t>
        </is>
      </c>
      <c r="G2" s="17" t="n"/>
      <c r="H2" s="21" t="n"/>
      <c r="I2" s="22" t="inlineStr">
        <is>
          <t>Net debt</t>
        </is>
      </c>
      <c r="J2" s="17" t="inlineStr">
        <is>
          <t>Tax-rate</t>
        </is>
      </c>
      <c r="K2" s="17" t="inlineStr">
        <is>
          <t>Equity</t>
        </is>
      </c>
      <c r="L2" s="17" t="inlineStr">
        <is>
          <t>D/E</t>
        </is>
      </c>
      <c r="M2" s="17" t="inlineStr">
        <is>
          <t>Unlevered Beta</t>
        </is>
      </c>
      <c r="N2" s="58" t="n"/>
      <c r="O2" s="58" t="n"/>
    </row>
    <row r="3">
      <c r="B3" s="16" t="n"/>
      <c r="C3" s="12" t="n"/>
      <c r="F3" s="14" t="inlineStr">
        <is>
          <t>Daimler Truck</t>
        </is>
      </c>
      <c r="G3" s="13" t="n"/>
      <c r="H3" s="23" t="n"/>
      <c r="I3" s="237" t="n">
        <v>-7578</v>
      </c>
      <c r="J3" s="208" t="n">
        <v>0.3</v>
      </c>
      <c r="K3" s="237" t="n">
        <v>32309</v>
      </c>
      <c r="L3" s="208" t="n">
        <v>-0.2345476492618156</v>
      </c>
      <c r="M3" s="238" t="n">
        <v>1.089</v>
      </c>
      <c r="N3" s="79" t="n"/>
      <c r="O3" s="79" t="n"/>
    </row>
    <row r="4">
      <c r="B4" s="16" t="inlineStr">
        <is>
          <t>Risk-free rate</t>
        </is>
      </c>
      <c r="C4" s="210" t="n">
        <v>0.035</v>
      </c>
      <c r="F4" s="14" t="inlineStr">
        <is>
          <t>Volvo</t>
        </is>
      </c>
      <c r="G4" s="13" t="n"/>
      <c r="H4" s="23" t="n"/>
      <c r="I4" s="237" t="n">
        <v>-43938</v>
      </c>
      <c r="J4" s="208" t="n">
        <v>0.3</v>
      </c>
      <c r="K4" s="237" t="n">
        <v>683894</v>
      </c>
      <c r="L4" s="208" t="n">
        <v>-0.06424679848046627</v>
      </c>
      <c r="M4" s="238" t="n">
        <v>0.921</v>
      </c>
      <c r="N4" s="79" t="n"/>
      <c r="O4" s="79" t="n"/>
    </row>
    <row r="5">
      <c r="B5" s="16" t="inlineStr">
        <is>
          <t>Equity market premium (Germany):</t>
        </is>
      </c>
      <c r="C5" s="239" t="n">
        <v>0.0423</v>
      </c>
      <c r="G5" s="13" t="n"/>
      <c r="H5" s="23" t="n"/>
      <c r="I5" s="237" t="n"/>
      <c r="J5" s="208" t="n"/>
      <c r="K5" s="237" t="n"/>
      <c r="L5" s="208" t="n"/>
      <c r="M5" s="238" t="n"/>
      <c r="N5" s="79" t="n"/>
      <c r="O5" s="79" t="n"/>
    </row>
    <row r="6">
      <c r="B6" s="16" t="inlineStr">
        <is>
          <t>Debt / Capital Ratio</t>
        </is>
      </c>
      <c r="C6" s="210" t="n">
        <v>0.2148232287377538</v>
      </c>
      <c r="F6" s="14" t="inlineStr">
        <is>
          <t>Peer average</t>
        </is>
      </c>
      <c r="G6" s="13" t="n"/>
      <c r="H6" s="23" t="n"/>
      <c r="I6" s="237" t="n"/>
      <c r="J6" s="208" t="n"/>
      <c r="K6" s="237" t="n"/>
      <c r="L6" s="208" t="n"/>
      <c r="M6" s="238" t="n"/>
      <c r="N6" s="79" t="n"/>
      <c r="O6" s="79" t="n"/>
    </row>
    <row r="7">
      <c r="B7" s="16" t="inlineStr">
        <is>
          <t>Re-levered beta:</t>
        </is>
      </c>
      <c r="C7" s="81" t="n">
        <v>1.198</v>
      </c>
      <c r="F7" s="14" t="n"/>
      <c r="G7" s="14" t="n"/>
      <c r="H7" s="23" t="n"/>
      <c r="I7" s="237" t="n"/>
      <c r="J7" s="15" t="n"/>
      <c r="K7" s="237" t="n"/>
      <c r="L7" s="15" t="n"/>
      <c r="M7" s="79" t="n"/>
      <c r="N7" s="79" t="n"/>
      <c r="O7" s="79" t="n"/>
    </row>
    <row r="8">
      <c r="B8" s="133" t="n"/>
      <c r="C8" s="240" t="n"/>
      <c r="F8" s="14" t="n"/>
      <c r="G8" s="14" t="n"/>
      <c r="H8" s="23" t="n"/>
      <c r="I8" s="237" t="n"/>
      <c r="J8" s="15" t="n"/>
      <c r="K8" s="237" t="n"/>
      <c r="L8" s="15" t="n"/>
      <c r="M8" s="79" t="n"/>
      <c r="N8" s="79" t="n"/>
      <c r="O8" s="79" t="n"/>
    </row>
    <row r="9">
      <c r="B9" s="16" t="n"/>
      <c r="C9" s="12" t="n"/>
      <c r="F9" s="14" t="n"/>
      <c r="G9" s="14" t="n"/>
      <c r="H9" s="23" t="n"/>
      <c r="I9" s="237" t="n"/>
      <c r="J9" s="15" t="n"/>
      <c r="K9" s="237" t="n"/>
      <c r="L9" s="15" t="n"/>
      <c r="M9" s="79" t="n"/>
      <c r="N9" s="79" t="n"/>
      <c r="O9" s="79" t="n"/>
    </row>
    <row r="10">
      <c r="B10" s="22" t="inlineStr">
        <is>
          <t>Cost of Equity (CAPM):</t>
        </is>
      </c>
      <c r="C10" s="241" t="n">
        <v>0.0857</v>
      </c>
      <c r="F10" s="14" t="n"/>
      <c r="G10" s="14" t="n"/>
      <c r="H10" s="23" t="n"/>
      <c r="I10" s="237" t="n"/>
      <c r="J10" s="15" t="n"/>
      <c r="K10" s="237" t="n"/>
      <c r="L10" s="15" t="n"/>
      <c r="M10" s="79" t="n"/>
      <c r="N10" s="79" t="n"/>
      <c r="O10" s="79" t="n"/>
    </row>
    <row r="11">
      <c r="B11" s="14" t="n"/>
      <c r="C11" s="14" t="n"/>
      <c r="F11" s="14" t="n"/>
      <c r="G11" s="14" t="n"/>
      <c r="H11" s="23" t="n"/>
      <c r="I11" s="237" t="n"/>
      <c r="J11" s="15" t="n"/>
      <c r="K11" s="237" t="n"/>
      <c r="L11" s="15" t="n"/>
      <c r="M11" s="79" t="n"/>
      <c r="N11" s="79" t="n"/>
      <c r="O11" s="79" t="n"/>
    </row>
    <row r="12">
      <c r="B12" s="34" t="inlineStr">
        <is>
          <t xml:space="preserve">Cost of Debt: </t>
        </is>
      </c>
      <c r="C12" s="35" t="n"/>
      <c r="F12" s="14" t="n"/>
      <c r="G12" s="14" t="n"/>
      <c r="H12" s="23" t="n"/>
      <c r="I12" s="237" t="n"/>
      <c r="J12" s="15" t="n"/>
      <c r="K12" s="237" t="n"/>
      <c r="L12" s="15" t="n"/>
      <c r="M12" s="79" t="n"/>
      <c r="N12" s="79" t="n"/>
      <c r="O12" s="79" t="n"/>
    </row>
    <row r="13">
      <c r="B13" s="33" t="inlineStr">
        <is>
          <t>CDS spread (?Y)</t>
        </is>
      </c>
      <c r="C13" s="210" t="n">
        <v>0.012</v>
      </c>
      <c r="F13" s="14" t="n"/>
      <c r="G13" s="14" t="n"/>
      <c r="H13" s="23" t="n"/>
      <c r="I13" s="237" t="n"/>
      <c r="J13" s="15" t="n"/>
      <c r="K13" s="237" t="n"/>
      <c r="L13" s="15" t="n"/>
      <c r="M13" s="79" t="n"/>
      <c r="N13" s="79" t="n"/>
      <c r="O13" s="79" t="n"/>
    </row>
    <row r="14">
      <c r="B14" s="16" t="inlineStr">
        <is>
          <t>Risk-free rate</t>
        </is>
      </c>
      <c r="C14" s="210" t="n">
        <v>0.035</v>
      </c>
      <c r="F14" s="14" t="n"/>
      <c r="G14" s="14" t="n"/>
      <c r="H14" s="23" t="n"/>
      <c r="I14" s="237" t="n"/>
      <c r="J14" s="15" t="n"/>
      <c r="K14" s="237" t="n"/>
      <c r="L14" s="15" t="n"/>
      <c r="M14" s="79" t="n"/>
      <c r="N14" s="79" t="n"/>
      <c r="O14" s="79" t="n"/>
    </row>
    <row r="15" ht="15.75" customHeight="1" thickBot="1">
      <c r="B15" s="16" t="inlineStr">
        <is>
          <t>Pre-tax cost of debt</t>
        </is>
      </c>
      <c r="C15" s="210" t="n">
        <v>0.047</v>
      </c>
      <c r="F15" s="27" t="n"/>
      <c r="G15" s="27" t="n"/>
      <c r="H15" s="28" t="n"/>
      <c r="I15" s="242" t="n"/>
      <c r="J15" s="30" t="n"/>
      <c r="K15" s="243" t="n"/>
      <c r="L15" s="30" t="n"/>
      <c r="M15" s="80" t="n"/>
      <c r="N15" s="79" t="n"/>
      <c r="O15" s="79" t="n"/>
    </row>
    <row r="16" ht="15.75" customHeight="1" thickTop="1">
      <c r="B16" s="16" t="inlineStr">
        <is>
          <t>Tax rate</t>
        </is>
      </c>
      <c r="C16" s="210" t="n">
        <v>0.3</v>
      </c>
      <c r="F16" s="14" t="n"/>
      <c r="G16" s="14" t="n"/>
      <c r="H16" s="244" t="n"/>
      <c r="I16" s="244" t="n"/>
      <c r="J16" s="244" t="n"/>
      <c r="K16" s="244" t="n"/>
      <c r="L16" s="244" t="n"/>
      <c r="M16" s="245" t="n"/>
      <c r="N16" s="244" t="n"/>
      <c r="O16" s="244" t="n"/>
    </row>
    <row r="17">
      <c r="B17" s="16" t="inlineStr">
        <is>
          <t>After-tax cost of debt</t>
        </is>
      </c>
      <c r="C17" s="210" t="n">
        <v>0.0329</v>
      </c>
      <c r="F17" s="14" t="n"/>
      <c r="G17" s="14" t="n"/>
      <c r="H17" s="244" t="n"/>
      <c r="I17" s="244" t="n"/>
      <c r="J17" s="244" t="n"/>
      <c r="K17" s="244" t="n"/>
      <c r="L17" s="244" t="n"/>
      <c r="M17" s="245" t="n"/>
      <c r="N17" s="245" t="n"/>
      <c r="O17" s="245" t="n"/>
    </row>
    <row r="18">
      <c r="B18" s="16" t="n"/>
      <c r="C18" s="12" t="n"/>
      <c r="J18" s="246" t="n"/>
    </row>
    <row r="19">
      <c r="B19" s="16" t="n"/>
      <c r="C19" s="12" t="n"/>
    </row>
    <row r="20">
      <c r="B20" s="22" t="inlineStr">
        <is>
          <t xml:space="preserve">Cost of Debt: </t>
        </is>
      </c>
      <c r="C20" s="247" t="n">
        <v>0.0329</v>
      </c>
    </row>
    <row r="21">
      <c r="B21" s="14" t="n"/>
      <c r="C21" s="14" t="n"/>
      <c r="K21" s="40" t="n"/>
      <c r="L21" s="14" t="n"/>
      <c r="M21" s="14" t="n"/>
    </row>
    <row r="22">
      <c r="B22" s="34" t="inlineStr">
        <is>
          <t>WACC:</t>
        </is>
      </c>
      <c r="C22" s="35" t="n"/>
      <c r="K22" s="14" t="n"/>
      <c r="L22" s="14" t="n"/>
      <c r="M22" s="14" t="n"/>
    </row>
    <row r="23">
      <c r="B23" s="33" t="n"/>
      <c r="C23" s="12" t="n"/>
      <c r="K23" s="14" t="n"/>
      <c r="L23" s="134" t="n"/>
      <c r="M23" s="134" t="n"/>
    </row>
    <row r="24">
      <c r="B24" s="16" t="inlineStr">
        <is>
          <t>Equity market value</t>
        </is>
      </c>
      <c r="C24" s="25" t="n">
        <v>16590</v>
      </c>
      <c r="K24" s="14" t="n"/>
      <c r="L24" s="46" t="n"/>
      <c r="M24" s="46" t="n"/>
    </row>
    <row r="25">
      <c r="B25" s="16" t="inlineStr">
        <is>
          <t>Net debt incl. EV adj.</t>
        </is>
      </c>
      <c r="C25" s="195" t="n">
        <v>4539</v>
      </c>
      <c r="K25" s="14" t="n"/>
      <c r="L25" s="46" t="n"/>
      <c r="M25" s="46" t="n"/>
    </row>
    <row r="26">
      <c r="B26" s="16" t="inlineStr">
        <is>
          <t>Debt / Capital</t>
        </is>
      </c>
      <c r="C26" s="210" t="n">
        <v>0.2148232287377538</v>
      </c>
      <c r="K26" s="14" t="n"/>
      <c r="L26" s="46" t="n"/>
      <c r="M26" s="46" t="n"/>
    </row>
    <row r="27">
      <c r="B27" s="16" t="inlineStr">
        <is>
          <t>Equity / Capital</t>
        </is>
      </c>
      <c r="C27" s="210" t="n">
        <v>0.7851767712622462</v>
      </c>
      <c r="K27" s="14" t="n"/>
      <c r="L27" s="46" t="n"/>
      <c r="M27" s="46" t="n"/>
    </row>
    <row r="28">
      <c r="B28" s="16" t="inlineStr">
        <is>
          <t>Target D/E</t>
        </is>
      </c>
      <c r="C28" s="210" t="n">
        <v>0.2735985533453888</v>
      </c>
      <c r="K28" s="14" t="n"/>
      <c r="L28" s="46" t="n"/>
      <c r="M28" s="46" t="n"/>
    </row>
    <row r="29">
      <c r="B29" s="16" t="inlineStr">
        <is>
          <t>Tax rate</t>
        </is>
      </c>
      <c r="C29" s="239" t="n">
        <v>0.3</v>
      </c>
      <c r="K29" s="14" t="n"/>
      <c r="L29" s="46" t="n"/>
      <c r="M29" s="46" t="n"/>
    </row>
    <row r="30">
      <c r="B30" s="16" t="n"/>
      <c r="C30" s="12" t="n"/>
      <c r="K30" s="14" t="n"/>
      <c r="L30" s="46" t="n"/>
      <c r="M30" s="46" t="n"/>
    </row>
    <row r="31">
      <c r="B31" s="22" t="inlineStr">
        <is>
          <t>WACC</t>
        </is>
      </c>
      <c r="C31" s="248" t="n">
        <v>0.0743</v>
      </c>
      <c r="K31" s="14" t="n"/>
      <c r="L31" s="135" t="n"/>
      <c r="M31" s="135" t="n"/>
    </row>
    <row r="32">
      <c r="K32" s="14" t="n"/>
      <c r="L32" s="135" t="n"/>
      <c r="M32" s="135" t="n"/>
    </row>
    <row r="33">
      <c r="K33" s="14" t="n"/>
      <c r="L33" s="14" t="n"/>
      <c r="M33" s="14" t="n"/>
    </row>
    <row r="34">
      <c r="K34" s="14" t="n"/>
      <c r="L34" s="14" t="n"/>
      <c r="M34" s="135" t="n"/>
    </row>
    <row r="35">
      <c r="K35" s="14" t="n"/>
      <c r="L35" s="14" t="n"/>
      <c r="M35" s="135" t="n"/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5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27.28515625" customWidth="1" style="1" min="2" max="2"/>
    <col width="12.28515625" bestFit="1" customWidth="1" style="1" min="3" max="3"/>
    <col width="11" customWidth="1" style="1" min="4" max="16384"/>
  </cols>
  <sheetData>
    <row r="2">
      <c r="B2" s="249" t="inlineStr">
        <is>
          <t>Equity Bridge:</t>
        </is>
      </c>
      <c r="C2" s="250" t="n"/>
    </row>
    <row r="5">
      <c r="B5" s="230" t="inlineStr">
        <is>
          <t>Firm Value</t>
        </is>
      </c>
      <c r="C5" s="251">
        <f>'FCFF &amp; DCF'!H50</f>
        <v/>
      </c>
    </row>
    <row r="6">
      <c r="B6" s="252" t="inlineStr">
        <is>
          <t>+ Cash &amp; Securities</t>
        </is>
      </c>
      <c r="C6" s="253" t="n">
        <v>3005</v>
      </c>
    </row>
    <row r="7">
      <c r="B7" s="254" t="inlineStr">
        <is>
          <t>- Debt</t>
        </is>
      </c>
      <c r="C7" s="255" t="n">
        <v>28799</v>
      </c>
    </row>
    <row r="8">
      <c r="B8" s="254" t="inlineStr">
        <is>
          <t>- Pensions</t>
        </is>
      </c>
      <c r="C8" s="255" t="n">
        <v>1590</v>
      </c>
    </row>
    <row r="9">
      <c r="B9" s="254" t="inlineStr">
        <is>
          <t>- Minority Interest</t>
        </is>
      </c>
      <c r="C9" s="255" t="n">
        <v>3</v>
      </c>
    </row>
    <row r="10">
      <c r="B10" s="254" t="inlineStr">
        <is>
          <t>- Value of Preferred Stocks</t>
        </is>
      </c>
      <c r="C10" s="255" t="n">
        <v>0</v>
      </c>
    </row>
    <row r="11">
      <c r="B11" s="256" t="inlineStr">
        <is>
          <t>Equity Value</t>
        </is>
      </c>
      <c r="C11" s="257">
        <f>C5+C6-C7-C8-C9-C10</f>
        <v/>
      </c>
    </row>
    <row r="12">
      <c r="B12" s="200" t="n"/>
    </row>
    <row r="13">
      <c r="B13" s="254" t="inlineStr">
        <is>
          <t>Number of outstanding shares (in m)</t>
        </is>
      </c>
      <c r="C13" s="255" t="n">
        <v>500</v>
      </c>
    </row>
    <row r="14">
      <c r="B14" s="254" t="inlineStr">
        <is>
          <t>Implied share price</t>
        </is>
      </c>
      <c r="C14" s="258">
        <f>C11/C13</f>
        <v/>
      </c>
    </row>
    <row r="15">
      <c r="B15" s="254" t="n"/>
      <c r="C15" s="255" t="n"/>
    </row>
    <row r="16">
      <c r="B16" s="254" t="inlineStr">
        <is>
          <t>Current share price (30.06.2026)</t>
        </is>
      </c>
      <c r="C16" s="235" t="n">
        <v>33.18</v>
      </c>
    </row>
    <row r="17">
      <c r="B17" s="254" t="inlineStr">
        <is>
          <t>Implied upside</t>
        </is>
      </c>
      <c r="C17" s="235">
        <f>C14/C16-1</f>
        <v/>
      </c>
    </row>
    <row r="19">
      <c r="B19" t="inlineStr">
        <is>
          <t>NOTE: For industrial DCF use Net Industrial Debt (EV-MCap) ~4,539 instead of gross debt-cash.</t>
        </is>
      </c>
    </row>
    <row r="20">
      <c r="B20" t="inlineStr">
        <is>
          <t>Industrial equity value = FirmValue - 4539 - Pensions - Minority = ~30,434 -&gt; implied EUR 60.87</t>
        </is>
      </c>
    </row>
    <row r="22">
      <c r="B22" t="inlineStr">
        <is>
          <t>Equity Value (industrial)</t>
        </is>
      </c>
      <c r="C22">
        <f>C5-4539-C8-C9</f>
        <v/>
      </c>
    </row>
    <row r="23">
      <c r="B23" t="inlineStr">
        <is>
          <t>Implied price (industrial)</t>
        </is>
      </c>
      <c r="C23">
        <f>C22/C13</f>
        <v/>
      </c>
    </row>
    <row r="24">
      <c r="B24" t="inlineStr">
        <is>
          <t>Implied upside (industrial)</t>
        </is>
      </c>
      <c r="C24">
        <f>C23/C16-1</f>
        <v/>
      </c>
    </row>
    <row r="29">
      <c r="B29" s="230" t="n"/>
      <c r="C29" s="251" t="n"/>
    </row>
    <row r="30">
      <c r="B30" s="254" t="n"/>
      <c r="C30" s="255" t="n"/>
    </row>
    <row r="31">
      <c r="B31" s="254" t="n"/>
      <c r="C31" s="255" t="n"/>
    </row>
    <row r="32">
      <c r="B32" s="254" t="n"/>
      <c r="C32" s="255" t="n"/>
    </row>
    <row r="33">
      <c r="B33" s="254" t="n"/>
      <c r="C33" s="255" t="n"/>
    </row>
    <row r="34">
      <c r="B34" s="254" t="n"/>
      <c r="C34" s="255" t="n"/>
    </row>
    <row r="35">
      <c r="B35" s="230" t="n"/>
      <c r="C35" s="251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32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15.7109375" bestFit="1" customWidth="1" style="1" min="2" max="2"/>
    <col width="11" customWidth="1" style="1" min="3" max="16384"/>
  </cols>
  <sheetData>
    <row r="2">
      <c r="B2" s="65" t="n"/>
      <c r="C2" s="66" t="n"/>
      <c r="D2" s="205" t="n"/>
      <c r="P2" s="67" t="n"/>
      <c r="Q2" s="67" t="n"/>
      <c r="R2" s="67" t="n"/>
      <c r="S2" s="67" t="n"/>
      <c r="T2" s="66" t="n"/>
      <c r="U2" s="66" t="n"/>
      <c r="V2" s="66" t="n"/>
      <c r="W2" s="66" t="n"/>
      <c r="X2" s="66" t="n"/>
      <c r="Y2" s="66" t="n"/>
      <c r="Z2" s="66" t="n"/>
      <c r="AA2" s="66" t="n"/>
    </row>
    <row r="3">
      <c r="B3" s="68" t="n"/>
      <c r="C3" s="205" t="n"/>
      <c r="D3" s="205" t="n"/>
      <c r="H3" s="205" t="n"/>
      <c r="L3" s="205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</row>
    <row r="4">
      <c r="B4" s="68" t="n"/>
      <c r="C4" s="70" t="n"/>
      <c r="D4" s="71" t="n"/>
      <c r="E4" s="71" t="n"/>
      <c r="F4" s="71" t="n"/>
      <c r="G4" s="71" t="n"/>
      <c r="H4" s="71" t="n"/>
      <c r="I4" s="71" t="n"/>
      <c r="J4" s="71" t="n"/>
      <c r="K4" s="71" t="n"/>
      <c r="L4" s="72" t="n"/>
      <c r="M4" s="72" t="n"/>
      <c r="N4" s="72" t="n"/>
      <c r="O4" s="72" t="n"/>
      <c r="P4" s="71" t="n"/>
      <c r="Q4" s="71" t="n"/>
      <c r="R4" s="71" t="n"/>
      <c r="S4" s="71" t="n"/>
      <c r="T4" s="66" t="n"/>
      <c r="U4" s="66" t="n"/>
      <c r="V4" s="66" t="n"/>
      <c r="W4" s="66" t="n"/>
      <c r="X4" s="66" t="n"/>
      <c r="Y4" s="66" t="n"/>
      <c r="Z4" s="66" t="n"/>
      <c r="AA4" s="66" t="n"/>
    </row>
    <row r="5">
      <c r="B5" s="68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</row>
    <row r="6">
      <c r="B6" s="109" t="n"/>
      <c r="C6" s="110" t="n"/>
      <c r="D6" s="206" t="inlineStr">
        <is>
          <t>Financial Data</t>
        </is>
      </c>
      <c r="E6" s="259" t="n"/>
      <c r="F6" s="259" t="n"/>
      <c r="G6" s="259" t="n"/>
      <c r="H6" s="259" t="n"/>
      <c r="I6" s="259" t="n"/>
      <c r="J6" s="259" t="n"/>
      <c r="K6" s="259" t="n"/>
      <c r="L6" s="259" t="n"/>
      <c r="M6" s="259" t="n"/>
      <c r="N6" s="259" t="n"/>
      <c r="O6" s="259" t="n"/>
      <c r="P6" s="117" t="inlineStr">
        <is>
          <t>Valuation</t>
        </is>
      </c>
      <c r="Q6" s="111" t="n"/>
      <c r="R6" s="112" t="n"/>
      <c r="S6" s="112" t="n"/>
      <c r="T6" s="113" t="n"/>
      <c r="U6" s="113" t="n"/>
      <c r="V6" s="113" t="n"/>
      <c r="W6" s="113" t="n"/>
      <c r="X6" s="113" t="n"/>
      <c r="Y6" s="113" t="n"/>
      <c r="Z6" s="113" t="n"/>
      <c r="AA6" s="114" t="n"/>
    </row>
    <row r="7">
      <c r="B7" s="115" t="n"/>
      <c r="C7" s="116" t="inlineStr">
        <is>
          <t>EV</t>
        </is>
      </c>
      <c r="D7" s="260" t="inlineStr">
        <is>
          <t>EBITDA</t>
        </is>
      </c>
      <c r="E7" s="261" t="n"/>
      <c r="F7" s="261" t="n"/>
      <c r="G7" s="262" t="n"/>
      <c r="H7" s="260" t="inlineStr">
        <is>
          <t>Revenue</t>
        </is>
      </c>
      <c r="I7" s="261" t="n"/>
      <c r="J7" s="261" t="n"/>
      <c r="K7" s="262" t="n"/>
      <c r="L7" s="260" t="inlineStr">
        <is>
          <t>EBIT</t>
        </is>
      </c>
      <c r="M7" s="261" t="n"/>
      <c r="N7" s="261" t="n"/>
      <c r="O7" s="262" t="n"/>
      <c r="P7" s="117" t="inlineStr">
        <is>
          <t>EV/EBITDA</t>
        </is>
      </c>
      <c r="Q7" s="112" t="n"/>
      <c r="R7" s="118" t="n"/>
      <c r="S7" s="119" t="n"/>
      <c r="T7" s="120" t="inlineStr">
        <is>
          <t>EV/Revenue</t>
        </is>
      </c>
      <c r="U7" s="118" t="n"/>
      <c r="V7" s="118" t="n"/>
      <c r="W7" s="119" t="n"/>
      <c r="X7" s="120" t="inlineStr">
        <is>
          <t>EV/EBIT</t>
        </is>
      </c>
      <c r="Y7" s="118" t="n"/>
      <c r="Z7" s="118" t="n"/>
      <c r="AA7" s="119" t="n"/>
    </row>
    <row r="8">
      <c r="B8" s="115" t="inlineStr">
        <is>
          <t>Company Name</t>
        </is>
      </c>
      <c r="C8" s="82" t="n"/>
      <c r="D8" s="83" t="inlineStr">
        <is>
          <t>(€M)</t>
        </is>
      </c>
      <c r="E8" s="84" t="n"/>
      <c r="F8" s="84" t="n"/>
      <c r="G8" s="85" t="n"/>
      <c r="H8" s="83" t="inlineStr">
        <is>
          <t>(€M)</t>
        </is>
      </c>
      <c r="I8" s="86" t="n"/>
      <c r="J8" s="86" t="n"/>
      <c r="K8" s="87" t="n"/>
      <c r="L8" s="83" t="inlineStr">
        <is>
          <t>(€M)</t>
        </is>
      </c>
      <c r="M8" s="88" t="n"/>
      <c r="N8" s="88" t="n"/>
      <c r="O8" s="89" t="n"/>
      <c r="P8" s="90" t="inlineStr">
        <is>
          <t>x</t>
        </is>
      </c>
      <c r="Q8" s="91" t="n"/>
      <c r="R8" s="91" t="n"/>
      <c r="S8" s="92" t="n"/>
      <c r="T8" s="121" t="inlineStr">
        <is>
          <t>x</t>
        </is>
      </c>
      <c r="U8" s="122" t="n"/>
      <c r="V8" s="122" t="n"/>
      <c r="W8" s="123" t="n"/>
      <c r="X8" s="121" t="inlineStr">
        <is>
          <t>x</t>
        </is>
      </c>
      <c r="Y8" s="122" t="n"/>
      <c r="Z8" s="122" t="n"/>
      <c r="AA8" s="123" t="n"/>
    </row>
    <row r="9">
      <c r="B9" s="124" t="n"/>
      <c r="C9" s="93" t="inlineStr">
        <is>
          <t>(€M)</t>
        </is>
      </c>
      <c r="D9" s="94" t="inlineStr">
        <is>
          <t>LFY</t>
        </is>
      </c>
      <c r="E9" s="95" t="inlineStr">
        <is>
          <t>LTM</t>
        </is>
      </c>
      <c r="F9" s="95" t="inlineStr">
        <is>
          <t>FY+1</t>
        </is>
      </c>
      <c r="G9" s="96" t="inlineStr">
        <is>
          <t>FY+2</t>
        </is>
      </c>
      <c r="H9" s="94" t="inlineStr">
        <is>
          <t>LFY</t>
        </is>
      </c>
      <c r="I9" s="95" t="inlineStr">
        <is>
          <t>LTM</t>
        </is>
      </c>
      <c r="J9" s="95" t="inlineStr">
        <is>
          <t>FY+1</t>
        </is>
      </c>
      <c r="K9" s="96" t="inlineStr">
        <is>
          <t>FY+2</t>
        </is>
      </c>
      <c r="L9" s="94" t="inlineStr">
        <is>
          <t>LFY</t>
        </is>
      </c>
      <c r="M9" s="95" t="inlineStr">
        <is>
          <t>LTM</t>
        </is>
      </c>
      <c r="N9" s="95" t="inlineStr">
        <is>
          <t>FY+1</t>
        </is>
      </c>
      <c r="O9" s="96" t="inlineStr">
        <is>
          <t>FY+2</t>
        </is>
      </c>
      <c r="P9" s="97" t="inlineStr">
        <is>
          <t>LFY</t>
        </is>
      </c>
      <c r="Q9" s="97" t="inlineStr">
        <is>
          <t>LTM</t>
        </is>
      </c>
      <c r="R9" s="97" t="inlineStr">
        <is>
          <t>FY+1</t>
        </is>
      </c>
      <c r="S9" s="98" t="inlineStr">
        <is>
          <t>FY+2</t>
        </is>
      </c>
      <c r="T9" s="99" t="inlineStr">
        <is>
          <t>LFY</t>
        </is>
      </c>
      <c r="U9" s="97" t="inlineStr">
        <is>
          <t>LTM</t>
        </is>
      </c>
      <c r="V9" s="97" t="inlineStr">
        <is>
          <t>FY+1</t>
        </is>
      </c>
      <c r="W9" s="98" t="inlineStr">
        <is>
          <t>FY+2</t>
        </is>
      </c>
      <c r="X9" s="99" t="inlineStr">
        <is>
          <t>LFY</t>
        </is>
      </c>
      <c r="Y9" s="97" t="inlineStr">
        <is>
          <t>LTM</t>
        </is>
      </c>
      <c r="Z9" s="97" t="inlineStr">
        <is>
          <t>FY+1</t>
        </is>
      </c>
      <c r="AA9" s="98" t="inlineStr">
        <is>
          <t>FY+2</t>
        </is>
      </c>
    </row>
    <row r="10">
      <c r="B10" s="33" t="inlineStr">
        <is>
          <t>Daimler Truck</t>
        </is>
      </c>
      <c r="C10" s="170" t="n">
        <v>24731</v>
      </c>
      <c r="D10" s="164" t="n">
        <v>4403</v>
      </c>
      <c r="E10" s="164" t="n">
        <v>4049</v>
      </c>
      <c r="F10" s="164" t="n">
        <v>4643</v>
      </c>
      <c r="G10" s="165" t="n">
        <v>5850</v>
      </c>
      <c r="H10" s="164" t="n">
        <v>45530</v>
      </c>
      <c r="I10" s="164" t="n">
        <v>44003</v>
      </c>
      <c r="J10" s="164" t="n">
        <v>48727</v>
      </c>
      <c r="K10" s="165" t="n">
        <v>52634</v>
      </c>
      <c r="L10" s="164" t="n">
        <v>3328</v>
      </c>
      <c r="M10" s="164" t="n">
        <v>3015</v>
      </c>
      <c r="N10" s="164" t="n">
        <v>3551</v>
      </c>
      <c r="O10" s="164" t="n">
        <v>4695</v>
      </c>
      <c r="P10" s="263">
        <f>$C$10/D10</f>
        <v/>
      </c>
      <c r="Q10" s="264">
        <f>$C$10/E10</f>
        <v/>
      </c>
      <c r="R10" s="264">
        <f>$C$10/F10</f>
        <v/>
      </c>
      <c r="S10" s="265">
        <f>$C$10/G10</f>
        <v/>
      </c>
      <c r="T10" s="264">
        <f>$C$10/H10</f>
        <v/>
      </c>
      <c r="U10" s="264">
        <f>$C$10/I10</f>
        <v/>
      </c>
      <c r="V10" s="264">
        <f>$C$10/J10</f>
        <v/>
      </c>
      <c r="W10" s="265">
        <f>$C$10/K10</f>
        <v/>
      </c>
      <c r="X10" s="264">
        <f>$C$10/L10</f>
        <v/>
      </c>
      <c r="Y10" s="264">
        <f>$C$10/M10</f>
        <v/>
      </c>
      <c r="Z10" s="264">
        <f>$C$10/N10</f>
        <v/>
      </c>
      <c r="AA10" s="265">
        <f>$C$10/O10</f>
        <v/>
      </c>
    </row>
    <row r="11">
      <c r="B11" s="16" t="inlineStr">
        <is>
          <t>Volvo</t>
        </is>
      </c>
      <c r="C11" s="171" t="n">
        <v>639956</v>
      </c>
      <c r="D11" s="166" t="n">
        <v>75872</v>
      </c>
      <c r="E11" s="166" t="n">
        <v>69470</v>
      </c>
      <c r="F11" s="166" t="n">
        <v>78548</v>
      </c>
      <c r="G11" s="167" t="n">
        <v>88038</v>
      </c>
      <c r="H11" s="166" t="n">
        <v>479183</v>
      </c>
      <c r="I11" s="166" t="n">
        <v>468156</v>
      </c>
      <c r="J11" s="166" t="n">
        <v>491731</v>
      </c>
      <c r="K11" s="167" t="n">
        <v>528276</v>
      </c>
      <c r="L11" s="166" t="n">
        <v>53846</v>
      </c>
      <c r="M11" s="166" t="n">
        <v>45858</v>
      </c>
      <c r="N11" s="166" t="n">
        <v>56412</v>
      </c>
      <c r="O11" s="167" t="n">
        <v>66785</v>
      </c>
      <c r="P11" s="266">
        <f>$C$11/D11</f>
        <v/>
      </c>
      <c r="Q11" s="266">
        <f>$C$11/E11</f>
        <v/>
      </c>
      <c r="R11" s="266">
        <f>$C$11/F11</f>
        <v/>
      </c>
      <c r="S11" s="267">
        <f>$C$11/G11</f>
        <v/>
      </c>
      <c r="T11" s="266">
        <f>$C$11/H11</f>
        <v/>
      </c>
      <c r="U11" s="266">
        <f>$C$11/I11</f>
        <v/>
      </c>
      <c r="V11" s="266">
        <f>$C$11/J11</f>
        <v/>
      </c>
      <c r="W11" s="267">
        <f>$C$11/K11</f>
        <v/>
      </c>
      <c r="X11" s="266">
        <f>$C$11/L11</f>
        <v/>
      </c>
      <c r="Y11" s="266">
        <f>$C$11/M11</f>
        <v/>
      </c>
      <c r="Z11" s="266">
        <f>$C$11/N11</f>
        <v/>
      </c>
      <c r="AA11" s="267">
        <f>$C$11/O11</f>
        <v/>
      </c>
    </row>
    <row r="12">
      <c r="B12" s="64" t="inlineStr">
        <is>
          <t>Traton (ref)</t>
        </is>
      </c>
      <c r="C12" s="180" t="n">
        <v>21129</v>
      </c>
      <c r="D12" s="168" t="n">
        <v>5966</v>
      </c>
      <c r="E12" s="168" t="n">
        <v>6072</v>
      </c>
      <c r="F12" s="168" t="n">
        <v>5719</v>
      </c>
      <c r="G12" s="169" t="n">
        <v>6723</v>
      </c>
      <c r="H12" s="168" t="n">
        <v>44051</v>
      </c>
      <c r="I12" s="168" t="n">
        <v>43675</v>
      </c>
      <c r="J12" s="168" t="n">
        <v>45897</v>
      </c>
      <c r="K12" s="169" t="n">
        <v>48970</v>
      </c>
      <c r="L12" s="168" t="n">
        <v>2819</v>
      </c>
      <c r="M12" s="168" t="n">
        <v>2731</v>
      </c>
      <c r="N12" s="168" t="n">
        <v>3049</v>
      </c>
      <c r="O12" s="169" t="n">
        <v>3986</v>
      </c>
      <c r="P12" s="268">
        <f>$C$12/D12</f>
        <v/>
      </c>
      <c r="Q12" s="268">
        <f>$C$12/E12</f>
        <v/>
      </c>
      <c r="R12" s="268">
        <f>$C$12/F12</f>
        <v/>
      </c>
      <c r="S12" s="269">
        <f>$C$12/G12</f>
        <v/>
      </c>
      <c r="T12" s="268">
        <f>$C$12/H12</f>
        <v/>
      </c>
      <c r="U12" s="268">
        <f>$C$12/I12</f>
        <v/>
      </c>
      <c r="V12" s="268">
        <f>$C$12/J12</f>
        <v/>
      </c>
      <c r="W12" s="269">
        <f>$C$12/K12</f>
        <v/>
      </c>
      <c r="X12" s="268">
        <f>$C$12/L12</f>
        <v/>
      </c>
      <c r="Y12" s="268">
        <f>$C$12/M12</f>
        <v/>
      </c>
      <c r="Z12" s="268">
        <f>$C$12/N12</f>
        <v/>
      </c>
      <c r="AA12" s="269">
        <f>$C$12/O12</f>
        <v/>
      </c>
    </row>
    <row r="13">
      <c r="B13" s="14" t="n"/>
      <c r="C13" s="166" t="n"/>
      <c r="D13" s="166" t="n"/>
      <c r="E13" s="166" t="n"/>
      <c r="F13" s="166" t="n"/>
      <c r="G13" s="166" t="n"/>
      <c r="H13" s="166" t="n"/>
      <c r="I13" s="166" t="n"/>
      <c r="J13" s="166" t="n"/>
      <c r="K13" s="166" t="n"/>
      <c r="L13" s="166" t="n"/>
      <c r="M13" s="166" t="n"/>
      <c r="N13" s="166" t="n"/>
      <c r="O13" s="166" t="n"/>
      <c r="P13" s="266" t="n"/>
      <c r="Q13" s="266" t="n"/>
      <c r="R13" s="266" t="n"/>
      <c r="S13" s="266" t="n"/>
      <c r="T13" s="266" t="n"/>
      <c r="U13" s="266" t="n"/>
      <c r="V13" s="266" t="n"/>
      <c r="W13" s="266" t="n"/>
      <c r="X13" s="266" t="n"/>
      <c r="Y13" s="266" t="n"/>
      <c r="Z13" s="266" t="n"/>
      <c r="AA13" s="266" t="n"/>
    </row>
    <row r="14">
      <c r="B14" s="109" t="n"/>
      <c r="C14" s="110" t="n"/>
      <c r="D14" s="151" t="inlineStr">
        <is>
          <t>Financial Data</t>
        </is>
      </c>
      <c r="E14" s="151" t="n"/>
      <c r="F14" s="151" t="n"/>
      <c r="G14" s="151" t="n"/>
      <c r="H14" s="152" t="n"/>
      <c r="I14" s="152" t="n"/>
      <c r="J14" s="152" t="n"/>
      <c r="K14" s="153" t="n"/>
      <c r="L14" s="154" t="n"/>
      <c r="M14" s="152" t="n"/>
      <c r="N14" s="152" t="n"/>
      <c r="O14" s="152" t="n"/>
      <c r="P14" s="117" t="inlineStr">
        <is>
          <t>Implied Enterprise value</t>
        </is>
      </c>
      <c r="Q14" s="111" t="n"/>
      <c r="R14" s="111" t="n"/>
      <c r="S14" s="155" t="n"/>
      <c r="T14" s="122" t="n"/>
      <c r="U14" s="122" t="n"/>
      <c r="V14" s="122" t="n"/>
      <c r="W14" s="122" t="n"/>
      <c r="X14" s="122" t="n"/>
      <c r="Y14" s="122" t="n"/>
      <c r="Z14" s="122" t="n"/>
      <c r="AA14" s="123" t="n"/>
    </row>
    <row r="15">
      <c r="B15" s="126" t="n"/>
      <c r="C15" s="116" t="inlineStr">
        <is>
          <t>EV</t>
        </is>
      </c>
      <c r="D15" s="127" t="inlineStr">
        <is>
          <t>EBITDA</t>
        </is>
      </c>
      <c r="E15" s="125" t="n"/>
      <c r="F15" s="125" t="n"/>
      <c r="G15" s="128" t="n"/>
      <c r="H15" s="127" t="inlineStr">
        <is>
          <t>Revenue</t>
        </is>
      </c>
      <c r="I15" s="125" t="n"/>
      <c r="J15" s="125" t="n"/>
      <c r="K15" s="128" t="n"/>
      <c r="L15" s="127" t="inlineStr">
        <is>
          <t>EBIT</t>
        </is>
      </c>
      <c r="M15" s="125" t="n"/>
      <c r="N15" s="125" t="n"/>
      <c r="O15" s="128" t="n"/>
      <c r="P15" s="117" t="inlineStr">
        <is>
          <t>EV/EBITDA</t>
        </is>
      </c>
      <c r="Q15" s="112" t="n"/>
      <c r="R15" s="112" t="n"/>
      <c r="S15" s="155" t="n"/>
      <c r="T15" s="117" t="inlineStr">
        <is>
          <t>EV/Revenue</t>
        </is>
      </c>
      <c r="U15" s="112" t="n"/>
      <c r="V15" s="112" t="n"/>
      <c r="W15" s="155" t="n"/>
      <c r="X15" s="117" t="inlineStr">
        <is>
          <t>EV/EBIT</t>
        </is>
      </c>
      <c r="Y15" s="112" t="n"/>
      <c r="Z15" s="112" t="n"/>
      <c r="AA15" s="155" t="n"/>
    </row>
    <row r="16">
      <c r="B16" s="115" t="inlineStr">
        <is>
          <t>Company Name</t>
        </is>
      </c>
      <c r="C16" s="82" t="n"/>
      <c r="D16" s="83" t="inlineStr">
        <is>
          <t>(€M)</t>
        </is>
      </c>
      <c r="E16" s="84" t="n"/>
      <c r="F16" s="84" t="n"/>
      <c r="G16" s="85" t="n"/>
      <c r="H16" s="83" t="inlineStr">
        <is>
          <t>(€M)</t>
        </is>
      </c>
      <c r="I16" s="86" t="n"/>
      <c r="J16" s="86" t="n"/>
      <c r="K16" s="87" t="n"/>
      <c r="L16" s="83" t="inlineStr">
        <is>
          <t>(€M)</t>
        </is>
      </c>
      <c r="M16" s="84" t="n"/>
      <c r="N16" s="84" t="n"/>
      <c r="O16" s="85" t="n"/>
      <c r="P16" s="90" t="inlineStr">
        <is>
          <t>x</t>
        </is>
      </c>
      <c r="Q16" s="91" t="n"/>
      <c r="R16" s="91" t="n"/>
      <c r="S16" s="92" t="n"/>
      <c r="T16" s="121" t="inlineStr">
        <is>
          <t>x</t>
        </is>
      </c>
      <c r="U16" s="122" t="n"/>
      <c r="V16" s="122" t="n"/>
      <c r="W16" s="123" t="n"/>
      <c r="X16" s="121" t="inlineStr">
        <is>
          <t>x</t>
        </is>
      </c>
      <c r="Y16" s="122" t="n"/>
      <c r="Z16" s="122" t="n"/>
      <c r="AA16" s="123" t="n"/>
    </row>
    <row r="17">
      <c r="B17" s="129" t="n"/>
      <c r="C17" s="93" t="inlineStr">
        <is>
          <t>(€M)</t>
        </is>
      </c>
      <c r="D17" s="94" t="inlineStr">
        <is>
          <t>LFY</t>
        </is>
      </c>
      <c r="E17" s="95" t="inlineStr">
        <is>
          <t>LTM</t>
        </is>
      </c>
      <c r="F17" s="95" t="inlineStr">
        <is>
          <t>FY+1</t>
        </is>
      </c>
      <c r="G17" s="96" t="inlineStr">
        <is>
          <t>FY+2</t>
        </is>
      </c>
      <c r="H17" s="94" t="inlineStr">
        <is>
          <t>LFY</t>
        </is>
      </c>
      <c r="I17" s="95" t="inlineStr">
        <is>
          <t>LTM</t>
        </is>
      </c>
      <c r="J17" s="95" t="inlineStr">
        <is>
          <t>FY+1</t>
        </is>
      </c>
      <c r="K17" s="96" t="inlineStr">
        <is>
          <t>FY+2</t>
        </is>
      </c>
      <c r="L17" s="94" t="inlineStr">
        <is>
          <t>LFY</t>
        </is>
      </c>
      <c r="M17" s="95" t="inlineStr">
        <is>
          <t>LTM</t>
        </is>
      </c>
      <c r="N17" s="95" t="inlineStr">
        <is>
          <t>FY+1</t>
        </is>
      </c>
      <c r="O17" s="96" t="inlineStr">
        <is>
          <t>FY+2</t>
        </is>
      </c>
      <c r="P17" s="97" t="inlineStr">
        <is>
          <t>LFY</t>
        </is>
      </c>
      <c r="Q17" s="97" t="inlineStr">
        <is>
          <t>LTM</t>
        </is>
      </c>
      <c r="R17" s="97" t="inlineStr">
        <is>
          <t>FY+1</t>
        </is>
      </c>
      <c r="S17" s="98" t="inlineStr">
        <is>
          <t>FY+2</t>
        </is>
      </c>
      <c r="T17" s="99" t="inlineStr">
        <is>
          <t>LFY</t>
        </is>
      </c>
      <c r="U17" s="97" t="inlineStr">
        <is>
          <t>LTM</t>
        </is>
      </c>
      <c r="V17" s="97" t="inlineStr">
        <is>
          <t>FY+1</t>
        </is>
      </c>
      <c r="W17" s="98" t="inlineStr">
        <is>
          <t>FY+2</t>
        </is>
      </c>
      <c r="X17" s="99" t="inlineStr">
        <is>
          <t>LFY</t>
        </is>
      </c>
      <c r="Y17" s="97" t="inlineStr">
        <is>
          <t>LTM</t>
        </is>
      </c>
      <c r="Z17" s="97" t="inlineStr">
        <is>
          <t>FY+1</t>
        </is>
      </c>
      <c r="AA17" s="98" t="inlineStr">
        <is>
          <t>FY+2</t>
        </is>
      </c>
    </row>
    <row r="18">
      <c r="B18" s="64" t="inlineStr">
        <is>
          <t>Traton</t>
        </is>
      </c>
      <c r="C18" s="193" t="n">
        <v>21129</v>
      </c>
      <c r="D18" s="168" t="n">
        <v>5966</v>
      </c>
      <c r="E18" s="168" t="n">
        <v>6072</v>
      </c>
      <c r="F18" s="168" t="n">
        <v>5719</v>
      </c>
      <c r="G18" s="194" t="n">
        <v>6723</v>
      </c>
      <c r="H18" s="168" t="n">
        <v>44051</v>
      </c>
      <c r="I18" s="168" t="n">
        <v>43675</v>
      </c>
      <c r="J18" s="168" t="n">
        <v>45897</v>
      </c>
      <c r="K18" s="194" t="n">
        <v>48970</v>
      </c>
      <c r="L18" s="168" t="n">
        <v>2819</v>
      </c>
      <c r="M18" s="168" t="n">
        <v>2731</v>
      </c>
      <c r="N18" s="168" t="n">
        <v>3049</v>
      </c>
      <c r="O18" s="194" t="n">
        <v>3986</v>
      </c>
      <c r="P18" s="270">
        <f>MEDIAN(P10:P11)*D18</f>
        <v/>
      </c>
      <c r="Q18" s="271">
        <f>MEDIAN(Q10:Q11)*E18</f>
        <v/>
      </c>
      <c r="R18" s="271">
        <f>MEDIAN(R10:R11)*F18</f>
        <v/>
      </c>
      <c r="S18" s="272">
        <f>MEDIAN(S10:S11)*G18</f>
        <v/>
      </c>
      <c r="T18" s="271">
        <f>MEDIAN(T10:T11)*H18</f>
        <v/>
      </c>
      <c r="U18" s="271">
        <f>MEDIAN(U10:U11)*I18</f>
        <v/>
      </c>
      <c r="V18" s="271">
        <f>MEDIAN(V10:V11)*J18</f>
        <v/>
      </c>
      <c r="W18" s="272">
        <f>MEDIAN(W10:W11)*K18</f>
        <v/>
      </c>
      <c r="X18" s="271">
        <f>MEDIAN(X10:X11)*L18</f>
        <v/>
      </c>
      <c r="Y18" s="271">
        <f>MEDIAN(Y10:Y11)*M18</f>
        <v/>
      </c>
      <c r="Z18" s="271">
        <f>MEDIAN(Z10:Z11)*N18</f>
        <v/>
      </c>
      <c r="AA18" s="272">
        <f>MEDIAN(AA10:AA11)*O18</f>
        <v/>
      </c>
    </row>
    <row r="19">
      <c r="B19" s="14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14" t="n"/>
      <c r="Y19" s="14" t="n"/>
      <c r="Z19" s="14" t="n"/>
      <c r="AA19" s="14" t="n"/>
    </row>
    <row r="20">
      <c r="B20" s="148" t="inlineStr">
        <is>
          <t>Comparison: Company vs. Peer Group</t>
        </is>
      </c>
      <c r="C20" s="14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14" t="n"/>
      <c r="Y20" s="14" t="n"/>
      <c r="Z20" s="14" t="n"/>
      <c r="AA20" s="14" t="n"/>
    </row>
    <row r="21">
      <c r="B21" s="142" t="n"/>
      <c r="C21" s="172" t="inlineStr">
        <is>
          <t>EV</t>
        </is>
      </c>
      <c r="D21" s="149" t="inlineStr">
        <is>
          <t>EBITDA</t>
        </is>
      </c>
      <c r="E21" s="149" t="n"/>
      <c r="F21" s="149" t="n"/>
      <c r="G21" s="149" t="n"/>
      <c r="H21" s="149" t="inlineStr">
        <is>
          <t>Revenue</t>
        </is>
      </c>
      <c r="I21" s="149" t="n"/>
      <c r="J21" s="149" t="n"/>
      <c r="K21" s="149" t="n"/>
      <c r="L21" s="149" t="inlineStr">
        <is>
          <t>EBIT</t>
        </is>
      </c>
      <c r="M21" s="149" t="n"/>
      <c r="N21" s="149" t="n"/>
      <c r="O21" s="149" t="n"/>
      <c r="P21" s="150" t="inlineStr">
        <is>
          <t>EV/EBITDA</t>
        </is>
      </c>
      <c r="Q21" s="150" t="n"/>
      <c r="R21" s="150" t="n"/>
      <c r="S21" s="150" t="n"/>
      <c r="T21" s="150" t="inlineStr">
        <is>
          <t>EV/Revenue</t>
        </is>
      </c>
      <c r="U21" s="150" t="n"/>
      <c r="V21" s="150" t="n"/>
      <c r="W21" s="150" t="n"/>
      <c r="X21" s="150" t="inlineStr">
        <is>
          <t>EV/EBIT</t>
        </is>
      </c>
      <c r="Y21" s="150" t="n"/>
      <c r="Z21" s="150" t="n"/>
      <c r="AA21" s="150" t="n"/>
    </row>
    <row r="22">
      <c r="B22" s="144" t="inlineStr">
        <is>
          <t>Traton</t>
        </is>
      </c>
      <c r="C22" s="177" t="n"/>
      <c r="D22" s="191" t="n"/>
      <c r="E22" s="173" t="n"/>
      <c r="F22" s="173" t="n"/>
      <c r="G22" s="174" t="n"/>
      <c r="H22" s="173" t="n"/>
      <c r="I22" s="173" t="n"/>
      <c r="J22" s="173" t="n"/>
      <c r="K22" s="174" t="n"/>
      <c r="L22" s="173" t="n"/>
      <c r="M22" s="173" t="n"/>
      <c r="N22" s="173" t="n"/>
      <c r="O22" s="174" t="n"/>
      <c r="P22" s="271">
        <f>P12</f>
        <v/>
      </c>
      <c r="Q22" s="271">
        <f>Q12</f>
        <v/>
      </c>
      <c r="R22" s="271">
        <f>R12</f>
        <v/>
      </c>
      <c r="S22" s="272">
        <f>S12</f>
        <v/>
      </c>
      <c r="T22" s="270">
        <f>T12</f>
        <v/>
      </c>
      <c r="U22" s="271">
        <f>U12</f>
        <v/>
      </c>
      <c r="V22" s="271">
        <f>V12</f>
        <v/>
      </c>
      <c r="W22" s="272">
        <f>W12</f>
        <v/>
      </c>
      <c r="X22" s="270">
        <f>X12</f>
        <v/>
      </c>
      <c r="Y22" s="271">
        <f>Y12</f>
        <v/>
      </c>
      <c r="Z22" s="271">
        <f>Z12</f>
        <v/>
      </c>
      <c r="AA22" s="272">
        <f>AA12</f>
        <v/>
      </c>
    </row>
    <row r="23">
      <c r="B23" s="145" t="inlineStr">
        <is>
          <t>Quartile 1</t>
        </is>
      </c>
      <c r="C23" s="192" t="n"/>
      <c r="D23" s="13" t="n"/>
      <c r="E23" s="13" t="n"/>
      <c r="F23" s="13" t="n"/>
      <c r="G23" s="187" t="n"/>
      <c r="H23" s="13" t="n"/>
      <c r="I23" s="13" t="n"/>
      <c r="J23" s="13" t="n"/>
      <c r="K23" s="187" t="n"/>
      <c r="L23" s="13" t="n"/>
      <c r="M23" s="13" t="n"/>
      <c r="N23" s="13" t="n"/>
      <c r="O23" s="187" t="n"/>
      <c r="P23" s="266">
        <f>QUARTILE(P10:P11,1)</f>
        <v/>
      </c>
      <c r="Q23" s="266">
        <f>QUARTILE(Q10:Q11,1)</f>
        <v/>
      </c>
      <c r="R23" s="266">
        <f>QUARTILE(R10:R11,1)</f>
        <v/>
      </c>
      <c r="S23" s="265">
        <f>QUARTILE(S10:S11,1)</f>
        <v/>
      </c>
      <c r="T23" s="266">
        <f>QUARTILE(T10:T11,1)</f>
        <v/>
      </c>
      <c r="U23" s="266">
        <f>QUARTILE(U10:U11,1)</f>
        <v/>
      </c>
      <c r="V23" s="266">
        <f>QUARTILE(V10:V11,1)</f>
        <v/>
      </c>
      <c r="W23" s="265">
        <f>QUARTILE(W10:W11,1)</f>
        <v/>
      </c>
      <c r="X23" s="266">
        <f>QUARTILE(X10:X11,1)</f>
        <v/>
      </c>
      <c r="Y23" s="266">
        <f>QUARTILE(Y10:Y11,1)</f>
        <v/>
      </c>
      <c r="Z23" s="266">
        <f>QUARTILE(Z10:Z11,1)</f>
        <v/>
      </c>
      <c r="AA23" s="265">
        <f>QUARTILE(AA10:AA11,1)</f>
        <v/>
      </c>
    </row>
    <row r="24">
      <c r="B24" s="146" t="inlineStr">
        <is>
          <t>Average</t>
        </is>
      </c>
      <c r="C24" s="178" t="n"/>
      <c r="D24" s="13" t="n"/>
      <c r="E24" s="13" t="n"/>
      <c r="F24" s="13" t="n"/>
      <c r="G24" s="81" t="n"/>
      <c r="H24" s="13" t="n"/>
      <c r="I24" s="13" t="n"/>
      <c r="J24" s="13" t="n"/>
      <c r="K24" s="81" t="n"/>
      <c r="L24" s="13" t="n"/>
      <c r="M24" s="13" t="n"/>
      <c r="N24" s="13" t="n"/>
      <c r="O24" s="81" t="n"/>
      <c r="P24" s="266">
        <f>AVERAGE(P10:P11)</f>
        <v/>
      </c>
      <c r="Q24" s="266">
        <f>AVERAGE(Q10:Q11)</f>
        <v/>
      </c>
      <c r="R24" s="266">
        <f>AVERAGE(R10:R11)</f>
        <v/>
      </c>
      <c r="S24" s="267">
        <f>AVERAGE(S10:S11)</f>
        <v/>
      </c>
      <c r="T24" s="266">
        <f>AVERAGE(T10:T11)</f>
        <v/>
      </c>
      <c r="U24" s="266">
        <f>AVERAGE(U10:U11)</f>
        <v/>
      </c>
      <c r="V24" s="266">
        <f>AVERAGE(V10:V11)</f>
        <v/>
      </c>
      <c r="W24" s="267">
        <f>AVERAGE(W10:W11)</f>
        <v/>
      </c>
      <c r="X24" s="266">
        <f>AVERAGE(X10:X11)</f>
        <v/>
      </c>
      <c r="Y24" s="266">
        <f>AVERAGE(Y10:Y11)</f>
        <v/>
      </c>
      <c r="Z24" s="266">
        <f>AVERAGE(Z10:Z11)</f>
        <v/>
      </c>
      <c r="AA24" s="267">
        <f>AVERAGE(AA10:AA11)</f>
        <v/>
      </c>
    </row>
    <row r="25">
      <c r="B25" s="146" t="inlineStr">
        <is>
          <t>Median</t>
        </is>
      </c>
      <c r="C25" s="178" t="n"/>
      <c r="D25" s="13" t="n"/>
      <c r="E25" s="13" t="n"/>
      <c r="F25" s="13" t="n"/>
      <c r="G25" s="81" t="n"/>
      <c r="H25" s="13" t="n"/>
      <c r="I25" s="13" t="n"/>
      <c r="J25" s="13" t="n"/>
      <c r="K25" s="81" t="n"/>
      <c r="L25" s="13" t="n"/>
      <c r="M25" s="13" t="n"/>
      <c r="N25" s="13" t="n"/>
      <c r="O25" s="81" t="n"/>
      <c r="P25" s="266">
        <f>MEDIAN(P10:P11)</f>
        <v/>
      </c>
      <c r="Q25" s="266">
        <f>MEDIAN(Q10:Q11)</f>
        <v/>
      </c>
      <c r="R25" s="266">
        <f>MEDIAN(R10:R11)</f>
        <v/>
      </c>
      <c r="S25" s="267">
        <f>MEDIAN(S10:S11)</f>
        <v/>
      </c>
      <c r="T25" s="266">
        <f>MEDIAN(T10:T11)</f>
        <v/>
      </c>
      <c r="U25" s="266">
        <f>MEDIAN(U10:U11)</f>
        <v/>
      </c>
      <c r="V25" s="266">
        <f>MEDIAN(V10:V11)</f>
        <v/>
      </c>
      <c r="W25" s="267">
        <f>MEDIAN(W10:W11)</f>
        <v/>
      </c>
      <c r="X25" s="266">
        <f>MEDIAN(X10:X11)</f>
        <v/>
      </c>
      <c r="Y25" s="266">
        <f>MEDIAN(Y10:Y11)</f>
        <v/>
      </c>
      <c r="Z25" s="266">
        <f>MEDIAN(Z10:Z11)</f>
        <v/>
      </c>
      <c r="AA25" s="267">
        <f>MEDIAN(AA10:AA11)</f>
        <v/>
      </c>
    </row>
    <row r="26">
      <c r="B26" s="147" t="inlineStr">
        <is>
          <t>Quartile 3</t>
        </is>
      </c>
      <c r="C26" s="179" t="n"/>
      <c r="D26" s="188" t="n"/>
      <c r="E26" s="190" t="n"/>
      <c r="F26" s="190" t="n"/>
      <c r="G26" s="189" t="n"/>
      <c r="H26" s="190" t="n"/>
      <c r="I26" s="190" t="n"/>
      <c r="J26" s="190" t="n"/>
      <c r="K26" s="189" t="n"/>
      <c r="L26" s="190" t="n"/>
      <c r="M26" s="190" t="n"/>
      <c r="N26" s="190" t="n"/>
      <c r="O26" s="189" t="n"/>
      <c r="P26" s="268">
        <f>QUARTILE(P10:P11,3)</f>
        <v/>
      </c>
      <c r="Q26" s="268">
        <f>QUARTILE(Q10:Q11,3)</f>
        <v/>
      </c>
      <c r="R26" s="268">
        <f>QUARTILE(R10:R11,3)</f>
        <v/>
      </c>
      <c r="S26" s="269">
        <f>QUARTILE(S10:S11,3)</f>
        <v/>
      </c>
      <c r="T26" s="274">
        <f>QUARTILE(T10:T11,3)</f>
        <v/>
      </c>
      <c r="U26" s="268">
        <f>QUARTILE(U10:U11,3)</f>
        <v/>
      </c>
      <c r="V26" s="268">
        <f>QUARTILE(V10:V11,3)</f>
        <v/>
      </c>
      <c r="W26" s="269">
        <f>QUARTILE(W10:W11,3)</f>
        <v/>
      </c>
      <c r="X26" s="274">
        <f>QUARTILE(X10:X11,3)</f>
        <v/>
      </c>
      <c r="Y26" s="268">
        <f>QUARTILE(Y10:Y11,3)</f>
        <v/>
      </c>
      <c r="Z26" s="268">
        <f>QUARTILE(Z10:Z11,3)</f>
        <v/>
      </c>
      <c r="AA26" s="269">
        <f>QUARTILE(AA10:AA11,3)</f>
        <v/>
      </c>
    </row>
    <row r="28">
      <c r="B28" t="inlineStr">
        <is>
          <t>Implied valuation (FY+1 2026E, median peer)</t>
        </is>
      </c>
    </row>
    <row r="29">
      <c r="B29" t="inlineStr">
        <is>
          <t>Method</t>
        </is>
      </c>
      <c r="C29" t="inlineStr">
        <is>
          <t>Implied EV</t>
        </is>
      </c>
      <c r="D29" t="inlineStr">
        <is>
          <t>Implied Equity</t>
        </is>
      </c>
      <c r="E29" t="inlineStr">
        <is>
          <t>Implied Price</t>
        </is>
      </c>
      <c r="F29" t="inlineStr">
        <is>
          <t>Upside</t>
        </is>
      </c>
    </row>
    <row r="30">
      <c r="B30" t="inlineStr">
        <is>
          <t>EV/EBITDA</t>
        </is>
      </c>
      <c r="C30">
        <f>R18</f>
        <v/>
      </c>
      <c r="D30">
        <f>C30-4539-1590-3</f>
        <v/>
      </c>
      <c r="E30">
        <f>D30/500</f>
        <v/>
      </c>
      <c r="F30">
        <f>E30/33.18-1</f>
        <v/>
      </c>
    </row>
    <row r="31">
      <c r="B31" t="inlineStr">
        <is>
          <t>EV/Revenue</t>
        </is>
      </c>
      <c r="C31">
        <f>V18</f>
        <v/>
      </c>
      <c r="D31">
        <f>C31-4539-1590-3</f>
        <v/>
      </c>
      <c r="E31">
        <f>D31/500</f>
        <v/>
      </c>
      <c r="F31">
        <f>E31/33.18-1</f>
        <v/>
      </c>
    </row>
    <row r="32">
      <c r="B32" t="inlineStr">
        <is>
          <t>EV/EBIT</t>
        </is>
      </c>
      <c r="C32">
        <f>Z18</f>
        <v/>
      </c>
      <c r="D32">
        <f>C32-4539-1590-3</f>
        <v/>
      </c>
      <c r="E32">
        <f>D32/500</f>
        <v/>
      </c>
      <c r="F32">
        <f>E32/33.18-1</f>
        <v/>
      </c>
    </row>
  </sheetData>
  <mergeCells count="8">
    <mergeCell ref="D2:O2"/>
    <mergeCell ref="D3:G3"/>
    <mergeCell ref="H3:K3"/>
    <mergeCell ref="L3:O3"/>
    <mergeCell ref="D7:G7"/>
    <mergeCell ref="H7:K7"/>
    <mergeCell ref="L7:O7"/>
    <mergeCell ref="D6:O6"/>
  </mergeCells>
  <pageMargins left="0.7" right="0.7" top="0.787401575" bottom="0.7874015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I3:L9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8"/>
    <col width="26.7109375" bestFit="1" customWidth="1" style="1" min="9" max="9"/>
    <col width="5.5703125" bestFit="1" customWidth="1" style="1" min="10" max="11"/>
    <col width="6.5703125" bestFit="1" customWidth="1" style="1" min="12" max="12"/>
    <col width="11" customWidth="1" style="1" min="13" max="16384"/>
  </cols>
  <sheetData>
    <row r="3">
      <c r="I3" s="1" t="inlineStr">
        <is>
          <t>Valuation method</t>
        </is>
      </c>
      <c r="J3" s="1" t="inlineStr">
        <is>
          <t>low</t>
        </is>
      </c>
      <c r="K3" s="1" t="inlineStr">
        <is>
          <t>diff</t>
        </is>
      </c>
      <c r="L3" s="1" t="inlineStr">
        <is>
          <t>high</t>
        </is>
      </c>
    </row>
    <row r="4">
      <c r="I4" s="1" t="inlineStr">
        <is>
          <t>DCF (WACC 6.9-7.9%)</t>
        </is>
      </c>
      <c r="J4" s="163" t="n">
        <v>55.4</v>
      </c>
      <c r="K4" s="163">
        <f>L4-J4</f>
        <v/>
      </c>
      <c r="L4" s="163" t="n">
        <v>67.40000000000001</v>
      </c>
    </row>
    <row r="5">
      <c r="I5" s="1" t="inlineStr">
        <is>
          <t>EV/EBITDA FY+1 (peer range)</t>
        </is>
      </c>
      <c r="J5" s="163" t="n">
        <v>48.7</v>
      </c>
      <c r="K5" s="163">
        <f>L5-J5</f>
        <v/>
      </c>
      <c r="L5" s="163" t="n">
        <v>80.90000000000001</v>
      </c>
    </row>
    <row r="6">
      <c r="I6" s="1" t="inlineStr">
        <is>
          <t>EV/EBIT FY+1 (peer range)</t>
        </is>
      </c>
      <c r="J6" s="163" t="n">
        <v>30.2</v>
      </c>
      <c r="K6" s="163">
        <f>L6-J6</f>
        <v/>
      </c>
      <c r="L6" s="163" t="n">
        <v>56.9</v>
      </c>
    </row>
    <row r="7">
      <c r="I7" s="1" t="inlineStr">
        <is>
          <t>EV/Revenue FY+1 (peer range)</t>
        </is>
      </c>
      <c r="J7" s="163" t="n">
        <v>34.3</v>
      </c>
      <c r="K7" s="163">
        <f>L7-J7</f>
        <v/>
      </c>
      <c r="L7" s="163" t="n">
        <v>107.2</v>
      </c>
    </row>
    <row r="8">
      <c r="K8" s="163" t="n"/>
      <c r="L8" s="163" t="n"/>
    </row>
    <row r="9">
      <c r="I9" t="inlineStr">
        <is>
          <t>Current price</t>
        </is>
      </c>
      <c r="J9" t="n">
        <v>33.18</v>
      </c>
      <c r="K9" s="163" t="n"/>
      <c r="L9" s="163" t="n"/>
    </row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Arne Reichel</dc:creator>
  <dcterms:created xsi:type="dcterms:W3CDTF">2022-06-26T09:52:18Z</dcterms:created>
  <dcterms:modified xsi:type="dcterms:W3CDTF">2026-07-08T09:47:37Z</dcterms:modified>
  <cp:lastModifiedBy>Edoardo Pilla</cp:lastModifiedBy>
  <cp:lastPrinted>2022-06-27T21:14:51Z</cp:lastPrinted>
</cp:coreProperties>
</file>