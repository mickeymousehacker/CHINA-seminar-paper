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bc5b74bff95d4273/Dokumente/8. Semester/MA/evaluation/Bloomberg Data/"/>
    </mc:Choice>
  </mc:AlternateContent>
  <xr:revisionPtr revIDLastSave="19" documentId="13_ncr:1_{E1A3C89E-3B65-4117-99F0-33D4C4AD6E86}" xr6:coauthVersionLast="47" xr6:coauthVersionMax="47" xr10:uidLastSave="{8EECC341-74FF-4C75-8893-CB268D5F4F7D}"/>
  <bookViews>
    <workbookView xWindow="-108" yWindow="-108" windowWidth="30936" windowHeight="16896" xr2:uid="{00000000-000D-0000-FFFF-FFFF00000000}"/>
  </bookViews>
  <sheets>
    <sheet name="Tearsheet" sheetId="1" r:id="rId1"/>
    <sheet name="Calc Data" sheetId="2" state="hidden" r:id="rId2"/>
    <sheet name="EM Data" sheetId="3" state="hidden" r:id="rId3"/>
    <sheet name="PGEO Data" sheetId="4" state="hidden" r:id="rId4"/>
    <sheet name="Relative Value" sheetId="10" r:id="rId5"/>
    <sheet name="Help" sheetId="8" r:id="rId6"/>
  </sheets>
  <functionGroups builtInGroupCount="19"/>
  <definedNames>
    <definedName name="BB_ALL_PEGO">'PGEO Data'!$I$12:$I$32,'PGEO Data'!$M$13:$M$32,'PGEO Data'!$Q$12:$Q$32,'PGEO Data'!$U$12:$U$32,'PGEO Data'!$X$12:$Y$32,'PGEO Data'!$AC$12:$AC$32,'PGEO Data'!$AG$12:$AG$32,'PGEO Data'!$AK$12:$AK$32,'PGEO Data'!$AO$12:$AO$32,'PGEO Data'!$AS$12:$AS$32,'PGEO Data'!$AW$12:$AW$32,'PGEO Data'!$BA$12:$BA$32,'PGEO Data'!$BE$12:$BE$32,'PGEO Data'!$BI$12</definedName>
    <definedName name="BB_COMP_PERIODS">'Calc Data'!$P$4:$P$8</definedName>
    <definedName name="BB_CONSBASIS">'Calc Data'!$DG$23</definedName>
    <definedName name="BB_CRNCY">Tearsheet!$I$8</definedName>
    <definedName name="BB_CURNCY_TABLE">'Calc Data'!$CS$18:$CU$29</definedName>
    <definedName name="BB_CURRENCY_LIST">'Calc Data'!$CT$18:$CT$29</definedName>
    <definedName name="BB_DISP_ORDER_LIST">'Calc Data'!$CQ$18:$CQ$19</definedName>
    <definedName name="BB_DISP_ORDER_TABLE">'Calc Data'!$CP$18:$CR$19</definedName>
    <definedName name="BB_EM_Q1">'Calc Data'!$A$4</definedName>
    <definedName name="BB_EM_Q2">'Calc Data'!$A$5</definedName>
    <definedName name="BB_EM_Q3">'Calc Data'!$A$6</definedName>
    <definedName name="BB_EM_Q4">'Calc Data'!$A$7</definedName>
    <definedName name="BB_EM_S1">'Calc Data'!$B$4</definedName>
    <definedName name="BB_EM_S2">'Calc Data'!$B$5</definedName>
    <definedName name="BB_FA_STATEMENTS">OFFSET('Calc Data'!$DC$18:$DC$107,0,0,'Calc Data'!$DC$13)</definedName>
    <definedName name="BB_MEASURES">'Calc Data'!$AU$16:$AU$39</definedName>
    <definedName name="BB_NUM_PERIODS">'Calc Data'!$CR$2</definedName>
    <definedName name="BB_ORDER">'Calc Data'!$CR$3</definedName>
    <definedName name="BB_PARENT_CONSOL">'Calc Data'!$DF$1:$DF$2</definedName>
    <definedName name="BB_PERIOD_TABLE">'Calc Data'!$CV$18:$CX$25</definedName>
    <definedName name="BB_PERIODS_LIST">'Calc Data'!$CW$18:$CW$25</definedName>
    <definedName name="BB_Q_COND_RANGE">'EM Data'!$B$75:$AN$75</definedName>
    <definedName name="BB_S_COND_RANGE">'EM Data'!$B$74:$AN$74</definedName>
    <definedName name="BB_SELECT_CURRENCY">'Calc Data'!$CR$4</definedName>
    <definedName name="BB_SELECTED_PERIOD">'Calc Data'!$CR$5</definedName>
    <definedName name="BB_TICKER">'Calc Data'!$B$1</definedName>
    <definedName name="BB_TRA_DATES">OFFSET('Calc Data'!$O$28,0,0,'Calc Data'!$O$26)</definedName>
    <definedName name="BB_TRA_SEC1">OFFSET('Calc Data'!$O$28,0,1,'Calc Data'!$O$26)</definedName>
    <definedName name="BB_TRA_SEC2">OFFSET('Calc Data'!$R$28,0,1,'Calc Data'!$R$26)</definedName>
    <definedName name="BB_TRA_SEC3">OFFSET('Calc Data'!$U$28,0,1,'Calc Data'!$U$26)</definedName>
    <definedName name="BB_Y_COND_RANGE">'EM Data'!$B$73:$AN$73</definedName>
    <definedName name="BDH_OVERRIDES">'Calc Data'!$DF$16:$DF$17</definedName>
    <definedName name="BDH_OVERRIDES_DATA">'Calc Data'!$DG$16:$DG$17</definedName>
    <definedName name="BDP_OVERRIDES">'Calc Data'!$DF$12:$DF$13</definedName>
    <definedName name="BDP_OVERRIDES_DATA">'Calc Data'!$DG$12:$DG$13</definedName>
    <definedName name="BEST_OVERRIDES">'Calc Data'!$DF$8:$DF$9</definedName>
    <definedName name="BEST_OVERRIDES_DATA">'Calc Data'!$DG$8:$DG$9</definedName>
    <definedName name="BLPH1" hidden="1">#REF!</definedName>
    <definedName name="BLPH2" hidden="1">#REF!</definedName>
    <definedName name="BLPH3" hidden="1">#REF!</definedName>
    <definedName name="Country" localSheetId="4">'Relative Value'!$G$12</definedName>
    <definedName name="Country">#REF!</definedName>
    <definedName name="Currency" localSheetId="4">'Relative Value'!$C$13</definedName>
    <definedName name="Currency">#REF!</definedName>
    <definedName name="example1">'Relative Value'!$D$17</definedName>
    <definedName name="example2">'Relative Value'!$D$23</definedName>
    <definedName name="example3">'Relative Value'!$D$33</definedName>
    <definedName name="example4">'Relative Value'!$D$42</definedName>
    <definedName name="F_BEST_RATIO_BDP_OVERRIDES">'Calc Data'!$DG$34</definedName>
    <definedName name="F_RATIO_BDP_OVERRIDES">'Calc Data'!$DF$34</definedName>
    <definedName name="FA_BDH_OVERRIDES">'Calc Data'!$DF$24:$DF$25</definedName>
    <definedName name="FA_BDH_OVERRIDES_DATA">'Calc Data'!$DG$24:$DG$25</definedName>
    <definedName name="FA_BDP_OVERRIDES">'Calc Data'!$DF$28:$DF$29</definedName>
    <definedName name="FA_BDP_OVERRIDES_DATA">'Calc Data'!$DG$28:$DG$29</definedName>
    <definedName name="FieldList" localSheetId="4">'Relative Value'!$D$15:$H$15</definedName>
    <definedName name="FieldList">#REF!</definedName>
    <definedName name="FirstSeries" localSheetId="4">'Relative Value'!$L$19</definedName>
    <definedName name="FirstSeries">#REF!</definedName>
    <definedName name="HLPBRD_IB">Help!$D$140:$R$143</definedName>
    <definedName name="HLPBRD_IR">Help!$S$10:$T$139</definedName>
    <definedName name="HLPBRD_OBR">Help!$U$144:$X$152</definedName>
    <definedName name="INTERVAL_OVERRIDES">'Calc Data'!$DF$20:$DF$21</definedName>
    <definedName name="INTERVAL_OVERRIDES_DATA">'Calc Data'!$DG$20:$DG$21</definedName>
    <definedName name="Price_Vol_Chart_Date">OFFSET('Calc Data'!$I$5,0,0,COUNTA('Calc Data'!$I:$I)-1,1)</definedName>
    <definedName name="Price_Vol_Chart_Price">OFFSET('Calc Data'!$J$5,0,0,COUNTA('Calc Data'!$I:$I)-1,1)</definedName>
    <definedName name="Price_Vol_Chart_Vol">OFFSET('Calc Data'!$K$5,0,0,COUNTA('Calc Data'!$I:$I)-1,1)</definedName>
    <definedName name="RelIndex" localSheetId="4">'Relative Value'!$C$9</definedName>
    <definedName name="RelIndex">#REF!</definedName>
    <definedName name="Sector" localSheetId="4">'Relative Value'!$C$10</definedName>
    <definedName name="Sector">#REF!</definedName>
    <definedName name="Security" localSheetId="4">'Relative Value'!$C$8</definedName>
    <definedName name="Security">#REF!</definedName>
    <definedName name="V_BEST_RATIO_BDP_OVERRIDES">'Calc Data'!$DG$33</definedName>
    <definedName name="V_RATIO_BDP_OVERRIDES">'Calc Data'!$DF$33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 l="1"/>
  <c r="B25" i="2"/>
  <c r="AO12" i="4"/>
  <c r="DA12" i="4" a="1"/>
  <c r="DY12" i="4"/>
  <c r="Q12" i="4"/>
  <c r="AK12" i="4" a="1"/>
  <c r="BM12" i="4"/>
  <c r="AC12" i="4" a="1"/>
  <c r="CW12" i="4" a="1"/>
  <c r="CK12" i="4" a="1"/>
  <c r="DU12" i="4" a="1"/>
  <c r="CC12" i="4" a="1"/>
  <c r="AW12" i="4"/>
  <c r="BI12" i="4" a="1"/>
  <c r="EO12" i="4" a="1"/>
  <c r="BA12" i="4"/>
  <c r="DQ12" i="4" a="1"/>
  <c r="AG12" i="4"/>
  <c r="EG12" i="4" a="1"/>
  <c r="I12" i="4"/>
  <c r="ES12" i="4"/>
  <c r="M12" i="4" a="1"/>
  <c r="EK12" i="4" a="1"/>
  <c r="AS12" i="4" a="1"/>
  <c r="EC12" i="4"/>
  <c r="U12" i="4" a="1"/>
  <c r="BE12" i="4" a="1"/>
  <c r="CO12" i="4" a="1"/>
  <c r="CS12" i="4" a="1"/>
  <c r="CG12" i="4" a="1"/>
  <c r="Y12" i="4" a="1"/>
  <c r="BU12" i="4"/>
  <c r="DM12" i="4" a="1"/>
  <c r="DE12" i="4"/>
  <c r="DI12" i="4" a="1"/>
  <c r="BQ12" i="4"/>
  <c r="D3" i="4"/>
  <c r="BY12" i="4"/>
  <c r="T17" i="2"/>
  <c r="T16" i="2"/>
  <c r="T24" i="2"/>
  <c r="T18" i="2"/>
  <c r="T19" i="2"/>
  <c r="T25" i="2"/>
  <c r="T23" i="2"/>
  <c r="T21" i="2"/>
  <c r="T20" i="2"/>
  <c r="T22" i="2"/>
  <c r="U15" i="2" l="1"/>
  <c r="T15" i="2" s="1"/>
  <c r="ES11" i="4"/>
  <c r="ES10" i="4" s="1"/>
  <c r="EO11" i="4"/>
  <c r="EO10" i="4" s="1"/>
  <c r="EK11" i="4"/>
  <c r="EK10" i="4" s="1"/>
  <c r="EG11" i="4"/>
  <c r="EC11" i="4"/>
  <c r="EC10" i="4" s="1"/>
  <c r="DY11" i="4"/>
  <c r="DY10" i="4" s="1"/>
  <c r="DU11" i="4"/>
  <c r="DU10" i="4" s="1"/>
  <c r="DQ11" i="4"/>
  <c r="DQ10" i="4" s="1"/>
  <c r="DM11" i="4"/>
  <c r="DM10" i="4" s="1"/>
  <c r="DI11" i="4"/>
  <c r="DI10" i="4" s="1"/>
  <c r="DE11" i="4"/>
  <c r="DE10" i="4" s="1"/>
  <c r="DA11" i="4"/>
  <c r="DA10" i="4" s="1"/>
  <c r="CW11" i="4"/>
  <c r="CW10" i="4" s="1"/>
  <c r="CS11" i="4"/>
  <c r="CS10" i="4" s="1"/>
  <c r="CO11" i="4"/>
  <c r="CO10" i="4" s="1"/>
  <c r="CK11" i="4"/>
  <c r="CK10" i="4" s="1"/>
  <c r="CG11" i="4"/>
  <c r="CG10" i="4" s="1"/>
  <c r="CC11" i="4"/>
  <c r="CC10" i="4" s="1"/>
  <c r="BY11" i="4"/>
  <c r="BY10" i="4" s="1"/>
  <c r="BU11" i="4"/>
  <c r="BU10" i="4" s="1"/>
  <c r="BQ11" i="4"/>
  <c r="BQ10" i="4" s="1"/>
  <c r="BM11" i="4"/>
  <c r="BM10" i="4" s="1"/>
  <c r="BI11" i="4"/>
  <c r="BI10" i="4" s="1"/>
  <c r="BE11" i="4"/>
  <c r="BE10" i="4" s="1"/>
  <c r="BA11" i="4"/>
  <c r="BA10" i="4" s="1"/>
  <c r="AW11" i="4"/>
  <c r="AW10" i="4" s="1"/>
  <c r="AS11" i="4"/>
  <c r="AS10" i="4" s="1"/>
  <c r="AO11" i="4"/>
  <c r="AO10" i="4" s="1"/>
  <c r="AK11" i="4"/>
  <c r="AK10" i="4" s="1"/>
  <c r="AG11" i="4"/>
  <c r="AG10" i="4" s="1"/>
  <c r="AC11" i="4"/>
  <c r="AC10" i="4" s="1"/>
  <c r="Y11" i="4"/>
  <c r="Y10" i="4" s="1"/>
  <c r="U11" i="4"/>
  <c r="U10" i="4" s="1"/>
  <c r="Q11" i="4"/>
  <c r="Q10" i="4" s="1"/>
  <c r="M11" i="4"/>
  <c r="M10" i="4" s="1"/>
  <c r="I11" i="4"/>
  <c r="I10" i="4" s="1"/>
  <c r="EG10" i="4"/>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F73" i="3"/>
  <c r="E73" i="3"/>
  <c r="D73" i="3"/>
  <c r="C73" i="3"/>
  <c r="B73" i="3"/>
  <c r="Z60" i="3"/>
  <c r="Y60" i="3"/>
  <c r="X60" i="3"/>
  <c r="W60" i="3"/>
  <c r="Z25" i="3"/>
  <c r="Y25" i="3"/>
  <c r="X25" i="3"/>
  <c r="W25" i="3"/>
  <c r="AN20" i="3"/>
  <c r="AM20" i="3"/>
  <c r="AL20" i="3"/>
  <c r="AK20" i="3"/>
  <c r="AJ20" i="3"/>
  <c r="AI20" i="3"/>
  <c r="AH20" i="3"/>
  <c r="AG20" i="3"/>
  <c r="AF20" i="3"/>
  <c r="AE20" i="3"/>
  <c r="AD20" i="3"/>
  <c r="AC20" i="3"/>
  <c r="AB20" i="3"/>
  <c r="AA20" i="3"/>
  <c r="Z20" i="3"/>
  <c r="Y20" i="3"/>
  <c r="X20" i="3"/>
  <c r="W20" i="3"/>
  <c r="V20" i="3"/>
  <c r="U20" i="3"/>
  <c r="T20" i="3"/>
  <c r="S20" i="3"/>
  <c r="AN19" i="3"/>
  <c r="AM19" i="3"/>
  <c r="AL19" i="3"/>
  <c r="AK19" i="3"/>
  <c r="AJ19" i="3"/>
  <c r="AI19" i="3"/>
  <c r="AH19" i="3"/>
  <c r="AG19" i="3"/>
  <c r="AF19" i="3"/>
  <c r="AE19" i="3"/>
  <c r="AD19" i="3"/>
  <c r="AC19" i="3"/>
  <c r="AB19" i="3"/>
  <c r="AA19" i="3"/>
  <c r="Z19" i="3"/>
  <c r="Y19" i="3"/>
  <c r="X19" i="3"/>
  <c r="W19" i="3"/>
  <c r="V19" i="3"/>
  <c r="U19" i="3"/>
  <c r="T19" i="3"/>
  <c r="S19" i="3"/>
  <c r="BK80" i="2"/>
  <c r="BJ80" i="2"/>
  <c r="BI80" i="2"/>
  <c r="BH80" i="2"/>
  <c r="BG80" i="2"/>
  <c r="BF80" i="2"/>
  <c r="BE80" i="2"/>
  <c r="BD80" i="2"/>
  <c r="BC80" i="2"/>
  <c r="BB80" i="2"/>
  <c r="BA80" i="2"/>
  <c r="AZ80" i="2"/>
  <c r="AY80" i="2"/>
  <c r="AX80" i="2"/>
  <c r="AW80" i="2"/>
  <c r="AV80" i="2"/>
  <c r="BC79" i="2"/>
  <c r="BB79" i="2"/>
  <c r="BA79" i="2"/>
  <c r="AZ79" i="2"/>
  <c r="AY79" i="2"/>
  <c r="AX79" i="2"/>
  <c r="AW79" i="2"/>
  <c r="AV79" i="2"/>
  <c r="AY78" i="2"/>
  <c r="AX78" i="2"/>
  <c r="AW78" i="2"/>
  <c r="AV78" i="2"/>
  <c r="AE52" i="2"/>
  <c r="AD52" i="2"/>
  <c r="AE51" i="2"/>
  <c r="AD51" i="2"/>
  <c r="AE50" i="2"/>
  <c r="AD50" i="2"/>
  <c r="AE49" i="2"/>
  <c r="AD49" i="2"/>
  <c r="AE48" i="2"/>
  <c r="AD48" i="2"/>
  <c r="AE47" i="2"/>
  <c r="AD47" i="2"/>
  <c r="AE46" i="2"/>
  <c r="AD46" i="2"/>
  <c r="AE45" i="2"/>
  <c r="AD45" i="2"/>
  <c r="AE44" i="2"/>
  <c r="AD44" i="2"/>
  <c r="AE43" i="2"/>
  <c r="AD43" i="2"/>
  <c r="AE42" i="2"/>
  <c r="AD42" i="2"/>
  <c r="AE41" i="2"/>
  <c r="AD41" i="2"/>
  <c r="AE40" i="2"/>
  <c r="AD40" i="2"/>
  <c r="D40" i="2"/>
  <c r="C40" i="2"/>
  <c r="AE39" i="2"/>
  <c r="AD39" i="2"/>
  <c r="D39" i="2"/>
  <c r="C39" i="2"/>
  <c r="AE38" i="2"/>
  <c r="AD38" i="2"/>
  <c r="D38" i="2"/>
  <c r="C38" i="2"/>
  <c r="AE37" i="2"/>
  <c r="AD37" i="2"/>
  <c r="D37" i="2"/>
  <c r="C37" i="2"/>
  <c r="AE36" i="2"/>
  <c r="AD36" i="2"/>
  <c r="D36" i="2"/>
  <c r="C36" i="2"/>
  <c r="AE35" i="2"/>
  <c r="AD35" i="2"/>
  <c r="D35" i="2"/>
  <c r="C35" i="2"/>
  <c r="AE34" i="2"/>
  <c r="AD34" i="2"/>
  <c r="D34" i="2"/>
  <c r="C34" i="2"/>
  <c r="DG33" i="2"/>
  <c r="DF33" i="2"/>
  <c r="AE33" i="2"/>
  <c r="AD33" i="2"/>
  <c r="D33" i="2"/>
  <c r="C33" i="2"/>
  <c r="AE32" i="2"/>
  <c r="AD32" i="2"/>
  <c r="D32" i="2"/>
  <c r="C32" i="2"/>
  <c r="AE31" i="2"/>
  <c r="AD31" i="2"/>
  <c r="D31" i="2"/>
  <c r="C31" i="2"/>
  <c r="AE30" i="2"/>
  <c r="AD30" i="2"/>
  <c r="D30" i="2"/>
  <c r="C30" i="2"/>
  <c r="DG29" i="2"/>
  <c r="AE29" i="2"/>
  <c r="AD29" i="2"/>
  <c r="D29" i="2"/>
  <c r="C29" i="2"/>
  <c r="AE28" i="2"/>
  <c r="AD28" i="2"/>
  <c r="D28" i="2"/>
  <c r="C28" i="2"/>
  <c r="BK27" i="2"/>
  <c r="AE27" i="2"/>
  <c r="AD27" i="2"/>
  <c r="V27" i="2"/>
  <c r="D27" i="2"/>
  <c r="C27" i="2"/>
  <c r="AE26" i="2"/>
  <c r="AD26" i="2"/>
  <c r="D26" i="2"/>
  <c r="C26" i="2"/>
  <c r="DG25" i="2"/>
  <c r="AE25" i="2"/>
  <c r="AD25" i="2"/>
  <c r="AE24" i="2"/>
  <c r="AD24" i="2"/>
  <c r="AE23" i="2"/>
  <c r="AD23" i="2"/>
  <c r="DG21" i="2"/>
  <c r="DG20" i="2"/>
  <c r="DG17" i="2"/>
  <c r="DG16" i="2"/>
  <c r="AL16" i="2"/>
  <c r="AK16" i="2"/>
  <c r="AJ16" i="2"/>
  <c r="AI16" i="2"/>
  <c r="AH16" i="2"/>
  <c r="AG16" i="2"/>
  <c r="AF16" i="2"/>
  <c r="AE16" i="2"/>
  <c r="DC14" i="2"/>
  <c r="AL14" i="2"/>
  <c r="AK14" i="2"/>
  <c r="AJ14" i="2"/>
  <c r="AI14" i="2"/>
  <c r="AH14" i="2"/>
  <c r="AG14" i="2"/>
  <c r="AF14" i="2"/>
  <c r="AE14" i="2"/>
  <c r="DG13" i="2"/>
  <c r="DC13" i="2"/>
  <c r="DG12" i="2"/>
  <c r="AB12" i="2"/>
  <c r="AL11" i="2"/>
  <c r="AK11" i="2"/>
  <c r="AJ11" i="2"/>
  <c r="AI11" i="2"/>
  <c r="AH11" i="2"/>
  <c r="AG11" i="2"/>
  <c r="AF11" i="2"/>
  <c r="AE11" i="2"/>
  <c r="AD11" i="2"/>
  <c r="DG9" i="2"/>
  <c r="DG8" i="2"/>
  <c r="AV8" i="2"/>
  <c r="AX8" i="2" s="1"/>
  <c r="AD8" i="2"/>
  <c r="BK7" i="2"/>
  <c r="CR5" i="2"/>
  <c r="AV5" i="2"/>
  <c r="AW5" i="2" s="1"/>
  <c r="CR4" i="2"/>
  <c r="DG28" i="2" s="1"/>
  <c r="G4" i="2"/>
  <c r="CR3" i="2"/>
  <c r="Q3" i="2"/>
  <c r="B1" i="2"/>
  <c r="O18" i="2" s="1"/>
  <c r="U28" i="2"/>
  <c r="AF3" i="2"/>
  <c r="AF2" i="2"/>
  <c r="AJ2" i="2"/>
  <c r="AJ3" i="2"/>
  <c r="AH3" i="2"/>
  <c r="AH2" i="2"/>
  <c r="BM20" i="2"/>
  <c r="BL20" i="2"/>
  <c r="BN20" i="2"/>
  <c r="AH46" i="2"/>
  <c r="AH37" i="2"/>
  <c r="AH44" i="2"/>
  <c r="AH41" i="2"/>
  <c r="AH35" i="2"/>
  <c r="AH23" i="2"/>
  <c r="AH51" i="2"/>
  <c r="AH27" i="2"/>
  <c r="AH29" i="2"/>
  <c r="AH45" i="2"/>
  <c r="AH52" i="2"/>
  <c r="AH42" i="2"/>
  <c r="AH43" i="2"/>
  <c r="AH47" i="2"/>
  <c r="AH30" i="2"/>
  <c r="AH24" i="2"/>
  <c r="AH31" i="2"/>
  <c r="AH26" i="2"/>
  <c r="AH50" i="2"/>
  <c r="AH33" i="2"/>
  <c r="AH32" i="2"/>
  <c r="AH36" i="2"/>
  <c r="B5" i="3"/>
  <c r="O19" i="2"/>
  <c r="O22" i="2"/>
  <c r="AC3" i="2"/>
  <c r="AC2" i="2"/>
  <c r="BM22" i="2"/>
  <c r="BN22" i="2"/>
  <c r="BL22" i="2"/>
  <c r="AG2" i="2"/>
  <c r="AG3" i="2"/>
  <c r="AL2" i="2"/>
  <c r="AL3" i="2"/>
  <c r="BV5" i="2"/>
  <c r="BL21" i="2"/>
  <c r="BM21" i="2"/>
  <c r="BN21" i="2"/>
  <c r="BL19" i="2"/>
  <c r="BN19" i="2"/>
  <c r="BM19" i="2"/>
  <c r="AK2" i="2"/>
  <c r="AK3" i="2"/>
  <c r="BN17" i="2"/>
  <c r="BM17" i="2"/>
  <c r="BL17" i="2"/>
  <c r="AI2" i="2"/>
  <c r="AI3" i="2"/>
  <c r="BN14" i="2"/>
  <c r="BL14" i="2"/>
  <c r="BM14" i="2"/>
  <c r="I5" i="2"/>
  <c r="K5" i="2"/>
  <c r="AM2" i="2"/>
  <c r="AM3" i="2"/>
  <c r="BN18" i="2"/>
  <c r="BM18" i="2"/>
  <c r="BL18" i="2"/>
  <c r="AB2" i="2"/>
  <c r="AB3" i="2"/>
  <c r="AD2" i="2"/>
  <c r="AD3" i="2"/>
  <c r="AH28" i="2"/>
  <c r="AH48" i="2"/>
  <c r="AH34" i="2"/>
  <c r="AH49" i="2"/>
  <c r="AH39" i="2"/>
  <c r="AH25" i="2"/>
  <c r="AH40" i="2"/>
  <c r="AH38" i="2"/>
  <c r="BN16" i="2"/>
  <c r="BM16" i="2"/>
  <c r="BL16" i="2"/>
  <c r="AC9" i="2"/>
  <c r="AE2" i="2"/>
  <c r="AE3" i="2"/>
  <c r="O28" i="2"/>
  <c r="BN15" i="2"/>
  <c r="BL15" i="2"/>
  <c r="BM15" i="2"/>
  <c r="P18" i="2"/>
  <c r="BA82" i="2"/>
  <c r="O16" i="2"/>
  <c r="R28" i="2"/>
  <c r="P19" i="2"/>
  <c r="AQ30" i="2"/>
  <c r="AQ32" i="2"/>
  <c r="AQ24" i="2"/>
  <c r="AQ28" i="2"/>
  <c r="AQ26" i="2"/>
  <c r="AQ25" i="2"/>
  <c r="AQ23" i="2"/>
  <c r="AQ35" i="2"/>
  <c r="AQ27" i="2"/>
  <c r="AQ31" i="2"/>
  <c r="AQ36" i="2"/>
  <c r="AQ37" i="2"/>
  <c r="AQ29" i="2"/>
  <c r="AQ34" i="2"/>
  <c r="AQ33" i="2"/>
  <c r="BK13" i="2" l="1"/>
  <c r="BK18" i="2"/>
  <c r="BK14" i="2"/>
  <c r="BK22" i="2"/>
  <c r="BK19" i="2"/>
  <c r="BK20" i="2"/>
  <c r="BK21" i="2"/>
  <c r="BK17" i="2"/>
  <c r="BK16" i="2"/>
  <c r="BK15" i="2"/>
  <c r="B38" i="3"/>
  <c r="K3" i="3"/>
  <c r="K38" i="3"/>
  <c r="AB9" i="2"/>
  <c r="B3" i="3"/>
  <c r="AW6" i="4"/>
  <c r="AW5" i="4" s="1"/>
  <c r="AW7" i="4"/>
  <c r="DY6" i="4"/>
  <c r="EC6" i="4"/>
  <c r="EC5" i="4" s="1"/>
  <c r="EC7" i="4"/>
  <c r="BY6" i="4"/>
  <c r="BY5" i="4" s="1"/>
  <c r="BY7" i="4"/>
  <c r="ES6" i="4"/>
  <c r="I6" i="4"/>
  <c r="I5" i="4" s="1"/>
  <c r="AG6" i="4"/>
  <c r="AG5" i="4" s="1"/>
  <c r="AG7" i="4"/>
  <c r="AO6" i="4"/>
  <c r="DE6" i="4"/>
  <c r="S27" i="2"/>
  <c r="BB82" i="2"/>
  <c r="BC82" i="2" s="1"/>
  <c r="BD82" i="2" s="1"/>
  <c r="AZ82" i="2"/>
  <c r="AY82" i="2" s="1"/>
  <c r="AX82" i="2" s="1"/>
  <c r="AW82" i="2" s="1"/>
  <c r="AV82" i="2" s="1"/>
  <c r="D25" i="2"/>
  <c r="C22" i="2" s="1" a="1"/>
  <c r="C22" i="2" s="1"/>
  <c r="C25" i="2"/>
  <c r="C21" i="2" s="1" a="1"/>
  <c r="C21" i="2" s="1"/>
  <c r="P27" i="2"/>
  <c r="AB13" i="2"/>
  <c r="Q5" i="2"/>
  <c r="Q8" i="2"/>
  <c r="Q7" i="2"/>
  <c r="Q6" i="2"/>
  <c r="Q4" i="2"/>
  <c r="O15" i="2"/>
  <c r="DG24" i="2"/>
  <c r="AX5" i="2"/>
  <c r="AW8" i="2"/>
  <c r="L56" i="3"/>
  <c r="L53" i="3"/>
  <c r="AJ64" i="3"/>
  <c r="AJ61" i="3"/>
  <c r="AE61" i="3"/>
  <c r="AE64" i="3"/>
  <c r="AH61" i="3"/>
  <c r="AH64" i="3"/>
  <c r="G45" i="3"/>
  <c r="G48" i="3"/>
  <c r="AD63" i="3"/>
  <c r="L55" i="3"/>
  <c r="AC63" i="3"/>
  <c r="O55" i="3"/>
  <c r="M56" i="3"/>
  <c r="M53" i="3"/>
  <c r="AC64" i="3"/>
  <c r="AC61" i="3"/>
  <c r="AK64" i="3"/>
  <c r="AK61" i="3"/>
  <c r="AH63" i="3"/>
  <c r="AI63" i="3"/>
  <c r="D40" i="3"/>
  <c r="B40" i="3"/>
  <c r="AM64" i="3"/>
  <c r="AN64" i="3"/>
  <c r="D39" i="3"/>
  <c r="B39" i="3"/>
  <c r="F40" i="3"/>
  <c r="AM61" i="3"/>
  <c r="AN61" i="3"/>
  <c r="AB63" i="3"/>
  <c r="I48" i="3"/>
  <c r="I45" i="3"/>
  <c r="K55" i="3"/>
  <c r="H47" i="3"/>
  <c r="R55" i="3"/>
  <c r="X64" i="3"/>
  <c r="X61" i="3"/>
  <c r="AM63" i="3"/>
  <c r="AN63" i="3"/>
  <c r="K53" i="3"/>
  <c r="K56" i="3"/>
  <c r="AA63" i="3"/>
  <c r="B61" i="3"/>
  <c r="Y63" i="3"/>
  <c r="AG63" i="3"/>
  <c r="W64" i="3"/>
  <c r="W61" i="3"/>
  <c r="AD64" i="3"/>
  <c r="AD61" i="3"/>
  <c r="G47" i="3"/>
  <c r="X63" i="3"/>
  <c r="J48" i="3"/>
  <c r="J45" i="3"/>
  <c r="H48" i="3"/>
  <c r="H45" i="3"/>
  <c r="W63" i="3"/>
  <c r="R53" i="3"/>
  <c r="R56" i="3"/>
  <c r="N55" i="3"/>
  <c r="AL61" i="3"/>
  <c r="AL64" i="3"/>
  <c r="I47" i="3"/>
  <c r="AA64" i="3"/>
  <c r="AA61" i="3"/>
  <c r="Z61" i="3"/>
  <c r="Z64" i="3"/>
  <c r="Z63" i="3"/>
  <c r="O56" i="3"/>
  <c r="O53" i="3"/>
  <c r="AI61" i="3"/>
  <c r="AI64" i="3"/>
  <c r="N56" i="3"/>
  <c r="N53" i="3"/>
  <c r="AF63" i="3"/>
  <c r="AG61" i="3"/>
  <c r="AG64" i="3"/>
  <c r="AL63" i="3"/>
  <c r="Q53" i="3"/>
  <c r="Q56" i="3"/>
  <c r="AJ63" i="3"/>
  <c r="AB61" i="3"/>
  <c r="AB64" i="3"/>
  <c r="P56" i="3"/>
  <c r="P53" i="3"/>
  <c r="AE63" i="3"/>
  <c r="AF64" i="3"/>
  <c r="AF61" i="3"/>
  <c r="Y64" i="3"/>
  <c r="Y61" i="3"/>
  <c r="M55" i="3"/>
  <c r="Q55" i="3"/>
  <c r="AK63" i="3"/>
  <c r="P55" i="3"/>
  <c r="J47" i="3"/>
  <c r="B45" i="3"/>
  <c r="B53" i="3"/>
  <c r="AC12" i="2"/>
  <c r="L21" i="3"/>
  <c r="L18" i="3"/>
  <c r="AJ29" i="3"/>
  <c r="AJ26" i="3"/>
  <c r="AE26" i="3"/>
  <c r="AE29" i="3"/>
  <c r="AH26" i="3"/>
  <c r="AH29" i="3"/>
  <c r="G10" i="3"/>
  <c r="G13" i="3"/>
  <c r="AD28" i="3"/>
  <c r="L20" i="3"/>
  <c r="AC28" i="3"/>
  <c r="O20" i="3"/>
  <c r="M21" i="3"/>
  <c r="M18" i="3"/>
  <c r="AC29" i="3"/>
  <c r="AC26" i="3"/>
  <c r="AK29" i="3"/>
  <c r="AK26" i="3"/>
  <c r="AH28" i="3"/>
  <c r="AI28" i="3"/>
  <c r="D5" i="3"/>
  <c r="AM29" i="3"/>
  <c r="AN29" i="3"/>
  <c r="D4" i="3"/>
  <c r="B4" i="3"/>
  <c r="F5" i="3"/>
  <c r="AM26" i="3"/>
  <c r="AN26" i="3"/>
  <c r="AB28" i="3"/>
  <c r="I13" i="3"/>
  <c r="I10" i="3"/>
  <c r="K20" i="3"/>
  <c r="H12" i="3"/>
  <c r="R20" i="3"/>
  <c r="X29" i="3"/>
  <c r="X26" i="3"/>
  <c r="AM28" i="3"/>
  <c r="AN28" i="3"/>
  <c r="K18" i="3"/>
  <c r="K21" i="3"/>
  <c r="AA28" i="3"/>
  <c r="B26" i="3"/>
  <c r="Y28" i="3"/>
  <c r="AG28" i="3"/>
  <c r="W29" i="3"/>
  <c r="W26" i="3"/>
  <c r="AD29" i="3"/>
  <c r="AD26" i="3"/>
  <c r="G12" i="3"/>
  <c r="X28" i="3"/>
  <c r="J13" i="3"/>
  <c r="J10" i="3"/>
  <c r="H13" i="3"/>
  <c r="H10" i="3"/>
  <c r="W28" i="3"/>
  <c r="R18" i="3"/>
  <c r="R21" i="3"/>
  <c r="N20" i="3"/>
  <c r="AL26" i="3"/>
  <c r="AL29" i="3"/>
  <c r="AA29" i="3"/>
  <c r="AA26" i="3"/>
  <c r="Z26" i="3"/>
  <c r="Z29" i="3"/>
  <c r="Z28" i="3"/>
  <c r="O21" i="3"/>
  <c r="O18" i="3"/>
  <c r="AI26" i="3"/>
  <c r="AI29" i="3"/>
  <c r="N21" i="3"/>
  <c r="N18" i="3"/>
  <c r="AF28" i="3"/>
  <c r="AG26" i="3"/>
  <c r="AG29" i="3"/>
  <c r="AL28" i="3"/>
  <c r="Q18" i="3"/>
  <c r="Q21" i="3"/>
  <c r="AJ28" i="3"/>
  <c r="AB26" i="3"/>
  <c r="AB29" i="3"/>
  <c r="P21" i="3"/>
  <c r="P18" i="3"/>
  <c r="AE28" i="3"/>
  <c r="AF29" i="3"/>
  <c r="AF26" i="3"/>
  <c r="Y29" i="3"/>
  <c r="Y26" i="3"/>
  <c r="M20" i="3"/>
  <c r="I12" i="3"/>
  <c r="Q20" i="3"/>
  <c r="AK28" i="3"/>
  <c r="P20" i="3"/>
  <c r="J12" i="3"/>
  <c r="B10" i="3"/>
  <c r="B18" i="3"/>
  <c r="AC13" i="2"/>
  <c r="DY7" i="4"/>
  <c r="I7" i="4"/>
  <c r="AO7" i="4"/>
  <c r="ES7" i="4"/>
  <c r="DE7" i="4"/>
  <c r="Y62" i="3" l="1"/>
  <c r="AC60" i="3" s="1"/>
  <c r="AF62" i="3"/>
  <c r="P54" i="3"/>
  <c r="P52" i="3" s="1"/>
  <c r="AB62" i="3"/>
  <c r="AF60" i="3" s="1"/>
  <c r="Q54" i="3"/>
  <c r="Q52" i="3" s="1"/>
  <c r="AG62" i="3"/>
  <c r="N54" i="3"/>
  <c r="N52" i="3" s="1"/>
  <c r="AI62" i="3"/>
  <c r="O54" i="3"/>
  <c r="O52" i="3" s="1"/>
  <c r="Z62" i="3"/>
  <c r="AD60" i="3" s="1"/>
  <c r="AA62" i="3"/>
  <c r="AE60" i="3" s="1"/>
  <c r="AL62" i="3"/>
  <c r="R54" i="3"/>
  <c r="R52" i="3" s="1"/>
  <c r="H46" i="3"/>
  <c r="J46" i="3"/>
  <c r="AD62" i="3"/>
  <c r="AH60" i="3" s="1"/>
  <c r="W62" i="3"/>
  <c r="AA60" i="3" s="1"/>
  <c r="K54" i="3"/>
  <c r="K52" i="3" s="1"/>
  <c r="X62" i="3"/>
  <c r="AB60" i="3" s="1"/>
  <c r="I46" i="3"/>
  <c r="B41" i="3"/>
  <c r="AN62" i="3"/>
  <c r="AM62" i="3"/>
  <c r="AK62" i="3"/>
  <c r="AC62" i="3"/>
  <c r="AG60" i="3" s="1"/>
  <c r="M54" i="3"/>
  <c r="M52" i="3" s="1"/>
  <c r="G46" i="3"/>
  <c r="AH62" i="3"/>
  <c r="AE62" i="3"/>
  <c r="AJ62" i="3"/>
  <c r="L54" i="3"/>
  <c r="L52" i="3" s="1"/>
  <c r="AN27" i="3"/>
  <c r="AK27" i="3"/>
  <c r="X30" i="3"/>
  <c r="AM27" i="3"/>
  <c r="AM30" i="3" s="1"/>
  <c r="AK30" i="3"/>
  <c r="AE27" i="3"/>
  <c r="AI25" i="3" s="1"/>
  <c r="AL27" i="3"/>
  <c r="AL30" i="3" s="1"/>
  <c r="J11" i="3"/>
  <c r="J73" i="3" s="1"/>
  <c r="AC30" i="3"/>
  <c r="AJ27" i="3"/>
  <c r="AN25" i="3" s="1"/>
  <c r="AI27" i="3"/>
  <c r="AM25" i="3" s="1"/>
  <c r="AH27" i="3"/>
  <c r="AL25" i="3" s="1"/>
  <c r="AG27" i="3"/>
  <c r="AK25" i="3" s="1"/>
  <c r="AF27" i="3"/>
  <c r="AJ25" i="3" s="1"/>
  <c r="I11" i="3"/>
  <c r="AD27" i="3"/>
  <c r="AH25" i="3" s="1"/>
  <c r="H11" i="3"/>
  <c r="H73" i="3" s="1"/>
  <c r="AC27" i="3"/>
  <c r="AG25" i="3" s="1"/>
  <c r="R19" i="3"/>
  <c r="R17" i="3" s="1"/>
  <c r="G11" i="3"/>
  <c r="G73" i="3" s="1"/>
  <c r="AB27" i="3"/>
  <c r="AF25" i="3" s="1"/>
  <c r="Q19" i="3"/>
  <c r="Q17" i="3" s="1"/>
  <c r="AA27" i="3"/>
  <c r="AE25" i="3" s="1"/>
  <c r="Y30" i="3"/>
  <c r="P19" i="3"/>
  <c r="P17" i="3" s="1"/>
  <c r="Z27" i="3"/>
  <c r="AD25" i="3" s="1"/>
  <c r="O19" i="3"/>
  <c r="O17" i="3" s="1"/>
  <c r="AN30" i="3"/>
  <c r="N19" i="3"/>
  <c r="N17" i="3" s="1"/>
  <c r="X27" i="3"/>
  <c r="AB25" i="3" s="1"/>
  <c r="M19" i="3"/>
  <c r="M17" i="3" s="1"/>
  <c r="W27" i="3"/>
  <c r="AA25" i="3" s="1"/>
  <c r="L19" i="3"/>
  <c r="L17" i="3" s="1"/>
  <c r="B6" i="3"/>
  <c r="M74" i="3" s="1"/>
  <c r="K19" i="3"/>
  <c r="K17" i="3" s="1"/>
  <c r="Y27" i="3"/>
  <c r="AC25" i="3" s="1"/>
  <c r="BQ6" i="4"/>
  <c r="BA6" i="4"/>
  <c r="BU6" i="4"/>
  <c r="Q6" i="4"/>
  <c r="Q5" i="4" s="1"/>
  <c r="BM6" i="4"/>
  <c r="BM5" i="4" s="1"/>
  <c r="U26" i="2"/>
  <c r="R26" i="2"/>
  <c r="O26" i="2"/>
  <c r="AD14" i="2"/>
  <c r="BQ7" i="4"/>
  <c r="BM7" i="4"/>
  <c r="BU7" i="4"/>
  <c r="Q7" i="4"/>
  <c r="BA7" i="4"/>
  <c r="K39" i="3"/>
  <c r="O20" i="2"/>
  <c r="K4" i="3"/>
  <c r="P20" i="2" l="1"/>
  <c r="B75" i="3"/>
  <c r="G75" i="3"/>
  <c r="Y74" i="3"/>
  <c r="AF30" i="3"/>
  <c r="AD30" i="3"/>
  <c r="W30" i="3"/>
  <c r="AG30" i="3"/>
  <c r="AH30" i="3"/>
  <c r="Z30" i="3"/>
  <c r="AI30" i="3"/>
  <c r="AB30" i="3"/>
  <c r="I73" i="3"/>
  <c r="AE30" i="3"/>
  <c r="AJ30" i="3"/>
  <c r="AA30" i="3"/>
  <c r="AF75" i="3"/>
  <c r="BQ5" i="4"/>
  <c r="BA5" i="4"/>
  <c r="DY5" i="4"/>
  <c r="AC74" i="3"/>
  <c r="B74" i="3"/>
  <c r="Q75" i="3"/>
  <c r="O74" i="3"/>
  <c r="P74" i="3"/>
  <c r="AB75" i="3"/>
  <c r="R74" i="3"/>
  <c r="N75" i="3"/>
  <c r="G74" i="3"/>
  <c r="AD75" i="3"/>
  <c r="AD74" i="3"/>
  <c r="C75" i="3"/>
  <c r="AL74" i="3"/>
  <c r="AG74" i="3"/>
  <c r="AA75" i="3"/>
  <c r="H75" i="3"/>
  <c r="AF74" i="3"/>
  <c r="AH74" i="3"/>
  <c r="M75" i="3"/>
  <c r="O75" i="3"/>
  <c r="I75" i="3"/>
  <c r="X74" i="3"/>
  <c r="I74" i="3"/>
  <c r="Q74" i="3"/>
  <c r="AN75" i="3"/>
  <c r="Y75" i="3"/>
  <c r="K75" i="3"/>
  <c r="AJ74" i="3"/>
  <c r="T74" i="3"/>
  <c r="F75" i="3"/>
  <c r="K74" i="3"/>
  <c r="AO5" i="4"/>
  <c r="V75" i="3"/>
  <c r="L74" i="3"/>
  <c r="AB74" i="3"/>
  <c r="S75" i="3"/>
  <c r="AM74" i="3"/>
  <c r="N74" i="3"/>
  <c r="T75" i="3"/>
  <c r="J75" i="3"/>
  <c r="AN74" i="3"/>
  <c r="Z75" i="3"/>
  <c r="BU5" i="4"/>
  <c r="ES5" i="4"/>
  <c r="AH75" i="3"/>
  <c r="U75" i="3"/>
  <c r="F74" i="3"/>
  <c r="L75" i="3"/>
  <c r="DE5" i="4"/>
  <c r="AL75" i="3"/>
  <c r="AG75" i="3"/>
  <c r="W74" i="3"/>
  <c r="R75" i="3"/>
  <c r="AI74" i="3"/>
  <c r="E75" i="3"/>
  <c r="P75" i="3"/>
  <c r="AE74" i="3"/>
  <c r="AI75" i="3"/>
  <c r="U74" i="3"/>
  <c r="Z74" i="3"/>
  <c r="AA74" i="3"/>
  <c r="W75" i="3"/>
  <c r="AK74" i="3"/>
  <c r="H74" i="3"/>
  <c r="C74" i="3"/>
  <c r="AC75" i="3"/>
  <c r="V74" i="3"/>
  <c r="E5" i="4"/>
  <c r="E8" i="4" s="1"/>
  <c r="D75" i="3"/>
  <c r="J74" i="3"/>
  <c r="AJ75" i="3"/>
  <c r="AM75" i="3"/>
  <c r="X75" i="3"/>
  <c r="AE75" i="3"/>
  <c r="AK75" i="3"/>
  <c r="S74" i="3"/>
  <c r="D74" i="3"/>
  <c r="E74" i="3"/>
  <c r="AB15" i="2"/>
  <c r="AC15" i="2"/>
  <c r="E15" i="4" l="1"/>
  <c r="E16" i="4"/>
  <c r="E18" i="4"/>
  <c r="E17" i="4"/>
  <c r="E6" i="4"/>
  <c r="E23" i="4"/>
  <c r="E25" i="4"/>
  <c r="E26" i="4"/>
  <c r="E29" i="4"/>
  <c r="E11" i="4"/>
  <c r="E28" i="4"/>
  <c r="E9" i="4"/>
  <c r="E30" i="4"/>
  <c r="E10" i="4"/>
  <c r="E7" i="4"/>
  <c r="E13" i="4"/>
  <c r="E14" i="4"/>
  <c r="E19" i="4"/>
  <c r="E24" i="4"/>
  <c r="E20" i="4"/>
  <c r="E12" i="4"/>
  <c r="E21" i="4"/>
  <c r="E27" i="4"/>
  <c r="E22" i="4"/>
  <c r="AD16" i="2"/>
  <c r="EO12" i="4"/>
  <c r="EK12" i="4"/>
  <c r="EG12" i="4"/>
  <c r="DU12" i="4"/>
  <c r="DQ12" i="4"/>
  <c r="DM12" i="4"/>
  <c r="DI12" i="4"/>
  <c r="DA12" i="4"/>
  <c r="CW12" i="4"/>
  <c r="CS12" i="4"/>
  <c r="CO12" i="4"/>
  <c r="CK12" i="4"/>
  <c r="CG12" i="4"/>
  <c r="CC12" i="4"/>
  <c r="BI12" i="4"/>
  <c r="BE12" i="4"/>
  <c r="AS12" i="4"/>
  <c r="AK12" i="4"/>
  <c r="AC12" i="4"/>
  <c r="Y12" i="4"/>
  <c r="U12" i="4"/>
  <c r="M12" i="4"/>
  <c r="CO6" i="4" l="1"/>
  <c r="CO5" i="4" s="1"/>
  <c r="CO7" i="4"/>
  <c r="BE6" i="4"/>
  <c r="BE5" i="4" s="1"/>
  <c r="BE7" i="4"/>
  <c r="CW6" i="4"/>
  <c r="CW5" i="4" s="1"/>
  <c r="CW7" i="4"/>
  <c r="CK7" i="4"/>
  <c r="CK6" i="4"/>
  <c r="CK5" i="4" s="1"/>
  <c r="M6" i="4"/>
  <c r="M5" i="4" s="1"/>
  <c r="M7" i="4"/>
  <c r="DM6" i="4"/>
  <c r="DM5" i="4" s="1"/>
  <c r="DM7" i="4"/>
  <c r="DA6" i="4"/>
  <c r="DA5" i="4" s="1"/>
  <c r="DA7" i="4"/>
  <c r="BI7" i="4"/>
  <c r="BI6" i="4"/>
  <c r="BI5" i="4" s="1"/>
  <c r="CC7" i="4"/>
  <c r="CC6" i="4"/>
  <c r="CC5" i="4" s="1"/>
  <c r="CG7" i="4"/>
  <c r="CG6" i="4"/>
  <c r="CG5" i="4" s="1"/>
  <c r="CS7" i="4"/>
  <c r="CS6" i="4"/>
  <c r="CS5" i="4" s="1"/>
  <c r="DI6" i="4"/>
  <c r="DI5" i="4" s="1"/>
  <c r="DI7" i="4"/>
  <c r="U7" i="4"/>
  <c r="U6" i="4"/>
  <c r="U5" i="4" s="1"/>
  <c r="DQ6" i="4"/>
  <c r="DQ5" i="4" s="1"/>
  <c r="DQ7" i="4"/>
  <c r="Y7" i="4"/>
  <c r="Y6" i="4"/>
  <c r="Y5" i="4" s="1"/>
  <c r="DU6" i="4"/>
  <c r="DU5" i="4" s="1"/>
  <c r="DU7" i="4"/>
  <c r="AC6" i="4"/>
  <c r="AC5" i="4" s="1"/>
  <c r="AC7" i="4"/>
  <c r="EG6" i="4"/>
  <c r="EG5" i="4" s="1"/>
  <c r="EG7" i="4"/>
  <c r="AK7" i="4"/>
  <c r="AK6" i="4"/>
  <c r="AK5" i="4" s="1"/>
  <c r="EK6" i="4"/>
  <c r="EK5" i="4" s="1"/>
  <c r="EK7" i="4"/>
  <c r="AS7" i="4"/>
  <c r="AS6" i="4"/>
  <c r="AS5" i="4" s="1"/>
  <c r="EO6" i="4"/>
  <c r="EO5" i="4" s="1"/>
  <c r="EO7" i="4"/>
  <c r="F1" i="4"/>
  <c r="G1" i="4"/>
  <c r="H1" i="4"/>
  <c r="C1" i="4"/>
  <c r="I1" i="4"/>
  <c r="E1" i="4"/>
  <c r="D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yshinkar</author>
  </authors>
  <commentList>
    <comment ref="AB26" authorId="0" shapeId="0" xr:uid="{00000000-0006-0000-0000-000001000000}">
      <text>
        <r>
          <rPr>
            <b/>
            <sz val="8"/>
            <color indexed="81"/>
            <rFont val="Tahoma"/>
            <family val="2"/>
          </rPr>
          <t xml:space="preserve">Enter Ticker with Yellow Key.
</t>
        </r>
        <r>
          <rPr>
            <sz val="8"/>
            <color indexed="81"/>
            <rFont val="Tahoma"/>
            <family val="2"/>
          </rPr>
          <t>Example 1: INDU Index
Example 2: GOOG US Equity</t>
        </r>
      </text>
    </comment>
    <comment ref="L42" authorId="0" shapeId="0" xr:uid="{00000000-0006-0000-0000-000002000000}">
      <text>
        <r>
          <rPr>
            <b/>
            <sz val="9"/>
            <color indexed="81"/>
            <rFont val="Tahoma"/>
            <family val="2"/>
          </rPr>
          <t>Enter Ticker with Yellow Key.</t>
        </r>
        <r>
          <rPr>
            <sz val="8"/>
            <color indexed="81"/>
            <rFont val="Tahoma"/>
            <family val="2"/>
          </rPr>
          <t xml:space="preserve">
Example 1: INDU Index
Example 2: GOOG US Equity</t>
        </r>
      </text>
    </comment>
    <comment ref="L43" authorId="0" shapeId="0" xr:uid="{00000000-0006-0000-0000-000003000000}">
      <text>
        <r>
          <rPr>
            <b/>
            <sz val="8"/>
            <color indexed="81"/>
            <rFont val="Tahoma"/>
            <family val="2"/>
          </rPr>
          <t xml:space="preserve">Enter Ticker with Yellow Key.
</t>
        </r>
        <r>
          <rPr>
            <sz val="8"/>
            <color indexed="81"/>
            <rFont val="Tahoma"/>
            <family val="2"/>
          </rPr>
          <t>Example 1:  INDU Index
Example 2: GOOG US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tsiqueira4</author>
  </authors>
  <commentList>
    <comment ref="DG23" authorId="0" shapeId="0" xr:uid="{00000000-0006-0000-0100-000001000000}">
      <text>
        <r>
          <rPr>
            <b/>
            <sz val="9"/>
            <color indexed="81"/>
            <rFont val="Tahoma"/>
            <family val="2"/>
          </rPr>
          <t>1 = parent
2 = consol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<sst xmlns="http://schemas.openxmlformats.org/spreadsheetml/2006/main" count="1610" uniqueCount="831">
  <si>
    <t>Ticker:</t>
  </si>
  <si>
    <t>Price and Volume (1 Year)</t>
  </si>
  <si>
    <t>Address:</t>
  </si>
  <si>
    <t>Company Officers</t>
  </si>
  <si>
    <t>Website</t>
  </si>
  <si>
    <t>Measure 1</t>
  </si>
  <si>
    <t>Sales/Revenue/Turnover</t>
  </si>
  <si>
    <t>Year</t>
  </si>
  <si>
    <t>Cal Yr</t>
  </si>
  <si>
    <t>1 Week</t>
  </si>
  <si>
    <t>4 Weeks</t>
  </si>
  <si>
    <t>3 Months</t>
  </si>
  <si>
    <t>6 Months</t>
  </si>
  <si>
    <t>Measure 2</t>
  </si>
  <si>
    <t>EBITDA</t>
  </si>
  <si>
    <t>Performance</t>
  </si>
  <si>
    <t>5 Yr Avg</t>
  </si>
  <si>
    <t>Price Change</t>
  </si>
  <si>
    <t>Div Yield</t>
  </si>
  <si>
    <t>Financials</t>
  </si>
  <si>
    <t>Sales</t>
  </si>
  <si>
    <t>EBIT</t>
  </si>
  <si>
    <t>Net Income</t>
  </si>
  <si>
    <t>EPS (Diluted)</t>
  </si>
  <si>
    <t>Dividends</t>
  </si>
  <si>
    <t>BVPS</t>
  </si>
  <si>
    <t>Valuation Summary</t>
  </si>
  <si>
    <t>Total Assets</t>
  </si>
  <si>
    <t>High</t>
  </si>
  <si>
    <t>Low</t>
  </si>
  <si>
    <t>Avg</t>
  </si>
  <si>
    <t>Working Cap</t>
  </si>
  <si>
    <t>P/E (LTM)</t>
  </si>
  <si>
    <t>LT Debt</t>
  </si>
  <si>
    <t>P/E (NTM)</t>
  </si>
  <si>
    <t>PEG (NTM)</t>
  </si>
  <si>
    <t>P/Bk</t>
  </si>
  <si>
    <t>Free Cash Flow</t>
  </si>
  <si>
    <t>P/CF</t>
  </si>
  <si>
    <t>P/Sales</t>
  </si>
  <si>
    <t>EV/EBITDA</t>
  </si>
  <si>
    <t>EV/Sales</t>
  </si>
  <si>
    <t>Ticker</t>
  </si>
  <si>
    <t>Securities GICS Sector</t>
  </si>
  <si>
    <t>Selection</t>
  </si>
  <si>
    <t>Hist</t>
  </si>
  <si>
    <t>Best</t>
  </si>
  <si>
    <t>Table for Measure 1</t>
  </si>
  <si>
    <t>Price/Volume Chart</t>
  </si>
  <si>
    <t>Index</t>
  </si>
  <si>
    <t>SPXL1 Index</t>
  </si>
  <si>
    <t>Price</t>
  </si>
  <si>
    <t>Volume</t>
  </si>
  <si>
    <t>Start Date</t>
  </si>
  <si>
    <t>GICS Sectors</t>
  </si>
  <si>
    <t>INDX_GWEIGHT</t>
  </si>
  <si>
    <t>-6fy</t>
  </si>
  <si>
    <t>-5fy</t>
  </si>
  <si>
    <t>-4fy</t>
  </si>
  <si>
    <t>-3fy</t>
  </si>
  <si>
    <t>-2fy</t>
  </si>
  <si>
    <t>-1fy</t>
  </si>
  <si>
    <t>-0fy</t>
  </si>
  <si>
    <t>1fy</t>
  </si>
  <si>
    <t>2fy</t>
  </si>
  <si>
    <t>3fy</t>
  </si>
  <si>
    <t>End Date</t>
  </si>
  <si>
    <t>Table for Measure 2</t>
  </si>
  <si>
    <t>Security</t>
  </si>
  <si>
    <t>PE_RATIO</t>
  </si>
  <si>
    <t>Rel Index</t>
  </si>
  <si>
    <t>LAST_PRICE</t>
  </si>
  <si>
    <t>BEST_PE_RATIO</t>
  </si>
  <si>
    <t>Industry Index</t>
  </si>
  <si>
    <t>BEST_PEG_RATIO</t>
  </si>
  <si>
    <t>PX_TO_BOOK_RATIO</t>
  </si>
  <si>
    <t>Field</t>
  </si>
  <si>
    <t>CUMULATIVE_TOT_RETURN_GROSS_DVDS</t>
  </si>
  <si>
    <t>PX_TO_CASH_FLOW</t>
  </si>
  <si>
    <t>PX_TO_SALES_RATIO</t>
  </si>
  <si>
    <t>EV_TO_T12M_EBITDA</t>
  </si>
  <si>
    <t>Measure Table</t>
  </si>
  <si>
    <t>EV_TO_T12M_SALES</t>
  </si>
  <si>
    <t>Field name</t>
  </si>
  <si>
    <t>API Historical Fields</t>
  </si>
  <si>
    <t>BEST Projected field</t>
  </si>
  <si>
    <t>1 Week  % Change</t>
  </si>
  <si>
    <t>4 Week  % Change</t>
  </si>
  <si>
    <t>3 Month  % Change</t>
  </si>
  <si>
    <t>6 Month  % Change</t>
  </si>
  <si>
    <t>DIVIDEND_YIELD</t>
  </si>
  <si>
    <t>Estimate Comparable EPS Adjusted</t>
  </si>
  <si>
    <t>IS_COMP_EPS_EXCL_STOCK_COMP</t>
  </si>
  <si>
    <t>BEST_EPS</t>
  </si>
  <si>
    <t>Estimate Comparable EPS GAAP</t>
  </si>
  <si>
    <t>IS_COMP_EPS_GAAP</t>
  </si>
  <si>
    <t>BEST_EPS_GAAP</t>
  </si>
  <si>
    <t>Diluted EPS From Continuing Ops</t>
  </si>
  <si>
    <t>IS_DIL_EPS_CONT_OPS</t>
  </si>
  <si>
    <t>Diluted EPS Bef XO Items</t>
  </si>
  <si>
    <t>IS_DIL_EPS_BEF_XO</t>
  </si>
  <si>
    <t>Fully Diluted EPS</t>
  </si>
  <si>
    <t>IS_FULLY_DILUTED_EPS</t>
  </si>
  <si>
    <t>EPS before Abnormal Items</t>
  </si>
  <si>
    <t>IS_BASIC_EPS_CONT_OPS</t>
  </si>
  <si>
    <t>Basic EPS before XO</t>
  </si>
  <si>
    <t>IS_EARN_BEF_XO_ITEMS_PER_SH</t>
  </si>
  <si>
    <t>SALES_REV_TURN</t>
  </si>
  <si>
    <t>BEST_SALES</t>
  </si>
  <si>
    <t xml:space="preserve">Basic EPS  </t>
  </si>
  <si>
    <t>IS_EPS</t>
  </si>
  <si>
    <t>BEST_EBIT</t>
  </si>
  <si>
    <t>BEST_EBITDA</t>
  </si>
  <si>
    <t>Estimate Comparable Sales</t>
  </si>
  <si>
    <t>IS_COMP_SALES</t>
  </si>
  <si>
    <t>NET_INCOME</t>
  </si>
  <si>
    <t>BEST_NET_INCOME</t>
  </si>
  <si>
    <t>Net Income/Net Profit (Losses)</t>
  </si>
  <si>
    <t>Estimate Comparable Net Income Adjusted</t>
  </si>
  <si>
    <t>IS_COMP_NET_INC_EXCL_STOCK_COMP</t>
  </si>
  <si>
    <t>EQY_DPS</t>
  </si>
  <si>
    <t>BEST_DPS</t>
  </si>
  <si>
    <t>Estimate Comparable Net Income GAAP</t>
  </si>
  <si>
    <t>IS_COMP_NET_INCOME_GAAP</t>
  </si>
  <si>
    <t>BEST_NET_GAAP</t>
  </si>
  <si>
    <t>Cash Flow per Share</t>
  </si>
  <si>
    <t>CASH_FLOW_PER_SH</t>
  </si>
  <si>
    <t>BEST_CPS</t>
  </si>
  <si>
    <t>BOOK_VAL_PER_SH</t>
  </si>
  <si>
    <t>BEST_BPS</t>
  </si>
  <si>
    <t>Dividend Per Share</t>
  </si>
  <si>
    <t>IS_DIV_PER_SHR</t>
  </si>
  <si>
    <t>Book Value per Share</t>
  </si>
  <si>
    <t>BS_TOT_ASSET</t>
  </si>
  <si>
    <t>BEST_ROA</t>
  </si>
  <si>
    <t>Return on Equity</t>
  </si>
  <si>
    <t>RETURN_COM_EQY</t>
  </si>
  <si>
    <t>BEST_ROE</t>
  </si>
  <si>
    <t>Return on Assets</t>
  </si>
  <si>
    <t>RETURN_ON_ASSET</t>
  </si>
  <si>
    <t>Operating profit</t>
  </si>
  <si>
    <t>IS_OPER_INC</t>
  </si>
  <si>
    <t>BEST_OPP</t>
  </si>
  <si>
    <t>CF_FREE_CASH_FLOW</t>
  </si>
  <si>
    <t>Quarters</t>
  </si>
  <si>
    <t>Semi_ann</t>
  </si>
  <si>
    <t>Q1</t>
  </si>
  <si>
    <t>S1</t>
  </si>
  <si>
    <t>Q2</t>
  </si>
  <si>
    <t>S2</t>
  </si>
  <si>
    <t>Q3</t>
  </si>
  <si>
    <t>Q4</t>
  </si>
  <si>
    <t>Months</t>
  </si>
  <si>
    <t>Jan</t>
  </si>
  <si>
    <t>Feb</t>
  </si>
  <si>
    <t>Mar</t>
  </si>
  <si>
    <t>Apr</t>
  </si>
  <si>
    <t>May</t>
  </si>
  <si>
    <t>Jun</t>
  </si>
  <si>
    <t>Jul</t>
  </si>
  <si>
    <t>Aug</t>
  </si>
  <si>
    <t>Sep</t>
  </si>
  <si>
    <t>Oct</t>
  </si>
  <si>
    <t>Nov</t>
  </si>
  <si>
    <t>Dec</t>
  </si>
  <si>
    <t>Period</t>
  </si>
  <si>
    <t>F</t>
  </si>
  <si>
    <t>Years</t>
  </si>
  <si>
    <t>Sem-annuals</t>
  </si>
  <si>
    <t>Numbers</t>
  </si>
  <si>
    <t>Years:</t>
  </si>
  <si>
    <t>Most Recent Quarter End</t>
  </si>
  <si>
    <t>BEst Current Fiscal Year Period Date</t>
  </si>
  <si>
    <t>Most Recent Semi End</t>
  </si>
  <si>
    <t>BEst Current Fiscal Semi-Year Period</t>
  </si>
  <si>
    <t xml:space="preserve">BEst Current Fiscal Quarter Period </t>
  </si>
  <si>
    <t>My Default Period:</t>
  </si>
  <si>
    <t>History (Yearly)</t>
  </si>
  <si>
    <t>History (Semi_ann)</t>
  </si>
  <si>
    <t>History (Quarterly)</t>
  </si>
  <si>
    <t>-</t>
  </si>
  <si>
    <t>Growth Summary</t>
  </si>
  <si>
    <t>1Yr</t>
  </si>
  <si>
    <t>3Yr</t>
  </si>
  <si>
    <t>5Yr</t>
  </si>
  <si>
    <t>10Yr</t>
  </si>
  <si>
    <t>FREE_CASH_FLOW_PER_SH</t>
  </si>
  <si>
    <t>Key Statistics</t>
  </si>
  <si>
    <t>52-Week Range</t>
  </si>
  <si>
    <t>Avg Daily Vol (3 Mo)</t>
  </si>
  <si>
    <t>Dividend Yield</t>
  </si>
  <si>
    <t>Float %</t>
  </si>
  <si>
    <t>Institutional %</t>
  </si>
  <si>
    <t>Analyst Coverage</t>
  </si>
  <si>
    <t>LT Growth Rate</t>
  </si>
  <si>
    <t>Shares Outstanding (B)</t>
  </si>
  <si>
    <t>Consensus Rating</t>
  </si>
  <si>
    <t>Income Statement</t>
  </si>
  <si>
    <t>PG_REVENUE</t>
  </si>
  <si>
    <t>PG_REVENUE_BY_ORIGIN</t>
  </si>
  <si>
    <t>PG_REVENUE_SUPP_BREAKDOWN</t>
  </si>
  <si>
    <t>PG_REVENUE_DISTRIBUTION_CHANNEL</t>
  </si>
  <si>
    <t>PG_REVENUE_END_USER</t>
  </si>
  <si>
    <t>PG_REVENUE_BY_PAYOR_SOURCE</t>
  </si>
  <si>
    <t>PG_GROSS_PROFIT</t>
  </si>
  <si>
    <t>PG_EBITDA</t>
  </si>
  <si>
    <t>PG_DEPR_AMORTIZATION</t>
  </si>
  <si>
    <t>PG_DEPRECIATION</t>
  </si>
  <si>
    <t>PG_RD_EXPENSES</t>
  </si>
  <si>
    <t>PG_OPERATING_INCOME</t>
  </si>
  <si>
    <t>PG_INTEREST_EXPENSE</t>
  </si>
  <si>
    <t>PG_INTEREST_INCOME</t>
  </si>
  <si>
    <t>PG_PRETAX_INCOME</t>
  </si>
  <si>
    <t>PG_INCOME_TAXES</t>
  </si>
  <si>
    <t>PG_NET_INCOME</t>
  </si>
  <si>
    <t>PG_SALES_1_YEAR_GROWTH</t>
  </si>
  <si>
    <t>PG_GROSS_MARGIN</t>
  </si>
  <si>
    <t>PG_OPERATING_MARGIN</t>
  </si>
  <si>
    <t>PG_PROFIT_MARGIN</t>
  </si>
  <si>
    <t>PG_PRETAX_MARGIN</t>
  </si>
  <si>
    <t>PG_RENTAL_INCOME</t>
  </si>
  <si>
    <t>PG_CURRENT_PROFIT</t>
  </si>
  <si>
    <t>PG_AMOUNT_PRODUCED</t>
  </si>
  <si>
    <t>Balance Sheet</t>
  </si>
  <si>
    <t>PG_ASSETS</t>
  </si>
  <si>
    <t>PG_CASH_CE_AND_MARKETABLE_SECS</t>
  </si>
  <si>
    <t>PG_LT_ASSETS</t>
  </si>
  <si>
    <t>PG_PROPERTY_PLANT_EQUIP</t>
  </si>
  <si>
    <t>PG_GOODWILL</t>
  </si>
  <si>
    <t>PG_DEBT</t>
  </si>
  <si>
    <t>PG_LIABILITIES</t>
  </si>
  <si>
    <t>PG_CAPITAL_EMPLOYED</t>
  </si>
  <si>
    <t>PG_ORDER_BACKLOG</t>
  </si>
  <si>
    <t>PG_ORDER_RECEIVED</t>
  </si>
  <si>
    <t>Cash Flow Statement</t>
  </si>
  <si>
    <t>PG_CAPITAL_EXPENDITURES</t>
  </si>
  <si>
    <t>Revenue</t>
  </si>
  <si>
    <t>Revenue by Origin</t>
  </si>
  <si>
    <t>Revenue Supplementary Breakdown</t>
  </si>
  <si>
    <t>Revenue by Distribution Channel</t>
  </si>
  <si>
    <t>Operating Income</t>
  </si>
  <si>
    <t>R&amp;D Expenses</t>
  </si>
  <si>
    <t>Depreciation</t>
  </si>
  <si>
    <t>Depreciation/Amortization</t>
  </si>
  <si>
    <t>Gross Profit</t>
  </si>
  <si>
    <t>Revenue by End User</t>
  </si>
  <si>
    <t>Revenue - by Payor Source Name</t>
  </si>
  <si>
    <t>Interest Expense</t>
  </si>
  <si>
    <t>Interest Income</t>
  </si>
  <si>
    <t>Pretax Income</t>
  </si>
  <si>
    <t>Income Taxes</t>
  </si>
  <si>
    <t>Sales 1 Year Growth</t>
  </si>
  <si>
    <t>Gross Margin</t>
  </si>
  <si>
    <t>Operating Margin</t>
  </si>
  <si>
    <t>Profit Margin</t>
  </si>
  <si>
    <t>Pretax Margin</t>
  </si>
  <si>
    <t>Rental Income</t>
  </si>
  <si>
    <t>Current Profit</t>
  </si>
  <si>
    <t>Amount Produced</t>
  </si>
  <si>
    <t>Assets</t>
  </si>
  <si>
    <t>Cash, Cash Equivs &amp; Marketable Secs</t>
  </si>
  <si>
    <t>Long Term Assets</t>
  </si>
  <si>
    <t>Property/Plant/Equipment Name</t>
  </si>
  <si>
    <t>Goodwill</t>
  </si>
  <si>
    <t>Debt</t>
  </si>
  <si>
    <t>Liabilities</t>
  </si>
  <si>
    <t>Capital Employed</t>
  </si>
  <si>
    <t>Order Backlog</t>
  </si>
  <si>
    <t>Order Received</t>
  </si>
  <si>
    <t>Capital Expenditures</t>
  </si>
  <si>
    <t>Rows</t>
  </si>
  <si>
    <t xml:space="preserve">Max rows </t>
  </si>
  <si>
    <t>Ratios</t>
  </si>
  <si>
    <t>5 Yr CAGR</t>
  </si>
  <si>
    <t>EBITDA Margin</t>
  </si>
  <si>
    <t>EBIT Margin</t>
  </si>
  <si>
    <t>Asset Turnover</t>
  </si>
  <si>
    <t>Current Ratio</t>
  </si>
  <si>
    <t>Quick Ratio</t>
  </si>
  <si>
    <t>GROSS_MARGIN</t>
  </si>
  <si>
    <t>EBITDA_MARGIN</t>
  </si>
  <si>
    <t>EBIT_MARGIN</t>
  </si>
  <si>
    <t>PROF_MARGIN</t>
  </si>
  <si>
    <t>ACCT_RCV_DAYS</t>
  </si>
  <si>
    <t>CUR_RATIO</t>
  </si>
  <si>
    <t>YTD Change</t>
  </si>
  <si>
    <t>3 Month Change</t>
  </si>
  <si>
    <t>52 Week Beta</t>
  </si>
  <si>
    <t>Prices/Volume</t>
  </si>
  <si>
    <t>6 Month Change</t>
  </si>
  <si>
    <t>Daily Volume</t>
  </si>
  <si>
    <t>Position:</t>
  </si>
  <si>
    <t>Measure:</t>
  </si>
  <si>
    <t>-7fy</t>
  </si>
  <si>
    <t xml:space="preserve">Market Value </t>
  </si>
  <si>
    <t>-8fy</t>
  </si>
  <si>
    <t>Bloomberg Peers</t>
  </si>
  <si>
    <t>Relative Comps</t>
  </si>
  <si>
    <t>Mkt Cap</t>
  </si>
  <si>
    <t>PE (NTM)</t>
  </si>
  <si>
    <t>Ret YTD %</t>
  </si>
  <si>
    <t>Rev - 1 Yr Gr</t>
  </si>
  <si>
    <t>EPS - 1 Yr Gr</t>
  </si>
  <si>
    <t>Dividend Yld</t>
  </si>
  <si>
    <t>% change y/y</t>
  </si>
  <si>
    <t>% Margin</t>
  </si>
  <si>
    <t>EPS</t>
  </si>
  <si>
    <t>P/Earnings</t>
  </si>
  <si>
    <t>P/Book</t>
  </si>
  <si>
    <t>LTM</t>
  </si>
  <si>
    <t>Average Volume 30 Day</t>
  </si>
  <si>
    <t>Average Volume 3 Month</t>
  </si>
  <si>
    <t>Average Volume 6 Month</t>
  </si>
  <si>
    <t>CEO</t>
  </si>
  <si>
    <t>CFO</t>
  </si>
  <si>
    <t xml:space="preserve">CEO: </t>
  </si>
  <si>
    <t>CFO:</t>
  </si>
  <si>
    <t>Description</t>
  </si>
  <si>
    <t>Telephone:</t>
  </si>
  <si>
    <t>Cash Flow-Oper Activities</t>
  </si>
  <si>
    <t>CF_CAP_EXPEND_PRPTY_ADD</t>
  </si>
  <si>
    <t>WORKING_CAPITAL</t>
  </si>
  <si>
    <t>BS_LT_BORROW</t>
  </si>
  <si>
    <t>Cash &amp; Near Cash</t>
  </si>
  <si>
    <t>Dividends per Share</t>
  </si>
  <si>
    <t>Shares for Fully Diluted EPS</t>
  </si>
  <si>
    <t>Return on Com Eqty</t>
  </si>
  <si>
    <t>Assets/Equity</t>
  </si>
  <si>
    <t>Days Sales Out (DSO)</t>
  </si>
  <si>
    <t>Acc Pay Turn Days (DPO)</t>
  </si>
  <si>
    <t>NET_INC_PER_EMPL</t>
  </si>
  <si>
    <t>Net Inc per 1000 Employees</t>
  </si>
  <si>
    <t>1 Year Change</t>
  </si>
  <si>
    <t>Actual and Estimate Data</t>
  </si>
  <si>
    <t>Total Debts/Total Capital</t>
  </si>
  <si>
    <t>Total Debt/Total Equity</t>
  </si>
  <si>
    <t>Periods:</t>
  </si>
  <si>
    <t>YTD</t>
  </si>
  <si>
    <t>1 Year</t>
  </si>
  <si>
    <t>10 Years</t>
  </si>
  <si>
    <t>5 Years</t>
  </si>
  <si>
    <t>Selected Period</t>
  </si>
  <si>
    <t>3 Years</t>
  </si>
  <si>
    <t>Security/Index:</t>
  </si>
  <si>
    <t>Comparative Returns</t>
  </si>
  <si>
    <t>Holdings By:</t>
  </si>
  <si>
    <t>Holder Name</t>
  </si>
  <si>
    <t>Portfolio Name</t>
  </si>
  <si>
    <t>Source</t>
  </si>
  <si>
    <t>Amt Held</t>
  </si>
  <si>
    <t>% Out</t>
  </si>
  <si>
    <t>Latest Chg</t>
  </si>
  <si>
    <t>File Dt</t>
  </si>
  <si>
    <t>Inst Type</t>
  </si>
  <si>
    <t>Country</t>
  </si>
  <si>
    <t>Metro Area</t>
  </si>
  <si>
    <t>Investment Advisor</t>
  </si>
  <si>
    <t>Bank</t>
  </si>
  <si>
    <t>Insurance Company</t>
  </si>
  <si>
    <t>Analyst Recommendations</t>
  </si>
  <si>
    <t>Firm Name</t>
  </si>
  <si>
    <t>Analyst</t>
  </si>
  <si>
    <t>Recommendation</t>
  </si>
  <si>
    <t>Weighting</t>
  </si>
  <si>
    <t>Target Price</t>
  </si>
  <si>
    <t>Date</t>
  </si>
  <si>
    <t>BARR</t>
  </si>
  <si>
    <t>1 Yr Rtn</t>
  </si>
  <si>
    <t>M</t>
  </si>
  <si>
    <t>D</t>
  </si>
  <si>
    <t>Holdings Data</t>
  </si>
  <si>
    <t>All</t>
  </si>
  <si>
    <t>Endowment</t>
  </si>
  <si>
    <t>Hedge Fund Manager</t>
  </si>
  <si>
    <t>Mutual Fund Manger</t>
  </si>
  <si>
    <t>Pension Fund Erisa</t>
  </si>
  <si>
    <t>Pub Retirement Fund</t>
  </si>
  <si>
    <t>Other</t>
  </si>
  <si>
    <t>Private Equity</t>
  </si>
  <si>
    <t>Holding Company</t>
  </si>
  <si>
    <t>Venture Capital</t>
  </si>
  <si>
    <t>Corporation</t>
  </si>
  <si>
    <t>Government</t>
  </si>
  <si>
    <t>Selected 1</t>
  </si>
  <si>
    <t>Selected 2</t>
  </si>
  <si>
    <t>EM 1 and EM 2</t>
  </si>
  <si>
    <t>COPM Chart</t>
  </si>
  <si>
    <t>Next Year</t>
  </si>
  <si>
    <t>&lt;-- for a missing column in the main sheet</t>
  </si>
  <si>
    <t>FQ</t>
  </si>
  <si>
    <t>Currency</t>
  </si>
  <si>
    <t>IS_SH_FOR_FULLY_DILUTED_EPS</t>
  </si>
  <si>
    <t>BS_CASH_NEAR_CASH_ITEM</t>
  </si>
  <si>
    <t>CF_CASH_FROM_OPER</t>
  </si>
  <si>
    <t>Display Order</t>
  </si>
  <si>
    <t>Ascend</t>
  </si>
  <si>
    <t>A</t>
  </si>
  <si>
    <t>Fiscal Quarterly</t>
  </si>
  <si>
    <t>Descend</t>
  </si>
  <si>
    <t>USD</t>
  </si>
  <si>
    <t>Fiscal Semi-Annual</t>
  </si>
  <si>
    <t>FS</t>
  </si>
  <si>
    <t>EUR</t>
  </si>
  <si>
    <t>Fiscal Yearly</t>
  </si>
  <si>
    <t>FY</t>
  </si>
  <si>
    <t>JPY</t>
  </si>
  <si>
    <t>Calendar Quarterly</t>
  </si>
  <si>
    <t>CQ</t>
  </si>
  <si>
    <t>GBP</t>
  </si>
  <si>
    <t>Calendar Semi-Annual</t>
  </si>
  <si>
    <t>CS</t>
  </si>
  <si>
    <t>CHF</t>
  </si>
  <si>
    <t>Calendar Yearly</t>
  </si>
  <si>
    <t>CY</t>
  </si>
  <si>
    <t>CAD</t>
  </si>
  <si>
    <t>AUD</t>
  </si>
  <si>
    <t>NZD</t>
  </si>
  <si>
    <t>HKD</t>
  </si>
  <si>
    <t>NOK</t>
  </si>
  <si>
    <t>SEK</t>
  </si>
  <si>
    <t>Periodicity</t>
  </si>
  <si>
    <t>Don't Show Chart</t>
  </si>
  <si>
    <t>Allow Data Transparency</t>
  </si>
  <si>
    <t>Formula Type</t>
  </si>
  <si>
    <t>History</t>
  </si>
  <si>
    <t>Num of Periods</t>
  </si>
  <si>
    <t>Net Debt</t>
  </si>
  <si>
    <t>NET_DEBT</t>
  </si>
  <si>
    <t>Data for the FA tab</t>
  </si>
  <si>
    <t>QUICK_RATIO</t>
  </si>
  <si>
    <t>TOT_DEBT_TO_TOT_CAP</t>
  </si>
  <si>
    <t>TOT_DEBT_TO_TOT_EQY</t>
  </si>
  <si>
    <t>ASSET_TURNOVER</t>
  </si>
  <si>
    <t>ASSET_TO_EQY</t>
  </si>
  <si>
    <t>ACCOUNTS_PAYABLE_TURNOVER_DAYS</t>
  </si>
  <si>
    <t>BEST_NET_DEBT</t>
  </si>
  <si>
    <t>Long Term Growth</t>
  </si>
  <si>
    <t>GEO_GROW_EPS_BEFORE_ABNORMALS</t>
  </si>
  <si>
    <t>BEST_LTG_EPS</t>
  </si>
  <si>
    <t>Net Income GAAP</t>
  </si>
  <si>
    <t>BEST_EPS_1WK_PCT_CHG</t>
  </si>
  <si>
    <t>BEST_EPS_4WK_PCT_CHG</t>
  </si>
  <si>
    <t>BEST_EPS_3MO_PCT_CHG</t>
  </si>
  <si>
    <t>BEST_EPS_6MO_PCT_CHG</t>
  </si>
  <si>
    <t>BEST_EPS_GAAP_1WK_PCT_CHG</t>
  </si>
  <si>
    <t>BEST_EPS_GAAP_4WK_PCT_CHG</t>
  </si>
  <si>
    <t>BEST_EPS_GAAP_3MO_PCT_CHG</t>
  </si>
  <si>
    <t>BEST_EPS_GAAP_6MO_PCT_CHG</t>
  </si>
  <si>
    <t>BEST_SALES_1WK_PCT_CHG</t>
  </si>
  <si>
    <t>BEST_SALES_4WK_PCT_CHG</t>
  </si>
  <si>
    <t>BEST_SALES_3MO_PCT_CHG</t>
  </si>
  <si>
    <t>BEST_SALES_6MO_PCT_CHG</t>
  </si>
  <si>
    <t>BEST_NET_INCOME_1WK_PCT_CHG</t>
  </si>
  <si>
    <t>BEST_NET_INCOME_4WK_PCT_CHG</t>
  </si>
  <si>
    <t>BEST_NET_INCOME_3MO_PCT_CHG</t>
  </si>
  <si>
    <t>BEST_NET_INCOME_6MO_PCT_CHG</t>
  </si>
  <si>
    <t>BEST_NET_GAAP_1WK_PCT_CHG</t>
  </si>
  <si>
    <t>BEST_NET_GAAP_4WK_PCT_CHG</t>
  </si>
  <si>
    <t>BEST_NET_GAAP_3MO_PCT_CHG</t>
  </si>
  <si>
    <t>BEST_NET_GAAP_6MO_PCT_CHG</t>
  </si>
  <si>
    <t>BEST_CPS_1WK_PCT_CHG</t>
  </si>
  <si>
    <t>BEST_CPS_4WK_PCT_CHG</t>
  </si>
  <si>
    <t>BEST_CPS_3MO_PCT_CHG</t>
  </si>
  <si>
    <t>BEST_CPS_6MO_PCT_CHG</t>
  </si>
  <si>
    <t>BEST_DPS_1WK_PCT_CHG</t>
  </si>
  <si>
    <t>BEST_DPS_4WK_PCT_CHG</t>
  </si>
  <si>
    <t>BEST_DPS_3MO_PCT_CHG</t>
  </si>
  <si>
    <t>BEST_DPS_6MO_PCT_CHG</t>
  </si>
  <si>
    <t>BEST_BPS_1WK_PCT_CHG</t>
  </si>
  <si>
    <t>BEST_BPS_4WK_PCT_CHG</t>
  </si>
  <si>
    <t>BEST_BPS_3MO_PCT_CHG</t>
  </si>
  <si>
    <t>BEST_BPS_6MO_PCT_CHG</t>
  </si>
  <si>
    <t>BEST_EBITDA_1WK_PCT_CHG</t>
  </si>
  <si>
    <t>BEST_EBITDA_4WK_PCT_CHG</t>
  </si>
  <si>
    <t>BEST_EBITDA_3MO_PCT_CHG</t>
  </si>
  <si>
    <t>BEST_EBITDA_6MO_PCT_CHG</t>
  </si>
  <si>
    <t>BEST_EBIT_1WK_PCT_CHG</t>
  </si>
  <si>
    <t>BEST_EBIT_4WK_PCT_CHG</t>
  </si>
  <si>
    <t>BEST_EBIT_3MO_PCT_CHG</t>
  </si>
  <si>
    <t>BEST_EBIT_6MO_PCT_CHG</t>
  </si>
  <si>
    <t>BEST_ROE_1WK_PCT_CHG</t>
  </si>
  <si>
    <t>BEST_ROE_4WK_PCT_CHG</t>
  </si>
  <si>
    <t>BEST_ROE_3MO_PCT_CHG</t>
  </si>
  <si>
    <t>BEST_ROE_6MO_PCT_CHG</t>
  </si>
  <si>
    <t>BEST_ROA_1WK_PCT_CHG</t>
  </si>
  <si>
    <t>BEST_ROA_4WK_PCT_CHG</t>
  </si>
  <si>
    <t>BEST_ROA_3MO_PCT_CHG</t>
  </si>
  <si>
    <t>BEST_ROA_6MO_PCT_CHG</t>
  </si>
  <si>
    <t>BEST_OPP_1WK_PCT_CHG</t>
  </si>
  <si>
    <t>BEST_OPP_4WK_PCT_CHG</t>
  </si>
  <si>
    <t>BEST_OPP_3MO_PCT_CHG</t>
  </si>
  <si>
    <t>BEST_OPP_6MO_PCT_CHG</t>
  </si>
  <si>
    <t>BEST_NDEBT_1WK_PCT_CHG</t>
  </si>
  <si>
    <t>BEST_NDEBT_4WK_PCT_CHG</t>
  </si>
  <si>
    <t>BEST_NDEBT_3MO_PCT_CHG</t>
  </si>
  <si>
    <t>BEST_NDEBT_6MO_PCT_CHG</t>
  </si>
  <si>
    <t>BEST_LTG_1WK_PCT_CHG</t>
  </si>
  <si>
    <t>BEST_LTG_4WK_PCT_CHG</t>
  </si>
  <si>
    <t>BEST_LTG_3MO_PCT_CHG</t>
  </si>
  <si>
    <t>BEST_LTG_6MO_PCT_CHG</t>
  </si>
  <si>
    <t>BEST_NET_INC_GAAP_1WK_PCT_CHG</t>
  </si>
  <si>
    <t>BEST_NET_INC_GAAP_4WK_PCT_CHG</t>
  </si>
  <si>
    <t>BEST_NET_INC_GAAP_3MO_PCT_CHG</t>
  </si>
  <si>
    <t>BEST_NET_INC_GAAP_6MO_PCT_CHG</t>
  </si>
  <si>
    <t>Current View</t>
  </si>
  <si>
    <t>Fiscal Q1 Q2 Q3 Q4  Yr</t>
  </si>
  <si>
    <t>Fiscal S1 S2 Yr</t>
  </si>
  <si>
    <t>Selected:</t>
  </si>
  <si>
    <t>QQQQY</t>
  </si>
  <si>
    <t>Cash Flow</t>
  </si>
  <si>
    <t>Ratio Analysis</t>
  </si>
  <si>
    <t>Total Statements</t>
  </si>
  <si>
    <t>Selected Statement</t>
  </si>
  <si>
    <t>User Choice</t>
  </si>
  <si>
    <t>FA Statements</t>
  </si>
  <si>
    <t>Bloomberg Rating:</t>
  </si>
  <si>
    <t>Growth Rate (CAGR) Summary</t>
  </si>
  <si>
    <t>Current Enterprise Value (B)</t>
  </si>
  <si>
    <t>5Y</t>
  </si>
  <si>
    <t>Y</t>
  </si>
  <si>
    <t>INTERVAL_HIGH</t>
  </si>
  <si>
    <t>END_DATE_OVERRIDE</t>
  </si>
  <si>
    <t>Q</t>
  </si>
  <si>
    <t>INTERVAL_LOW</t>
  </si>
  <si>
    <t>INTERVAL_AVG</t>
  </si>
  <si>
    <t>CALC_INTERVAL</t>
  </si>
  <si>
    <t>PERIODICITY_OVERRIDE</t>
  </si>
  <si>
    <t>Daily</t>
  </si>
  <si>
    <t>Weekly</t>
  </si>
  <si>
    <t>Monthly</t>
  </si>
  <si>
    <t>Quarterly</t>
  </si>
  <si>
    <t>Yearly</t>
  </si>
  <si>
    <t>W</t>
  </si>
  <si>
    <t>User Periodicity Selection:</t>
  </si>
  <si>
    <t xml:space="preserve">Valuation Summary   </t>
  </si>
  <si>
    <t>Latest FQ</t>
  </si>
  <si>
    <t>Latest FY</t>
  </si>
  <si>
    <t>-0fq</t>
  </si>
  <si>
    <t>Consolidation Basis</t>
  </si>
  <si>
    <t>Parent</t>
  </si>
  <si>
    <t>Consol</t>
  </si>
  <si>
    <t>BEST Overrides:</t>
  </si>
  <si>
    <t>BDP Overrides:</t>
  </si>
  <si>
    <t>BDH Overrides:</t>
  </si>
  <si>
    <t>EQY_FUND_CRNCY</t>
  </si>
  <si>
    <t>FX</t>
  </si>
  <si>
    <t>BEST_CONSOLIDATED_OVERRIDE</t>
  </si>
  <si>
    <t>EQY_CONSOLIDATED</t>
  </si>
  <si>
    <t>Interval:</t>
  </si>
  <si>
    <t>CRNCY</t>
  </si>
  <si>
    <t>Financial Analysis:</t>
  </si>
  <si>
    <t>BEST</t>
  </si>
  <si>
    <t>HIST</t>
  </si>
  <si>
    <t>BDP -  Ratios</t>
  </si>
  <si>
    <t>Local</t>
  </si>
  <si>
    <t>=BDH(BB_TICKER,$AE$23:$AE$52,"-8fy","","Per=fy","Dir=H",BDH_OVERRIDES,BDH_OVERRIDES_DATA,"cols=1;rows=31")</t>
  </si>
  <si>
    <t>∆</t>
  </si>
  <si>
    <t>5 Year Periodicity:</t>
  </si>
  <si>
    <t>Use XSCF to view company's fundamental background information and detailed earnings data, compare the returns of a selected security to its benchmark index and industry group, perform a peer group analysis and analyze financial data for a specific company.</t>
  </si>
  <si>
    <t>Use Tearsheet Tab, Left side to view Security's Business Segments; Key Statistics; Actual and Estimate Data Tables; Performance, Financial and Ratios data; Two Earnings Tables with more than 20 measures to choose from; Price and Volume data; and Growth and Valuation Summaries.</t>
  </si>
  <si>
    <t>Left Side of Tearsheet</t>
  </si>
  <si>
    <t>Right Side of Tearsheet</t>
  </si>
  <si>
    <t>Use Tearsheet Tab, Right side to view Security's Description; Comparative Returns; Top 20 Holders by various Institution types; Analyst Recommendations; and List of the security's peers, as evaluated by a Bloomberg proprietary algorithm.</t>
  </si>
  <si>
    <t>CSCO US  Equity</t>
  </si>
  <si>
    <t>Change Across Dates</t>
  </si>
  <si>
    <t>Security Data</t>
  </si>
  <si>
    <t>Chart?</t>
  </si>
  <si>
    <t>EV_TO_SALES</t>
  </si>
  <si>
    <t>EV_TO_EBIT</t>
  </si>
  <si>
    <t>EV_TO_EBITDA</t>
  </si>
  <si>
    <t>Country ISO</t>
  </si>
  <si>
    <t xml:space="preserve">As Of Date 2 </t>
  </si>
  <si>
    <t>Exclude Values Above Standard Dev of:</t>
  </si>
  <si>
    <t>As Of Date 1</t>
  </si>
  <si>
    <t>Market Cap Upper Threshold</t>
  </si>
  <si>
    <t>Sector</t>
  </si>
  <si>
    <t>Market Cap Lower Threshold</t>
  </si>
  <si>
    <t>Only Applied To The Last Table</t>
  </si>
  <si>
    <t>Show Query Syntax?</t>
  </si>
  <si>
    <t>Relative Value Sheet</t>
  </si>
  <si>
    <t xml:space="preserve">See how your chosen security fairs versus a market cap weighted average of its own sector within its own index, the index as a whole, and all securities in the same sector and country excluding those outside the market cap thresholds or whose metric is a certain number of standard deviations away from the group.
</t>
  </si>
  <si>
    <t>#N/A Invalid Parameter: Unable to determine a data providing service for RR902(currency=toScalarPerInstrument(RR968(FILL=PREV).currency)).</t>
  </si>
  <si>
    <t>Not Provided</t>
  </si>
  <si>
    <t>12 month</t>
  </si>
  <si>
    <t>n/a</t>
  </si>
  <si>
    <t>Issuer</t>
  </si>
  <si>
    <t>Germany</t>
  </si>
  <si>
    <t>Morgan Stanley</t>
  </si>
  <si>
    <t>EXCH</t>
  </si>
  <si>
    <t>United States</t>
  </si>
  <si>
    <t>New York City/Southern CT/Northern NJ</t>
  </si>
  <si>
    <t>Unclassified</t>
  </si>
  <si>
    <t>Vanguard Group Inc/T</t>
  </si>
  <si>
    <t>ULT-AGG</t>
  </si>
  <si>
    <t>Philadelphia</t>
  </si>
  <si>
    <t>Blackrock Inc</t>
  </si>
  <si>
    <t>Multiple Portfolios</t>
  </si>
  <si>
    <t>MF-AGG</t>
  </si>
  <si>
    <t>Norges Bank</t>
  </si>
  <si>
    <t>Norway</t>
  </si>
  <si>
    <t>Oslo</t>
  </si>
  <si>
    <t>Frankfurt</t>
  </si>
  <si>
    <t>Deutsche Bank AG</t>
  </si>
  <si>
    <t>outperform</t>
  </si>
  <si>
    <t>buy</t>
  </si>
  <si>
    <t>JP Morgan</t>
  </si>
  <si>
    <t>overweight</t>
  </si>
  <si>
    <t>Shaqeal Kirunda</t>
  </si>
  <si>
    <t>BNP Paribas</t>
  </si>
  <si>
    <t>Goldman Sachs</t>
  </si>
  <si>
    <t>Barclays</t>
  </si>
  <si>
    <t>MWB Research</t>
  </si>
  <si>
    <t>Jefferies</t>
  </si>
  <si>
    <t>hold</t>
  </si>
  <si>
    <t>Citi</t>
  </si>
  <si>
    <t>sell</t>
  </si>
  <si>
    <t>N</t>
  </si>
  <si>
    <t>Sadif Investment Analytics</t>
  </si>
  <si>
    <t>Team Coverage</t>
  </si>
  <si>
    <t>Baptista Research</t>
  </si>
  <si>
    <t>Ishan Majumdar</t>
  </si>
  <si>
    <t>FY1 2021</t>
  </si>
  <si>
    <t>FY1 2022</t>
  </si>
  <si>
    <t>FY1 2023</t>
  </si>
  <si>
    <t>FY1 2024</t>
  </si>
  <si>
    <t>FY1 2025</t>
  </si>
  <si>
    <t>FS2 2021</t>
  </si>
  <si>
    <t>FS1 2022</t>
  </si>
  <si>
    <t>FS2 2022</t>
  </si>
  <si>
    <t>FS1 2023</t>
  </si>
  <si>
    <t>FS2 2023</t>
  </si>
  <si>
    <t>FS1 2024</t>
  </si>
  <si>
    <t>FS2 2024</t>
  </si>
  <si>
    <t>FS1 2025</t>
  </si>
  <si>
    <t>FS2 2025</t>
  </si>
  <si>
    <t>FQ1 2021</t>
  </si>
  <si>
    <t>FQ2 2021</t>
  </si>
  <si>
    <t>FQ3 2021</t>
  </si>
  <si>
    <t>FQ4 2021</t>
  </si>
  <si>
    <t>FQ1 2022</t>
  </si>
  <si>
    <t>FQ2 2022</t>
  </si>
  <si>
    <t>FQ3 2022</t>
  </si>
  <si>
    <t>FQ4 2022</t>
  </si>
  <si>
    <t>FQ1 2023</t>
  </si>
  <si>
    <t>FQ2 2023</t>
  </si>
  <si>
    <t>FQ3 2023</t>
  </si>
  <si>
    <t>FQ4 2023</t>
  </si>
  <si>
    <t>FQ1 2024</t>
  </si>
  <si>
    <t>FQ2 2024</t>
  </si>
  <si>
    <t>FQ3 2024</t>
  </si>
  <si>
    <t>FQ4 2024</t>
  </si>
  <si>
    <t>FQ1 2025</t>
  </si>
  <si>
    <t>FQ2 2025</t>
  </si>
  <si>
    <t>FQ3 2025</t>
  </si>
  <si>
    <t>FQ4 2025</t>
  </si>
  <si>
    <t>FQ1 2026</t>
  </si>
  <si>
    <t>S5CONS</t>
  </si>
  <si>
    <t>S5ENRS</t>
  </si>
  <si>
    <t>S5FINL</t>
  </si>
  <si>
    <t>S5HLTH</t>
  </si>
  <si>
    <t>S5INDU</t>
  </si>
  <si>
    <t>S5INFT</t>
  </si>
  <si>
    <t>S5MATR</t>
  </si>
  <si>
    <t>S5RLST</t>
  </si>
  <si>
    <t>S5TELS</t>
  </si>
  <si>
    <t>S5UTIL</t>
  </si>
  <si>
    <t>Level</t>
  </si>
  <si>
    <t>FY 2025</t>
  </si>
  <si>
    <t>Reconciliation</t>
  </si>
  <si>
    <t>IVG IM</t>
  </si>
  <si>
    <t>SFQ GR</t>
  </si>
  <si>
    <t>Oddo BHF</t>
  </si>
  <si>
    <t>Hemal Bhundia</t>
  </si>
  <si>
    <t>neutral</t>
  </si>
  <si>
    <t>Klas Bergelind</t>
  </si>
  <si>
    <t>Nicolai Kempf</t>
  </si>
  <si>
    <t>Bernstein</t>
  </si>
  <si>
    <t>Harry Martin</t>
  </si>
  <si>
    <t>Jose Asumendi</t>
  </si>
  <si>
    <t>Lewis Merrick</t>
  </si>
  <si>
    <t>Michael Aspinall</t>
  </si>
  <si>
    <t>Daniela Costa</t>
  </si>
  <si>
    <t>Landesbank Baden-Wuerttemberg</t>
  </si>
  <si>
    <t>Frank Biller</t>
  </si>
  <si>
    <t>Anthony Dick</t>
  </si>
  <si>
    <t>DZ Bank AG Research</t>
  </si>
  <si>
    <t>Holger Schmidt</t>
  </si>
  <si>
    <t>Leon Muehlenbruch</t>
  </si>
  <si>
    <t>Kepler Cheuvreux</t>
  </si>
  <si>
    <t>Michael Raab</t>
  </si>
  <si>
    <t>reduce</t>
  </si>
  <si>
    <t>MP Capital Markets</t>
  </si>
  <si>
    <t>Fabio Holscher</t>
  </si>
  <si>
    <t>Erwann Dagorne</t>
  </si>
  <si>
    <t>equalweight</t>
  </si>
  <si>
    <t>ISS-EVA</t>
  </si>
  <si>
    <t>United Kingdom</t>
  </si>
  <si>
    <t>London</t>
  </si>
  <si>
    <t>Credit Agricole Grou</t>
  </si>
  <si>
    <t>France</t>
  </si>
  <si>
    <t>Paris</t>
  </si>
  <si>
    <t>Invesco Ltd</t>
  </si>
  <si>
    <t>Atlanta</t>
  </si>
  <si>
    <t>8TRA GY</t>
  </si>
  <si>
    <t>DTG GR</t>
  </si>
  <si>
    <t>ACLN SW</t>
  </si>
  <si>
    <t>Traton Financial Services</t>
  </si>
  <si>
    <t>Traton Operations</t>
  </si>
  <si>
    <t>Corporate</t>
  </si>
  <si>
    <t>Karl Bernqvist,  CPO/Member-Mgmt Board</t>
  </si>
  <si>
    <t>Dr Michael Jackstein,  CFO/Member-Mgmt Board</t>
  </si>
  <si>
    <t>Catharina Modahl-Nilsson,  CTO/Member-Mgmt Board</t>
  </si>
  <si>
    <t>Mathias Carlbaum,  Member-Mgmt Board</t>
  </si>
  <si>
    <t>Antonio Roberto Cortes,  Member-Mgmt Board</t>
  </si>
  <si>
    <t>Alexander Albertus Gerhardus Vlaskamp,  Member-Mgmt Board</t>
  </si>
  <si>
    <t>Niklas Klingenberg,  Member-Mgmt Board</t>
  </si>
  <si>
    <t>Stefan Palmgren,  Head:Production &amp; Logistics</t>
  </si>
  <si>
    <t>Ursula Querette,  Head:Investor Relations</t>
  </si>
  <si>
    <t>UBS</t>
  </si>
  <si>
    <t>Skandinaviska Enskil</t>
  </si>
  <si>
    <t>Sweden</t>
  </si>
  <si>
    <t>Stockholm</t>
  </si>
  <si>
    <t>Swedbank AB</t>
  </si>
  <si>
    <t>Lannebo Kapitalforva</t>
  </si>
  <si>
    <t>WisdomTree Inc</t>
  </si>
  <si>
    <t>Indecap AB</t>
  </si>
  <si>
    <t>Svenska Handelsbanke</t>
  </si>
  <si>
    <t>Banque Federative du</t>
  </si>
  <si>
    <t>Omnis Investments Lt</t>
  </si>
  <si>
    <t>Charles Schwab Corp/</t>
  </si>
  <si>
    <t>Brokerage</t>
  </si>
  <si>
    <t>San Francisco/San Jose</t>
  </si>
  <si>
    <t>DekaBank Deutsche Gi</t>
  </si>
  <si>
    <t>Carlson Lararfonder</t>
  </si>
  <si>
    <t>GGCP Inc</t>
  </si>
  <si>
    <t>Pareto Asset Managem</t>
  </si>
  <si>
    <t>Svenska Handelsbanken</t>
  </si>
  <si>
    <t>Hampus Engellau</t>
  </si>
  <si>
    <t>market perform</t>
  </si>
  <si>
    <t>ABG Sundal Collier</t>
  </si>
  <si>
    <t>Karl Bokvist</t>
  </si>
  <si>
    <t>SEB Bank</t>
  </si>
  <si>
    <t>Fredrik Agardh</t>
  </si>
  <si>
    <t>Pareto Securities</t>
  </si>
  <si>
    <t>Forbes Goldman</t>
  </si>
  <si>
    <t>DNB Carnegie</t>
  </si>
  <si>
    <t>Mattias Holmberg</t>
  </si>
  <si>
    <t>Bankhaus Metzler</t>
  </si>
  <si>
    <t>Pal Skirta</t>
  </si>
  <si>
    <t>Underwt/In-Line</t>
  </si>
  <si>
    <t>Independent Research GmbH</t>
  </si>
  <si>
    <t>Sven Diermeir</t>
  </si>
  <si>
    <t>Bloomberg Rating: IG10      Sector: Industrials       Industry: Machinery       Sub-Industry: Construction Machinery &amp; Heavy       FY End: 1200 YYYY       EPS Due: 23/07/2026</t>
  </si>
  <si>
    <t>Business Segments (FY: 1200-yy)</t>
  </si>
  <si>
    <t>Traton SE designs and manufactures automobiles. The Company produces light-duty commercial vehicles, trucks, and buses. Traton serves customers worldwide.</t>
  </si>
  <si>
    <t>25.78 - 37.34</t>
  </si>
  <si>
    <t>00/yyyy</t>
  </si>
  <si>
    <t>Volkswagen AG</t>
  </si>
  <si>
    <t/>
  </si>
  <si>
    <t>500.00 M</t>
  </si>
  <si>
    <t>Dachauer Strasse 641 Muenchen, 80995 Germany</t>
  </si>
  <si>
    <t>49-89-3609-870</t>
  </si>
  <si>
    <t>www.traton.com</t>
  </si>
  <si>
    <t>23 Analysts</t>
  </si>
  <si>
    <t>Christian Levin</t>
  </si>
  <si>
    <t>Dr Michael Jackstein</t>
  </si>
  <si>
    <t xml:space="preserve"># Employees as of 31/03/2026: </t>
  </si>
  <si>
    <t>IG10</t>
  </si>
  <si>
    <t>Q1 Mar</t>
  </si>
  <si>
    <t>Q2 Jun</t>
  </si>
  <si>
    <t>Q3 Sep</t>
  </si>
  <si>
    <t>Q4 Dec</t>
  </si>
  <si>
    <t xml:space="preserve"> Revision</t>
  </si>
  <si>
    <t>Qtr End 06/26</t>
  </si>
  <si>
    <t>Deutsche Bank</t>
  </si>
  <si>
    <t>Qtr End 09/26</t>
  </si>
  <si>
    <t>FY End 12/26</t>
  </si>
  <si>
    <t>FY End 12/27</t>
  </si>
  <si>
    <t>Traton SE</t>
  </si>
  <si>
    <t>16.75 B</t>
  </si>
  <si>
    <t>DAX INDEX</t>
  </si>
  <si>
    <t>Volvo AB</t>
  </si>
  <si>
    <t>669.17 B</t>
  </si>
  <si>
    <t>Industry (INDU Index)</t>
  </si>
  <si>
    <t>Daimler Truck Holding AG</t>
  </si>
  <si>
    <t>32.43 B</t>
  </si>
  <si>
    <t>Iveco Group NV</t>
  </si>
  <si>
    <t>3.78 B</t>
  </si>
  <si>
    <t>12/17 Y</t>
  </si>
  <si>
    <t>12/18 Y</t>
  </si>
  <si>
    <t>12/19 Y</t>
  </si>
  <si>
    <t>12/20 Y</t>
  </si>
  <si>
    <t>12/21 Y</t>
  </si>
  <si>
    <t>12/22 Y</t>
  </si>
  <si>
    <t>12/23 Y</t>
  </si>
  <si>
    <t>12/24 Y</t>
  </si>
  <si>
    <t>12/25 Y</t>
  </si>
  <si>
    <t>SAF-Holland SE</t>
  </si>
  <si>
    <t>0.91 B</t>
  </si>
  <si>
    <t>Accelleron Industries AG</t>
  </si>
  <si>
    <t>7.60 B</t>
  </si>
  <si>
    <t>31/12/2025</t>
  </si>
  <si>
    <t>8TRA GY's Mkt Cap</t>
  </si>
  <si>
    <t>DAX</t>
  </si>
  <si>
    <t>Industrials</t>
  </si>
  <si>
    <t>DE</t>
  </si>
  <si>
    <t>GICS_SECTOR_NAME=='Industrials'</t>
  </si>
  <si>
    <t>CUR_MKT_CAP&gt;1000000000</t>
  </si>
  <si>
    <t>CUR_MKT_CAP&lt;10000000000000</t>
  </si>
  <si>
    <t>COUNTRY_ISO=='DE'</t>
  </si>
  <si>
    <t>=BQL("8TRA GY Equity","PE_RATIO","DATES=2026-07-01","CURRENCY=EUR","FILL=PREV")</t>
  </si>
  <si>
    <t>8TRA GY YYYY-07-DD</t>
  </si>
  <si>
    <t>#N/A</t>
  </si>
  <si>
    <t>8TRA GY YYYY-06-DD</t>
  </si>
  <si>
    <t>=BQL("FILTER(MEMBERS('DAX Index'),GICS_SECTOR_NAME=='Industrials')","WAVG(GROUP(ZNAV(PE_RATIO)),GROUP(CUR_MKT_CAP))","DATES=2026-07-01","CURRENCY=EUR","FILL=PREV")</t>
  </si>
  <si>
    <t>Industrials Within DAX</t>
  </si>
  <si>
    <t>Industrials Within DAX YYYY-07-DD</t>
  </si>
  <si>
    <t>Industrials Within DAX YYYY-06-DD</t>
  </si>
  <si>
    <t>8TRA GY vs sector Date 1</t>
  </si>
  <si>
    <t>8TRA GY vs sector Date 2</t>
  </si>
  <si>
    <t>=BQL("MEMBERS('DAX Index')","WAVG(GROUP(ZNAV(PE_RATIO),CUR_MKT_CAP))","DATES=2026-07-01","CURRENCY=EUR","FILL=PREV")</t>
  </si>
  <si>
    <t>DAX YYYY-07-DD</t>
  </si>
  <si>
    <t>DAX YYYY-06-DD</t>
  </si>
  <si>
    <t>8TRA GY vs DAX Date 1</t>
  </si>
  <si>
    <t>8TRA GY vs DAX Date 2</t>
  </si>
  <si>
    <t>=BQL.QUERY("let(#SDCat1 = ungroup(zscore(group(PE_RATIO)));)
get(wavg(group(znav(PE_RATIO)),group(cur_mkt_cap)))
for(filter(filter(filter(equitiesuniv(['Active','Primary']),GICS_SECTOR_NAME=='Industrials'),COUNTRY_ISO=='DE' AND CUR_MKT_CAP&gt;1000000000 AND CUR_MKT_CAP&lt;10000000000000), abs(#SDCat1) &lt;= 3))
with(mode=cached,fill=prev,currency=EUR,dates=2026-07-01)")</t>
  </si>
  <si>
    <t>All Secs In Industrials And DE In Mkt Cap Range And Metric Below Std Dev</t>
  </si>
  <si>
    <t>Same Sector And Country With Mkt Cap Filter and Std Dev Filter YYYY-07-DD</t>
  </si>
  <si>
    <t>Same Sector And Country With Mkt Cap Filter and Std Dev Filter YYYY-06-DD</t>
  </si>
  <si>
    <t>8TRA GY vs all securities Date 1</t>
  </si>
  <si>
    <t>8TRA GY vs all securities Date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</si>
</sst>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1" formatCode="_-* #,##0_-;\-* #,##0_-;_-* &quot;-&quot;_-;_-@_-"/>
    <numFmt numFmtId="43" formatCode="_-* #,##0.00_-;\-* #,##0.00_-;_-* &quot;-&quot;??_-;_-@_-"/>
    <numFmt numFmtId="164" formatCode="&quot;£&quot;#,##0.00;[Red]\-&quot;£&quot;#,##0.00"/>
    <numFmt numFmtId="165" formatCode="_(&quot;$&quot;* #,##0_);_(&quot;$&quot;* \(#,##0\);_(&quot;$&quot;* &quot;-&quot;_);_(@_)"/>
    <numFmt numFmtId="166" formatCode="_(&quot;$&quot;* #,##0.00_);_(&quot;$&quot;* \(#,##0.00\);_(&quot;$&quot;* &quot;-&quot;??_);_(@_)"/>
    <numFmt numFmtId="167" formatCode="0.0%"/>
    <numFmt numFmtId="168" formatCode="0.0"/>
    <numFmt numFmtId="169" formatCode="0.0\x"/>
    <numFmt numFmtId="170" formatCode="_(* #,##0_);_(* \(#,##0\);_(* &quot;-&quot;??_);_(@_)"/>
    <numFmt numFmtId="171" formatCode="_(&quot;$&quot;* #,##0.0_);_(&quot;$&quot;* \(#,##0.0\);_(&quot;$&quot;* &quot;-&quot;??_);_(@_)"/>
    <numFmt numFmtId="172" formatCode="_(* #,##0.0_);_(* \(#,##0.0\);_(* &quot;-&quot;??_);_(@_)"/>
    <numFmt numFmtId="173" formatCode="#,##0.0;[Red]#,##0.0"/>
    <numFmt numFmtId="174" formatCode="#,##0.0"/>
    <numFmt numFmtId="175" formatCode="#,##0.0_);\(#,##0.0\)"/>
    <numFmt numFmtId="176" formatCode="_(* #,##0.00_);_(* \(#,##0.00\);_(* &quot;-&quot;_);_(@_)"/>
    <numFmt numFmtId="177" formatCode="&quot;$&quot;#,##0.000_);\(&quot;$&quot;#,##0.000\)"/>
    <numFmt numFmtId="178" formatCode="0.00_)"/>
    <numFmt numFmtId="179" formatCode="m/yy"/>
    <numFmt numFmtId="180" formatCode="_(&quot;$&quot;* #,##0_);_(&quot;$&quot;* \(#,##0\);_(&quot;$&quot;* &quot;-&quot;??_);_(@_)"/>
    <numFmt numFmtId="181" formatCode="#,##0.000;\(#,##0.000\)"/>
    <numFmt numFmtId="182" formatCode="#,##0.0;\(#,##0.0\)"/>
    <numFmt numFmtId="183" formatCode="m/d/yy&quot; E&quot;"/>
    <numFmt numFmtId="184" formatCode="&quot;$&quot;#,##0\ ;\(&quot;$&quot;#,##0\)"/>
    <numFmt numFmtId="185" formatCode="0\A"/>
    <numFmt numFmtId="186" formatCode="#,##0;\(#,##0\)"/>
    <numFmt numFmtId="187" formatCode="\$0.00;\(\$0.00\)"/>
    <numFmt numFmtId="188" formatCode="_-* #,##0_-;\(#,##0\);_-* &quot;–&quot;_-;_-@_-"/>
    <numFmt numFmtId="189" formatCode="#,##0;\(#,##0\);\–;@"/>
    <numFmt numFmtId="190" formatCode="0.0&quot;  &quot;"/>
    <numFmt numFmtId="191" formatCode="General_)"/>
    <numFmt numFmtId="192" formatCode="_(* #,##0.0_);_(* \(#,##0.0\);_(* &quot;-&quot;?_);_(@_)"/>
    <numFmt numFmtId="193" formatCode="&quot;$&quot;#,##0.0;\(&quot;$&quot;#,##0.0\)"/>
    <numFmt numFmtId="194" formatCode="#,##0_);\(#,##0\);0_)"/>
    <numFmt numFmtId="195" formatCode="mmm\-yyyy"/>
    <numFmt numFmtId="196" formatCode="0.000_)"/>
    <numFmt numFmtId="197" formatCode="_(* #,##0.0_);_(* \(#,##0.0\);_(* &quot;--- &quot;_)"/>
    <numFmt numFmtId="198" formatCode="\£\ #,##0_);[Red]\(\£\ #,##0\)"/>
    <numFmt numFmtId="199" formatCode="\¥\ #,##0_);[Red]\(\¥\ #,##0\)"/>
    <numFmt numFmtId="200" formatCode="\•\ \ @"/>
    <numFmt numFmtId="201" formatCode="\ \ _•\–\ \ \ \ @"/>
    <numFmt numFmtId="202" formatCode="#,##0.0;\(###0.0\)"/>
    <numFmt numFmtId="203" formatCode="0.00\ "/>
    <numFmt numFmtId="204" formatCode="0.00000000000000000%"/>
    <numFmt numFmtId="205" formatCode="0.0\x;&quot;NM &quot;"/>
    <numFmt numFmtId="206" formatCode="_(* #,##0.0000_);_(* \(#,##0.0000\);_(* &quot;-&quot;??_);_(@_)"/>
    <numFmt numFmtId="207" formatCode="&quot;$&quot;#,##0;[Red]&quot;$&quot;#,##0"/>
    <numFmt numFmtId="208" formatCode="_(* #,##0.00000_);_(* \(#,##0.00000\);_(* &quot;-&quot;??_);_(@_)"/>
    <numFmt numFmtId="209" formatCode="0.0000%"/>
    <numFmt numFmtId="210" formatCode="#,##0.0\x;\(#,##0.0\)\x"/>
    <numFmt numFmtId="211" formatCode="_-* #,##0.00_-;[Red]\ \(#,##0.00\);_-* &quot;-&quot;??_-;_-@_-"/>
    <numFmt numFmtId="212" formatCode="_([$€-2]* #,##0.00_);_([$€-2]* \(#,##0.00\);_([$€-2]* &quot;-&quot;??_)"/>
  </numFmts>
  <fonts count="156">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9"/>
      <name val="Calibri"/>
      <family val="2"/>
    </font>
    <font>
      <sz val="11"/>
      <color indexed="9"/>
      <name val="Calibri"/>
      <family val="2"/>
    </font>
    <font>
      <b/>
      <sz val="10"/>
      <name val="Calibri"/>
      <family val="2"/>
    </font>
    <font>
      <sz val="10"/>
      <name val="Arial"/>
      <family val="2"/>
    </font>
    <font>
      <sz val="10"/>
      <name val="Calibri"/>
      <family val="2"/>
    </font>
    <font>
      <sz val="10"/>
      <name val="Arial"/>
      <family val="2"/>
    </font>
    <font>
      <sz val="8"/>
      <name val="Calibri"/>
      <family val="2"/>
    </font>
    <font>
      <sz val="11"/>
      <color indexed="10"/>
      <name val="Calibri"/>
      <family val="2"/>
    </font>
    <font>
      <sz val="11"/>
      <color indexed="8"/>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sz val="10"/>
      <name val="Arial"/>
      <family val="2"/>
    </font>
    <font>
      <sz val="11"/>
      <color indexed="36"/>
      <name val="Calibri"/>
      <family val="2"/>
    </font>
    <font>
      <b/>
      <sz val="11"/>
      <color indexed="43"/>
      <name val="Calibri"/>
      <family val="2"/>
    </font>
    <font>
      <b/>
      <sz val="15"/>
      <color indexed="62"/>
      <name val="Calibri"/>
      <family val="2"/>
    </font>
    <font>
      <b/>
      <sz val="13"/>
      <color indexed="62"/>
      <name val="Calibri"/>
      <family val="2"/>
    </font>
    <font>
      <b/>
      <sz val="11"/>
      <color indexed="62"/>
      <name val="Calibri"/>
      <family val="2"/>
    </font>
    <font>
      <sz val="11"/>
      <color indexed="43"/>
      <name val="Calibri"/>
      <family val="2"/>
    </font>
    <font>
      <b/>
      <sz val="18"/>
      <color indexed="62"/>
      <name val="Cambria"/>
      <family val="2"/>
    </font>
    <font>
      <b/>
      <sz val="12"/>
      <color indexed="9"/>
      <name val="Calibri"/>
      <family val="2"/>
    </font>
    <font>
      <sz val="11"/>
      <color indexed="8"/>
      <name val="Calibri"/>
      <family val="2"/>
    </font>
    <font>
      <b/>
      <sz val="11"/>
      <color indexed="8"/>
      <name val="Calibri"/>
      <family val="2"/>
    </font>
    <font>
      <sz val="11"/>
      <color indexed="8"/>
      <name val="Calibri"/>
      <family val="2"/>
    </font>
    <font>
      <sz val="11"/>
      <name val="Calibri"/>
      <family val="2"/>
    </font>
    <font>
      <sz val="10"/>
      <name val="Arial"/>
      <family val="2"/>
    </font>
    <font>
      <sz val="12"/>
      <name val="Calibri"/>
      <family val="2"/>
    </font>
    <font>
      <sz val="11"/>
      <name val="Calibri"/>
      <family val="2"/>
    </font>
    <font>
      <sz val="10"/>
      <name val="Arial"/>
      <family val="2"/>
    </font>
    <font>
      <sz val="8"/>
      <color indexed="81"/>
      <name val="Tahoma"/>
      <family val="2"/>
    </font>
    <font>
      <b/>
      <sz val="9"/>
      <color indexed="81"/>
      <name val="Tahoma"/>
      <family val="2"/>
    </font>
    <font>
      <b/>
      <sz val="8"/>
      <color indexed="81"/>
      <name val="Tahoma"/>
      <family val="2"/>
    </font>
    <font>
      <sz val="9"/>
      <color indexed="8"/>
      <name val="Arial"/>
      <family val="2"/>
    </font>
    <font>
      <sz val="11"/>
      <color indexed="63"/>
      <name val="Verdana"/>
      <family val="2"/>
    </font>
    <font>
      <sz val="9"/>
      <color indexed="8"/>
      <name val="Times New Roman"/>
      <family val="1"/>
    </font>
    <font>
      <sz val="10"/>
      <name val="MS Sans Serif"/>
      <family val="2"/>
    </font>
    <font>
      <sz val="10"/>
      <name val="Times New Roman"/>
      <family val="1"/>
    </font>
    <font>
      <sz val="12"/>
      <name val="Times New Roman"/>
      <family val="1"/>
    </font>
    <font>
      <b/>
      <sz val="10"/>
      <name val="Times New Roman"/>
      <family val="1"/>
    </font>
    <font>
      <b/>
      <sz val="12"/>
      <name val="Times New Roman"/>
      <family val="1"/>
    </font>
    <font>
      <b/>
      <sz val="11"/>
      <name val="Times New Roman"/>
      <family val="1"/>
    </font>
    <font>
      <sz val="9"/>
      <name val="Times New Roman"/>
      <family val="1"/>
    </font>
    <font>
      <sz val="8"/>
      <name val="Arial"/>
      <family val="2"/>
    </font>
    <font>
      <b/>
      <i/>
      <sz val="16"/>
      <name val="Helv"/>
    </font>
    <font>
      <sz val="9"/>
      <color indexed="9"/>
      <name val="Times New Roman"/>
      <family val="1"/>
    </font>
    <font>
      <sz val="10"/>
      <color indexed="12"/>
      <name val="Times New Roman"/>
      <family val="1"/>
    </font>
    <font>
      <b/>
      <sz val="10"/>
      <name val="Arial"/>
      <family val="2"/>
    </font>
    <font>
      <sz val="10"/>
      <name val="Courier"/>
      <family val="3"/>
    </font>
    <font>
      <i/>
      <sz val="11"/>
      <name val="Helvetica-Black"/>
      <family val="2"/>
    </font>
    <font>
      <sz val="11"/>
      <name val="Arial"/>
      <family val="2"/>
    </font>
    <font>
      <sz val="8"/>
      <color indexed="12"/>
      <name val="Arial"/>
      <family val="2"/>
    </font>
    <font>
      <i/>
      <sz val="8"/>
      <color indexed="16"/>
      <name val="Arial"/>
      <family val="2"/>
    </font>
    <font>
      <i/>
      <sz val="8"/>
      <color indexed="54"/>
      <name val="Arial"/>
      <family val="2"/>
    </font>
    <font>
      <i/>
      <sz val="9"/>
      <color indexed="16"/>
      <name val="Arial"/>
      <family val="2"/>
    </font>
    <font>
      <b/>
      <sz val="11"/>
      <name val="Arial"/>
      <family val="2"/>
    </font>
    <font>
      <b/>
      <sz val="9"/>
      <name val="Arial"/>
      <family val="2"/>
    </font>
    <font>
      <sz val="9"/>
      <name val="Arial"/>
      <family val="2"/>
    </font>
    <font>
      <b/>
      <sz val="10"/>
      <color indexed="8"/>
      <name val="Times New Roman"/>
      <family val="1"/>
    </font>
    <font>
      <b/>
      <sz val="9"/>
      <name val="Helvetica 65"/>
      <family val="2"/>
    </font>
    <font>
      <sz val="10"/>
      <name val="Letter Gothic"/>
      <family val="3"/>
    </font>
    <font>
      <b/>
      <sz val="24"/>
      <name val="Times New Roman"/>
      <family val="1"/>
    </font>
    <font>
      <sz val="9"/>
      <name val="Helvetica 45"/>
      <family val="2"/>
    </font>
    <font>
      <b/>
      <sz val="8.5"/>
      <color indexed="17"/>
      <name val="Arial"/>
      <family val="2"/>
    </font>
    <font>
      <sz val="7"/>
      <name val="Arial"/>
      <family val="2"/>
    </font>
    <font>
      <b/>
      <sz val="7"/>
      <color indexed="17"/>
      <name val="Arial"/>
      <family val="2"/>
    </font>
    <font>
      <sz val="8.5"/>
      <color indexed="8"/>
      <name val="Arial"/>
      <family val="2"/>
    </font>
    <font>
      <b/>
      <sz val="18"/>
      <name val="Arial"/>
      <family val="2"/>
    </font>
    <font>
      <b/>
      <sz val="12"/>
      <name val="Arial"/>
      <family val="2"/>
    </font>
    <font>
      <sz val="10"/>
      <color indexed="10"/>
      <name val="Times New Roman"/>
      <family val="1"/>
    </font>
    <font>
      <b/>
      <sz val="14"/>
      <name val="Arial"/>
      <family val="2"/>
    </font>
    <font>
      <b/>
      <sz val="14"/>
      <name val="Times New Roman"/>
      <family val="1"/>
    </font>
    <font>
      <sz val="12"/>
      <name val="Helvetica"/>
      <family val="2"/>
    </font>
    <font>
      <b/>
      <sz val="8"/>
      <name val="HelveticaNeue Condensed"/>
    </font>
    <font>
      <sz val="8"/>
      <name val="HelveticaNeue LightCond"/>
      <family val="2"/>
    </font>
    <font>
      <b/>
      <sz val="7"/>
      <name val="HelveticaNeue Condensed"/>
      <family val="2"/>
    </font>
    <font>
      <b/>
      <sz val="9"/>
      <name val="Times New Roman"/>
      <family val="1"/>
    </font>
    <font>
      <b/>
      <sz val="8.5"/>
      <color indexed="8"/>
      <name val="Arial"/>
      <family val="2"/>
    </font>
    <font>
      <sz val="8"/>
      <name val="Helvetica-Narrow"/>
      <family val="2"/>
    </font>
    <font>
      <sz val="10"/>
      <name val="Arial Narrow"/>
      <family val="2"/>
    </font>
    <font>
      <sz val="8"/>
      <name val="Tms Rmn"/>
    </font>
    <font>
      <sz val="11"/>
      <name val="‚l‚r ƒSƒVƒbƒN"/>
      <charset val="128"/>
    </font>
    <font>
      <sz val="12"/>
      <name val="Arial MT"/>
    </font>
    <font>
      <sz val="9"/>
      <color indexed="12"/>
      <name val="Times New Roman"/>
      <family val="1"/>
    </font>
    <font>
      <sz val="8"/>
      <color indexed="13"/>
      <name val="Arial"/>
      <family val="2"/>
    </font>
    <font>
      <sz val="8"/>
      <color indexed="12"/>
      <name val="Tms Rmn"/>
    </font>
    <font>
      <sz val="10"/>
      <name val="Book Antiqua"/>
      <family val="1"/>
    </font>
    <font>
      <sz val="10"/>
      <color indexed="18"/>
      <name val="Times New Roman"/>
      <family val="1"/>
    </font>
    <font>
      <b/>
      <sz val="8"/>
      <name val="Arial"/>
      <family val="2"/>
    </font>
    <font>
      <sz val="11"/>
      <name val="Tms Rmn"/>
      <family val="1"/>
    </font>
    <font>
      <i/>
      <sz val="9"/>
      <name val="MS Sans Serif"/>
      <family val="2"/>
    </font>
    <font>
      <sz val="8"/>
      <name val="Times New Roman"/>
      <family val="1"/>
    </font>
    <font>
      <sz val="10"/>
      <color indexed="8"/>
      <name val="Arial"/>
      <family val="2"/>
    </font>
    <font>
      <sz val="14"/>
      <color indexed="32"/>
      <name val="Times New Roman"/>
      <family val="1"/>
    </font>
    <font>
      <b/>
      <sz val="10"/>
      <color indexed="17"/>
      <name val="Helvetica"/>
      <family val="2"/>
    </font>
    <font>
      <sz val="9"/>
      <name val="Futura UBS Bk"/>
      <family val="2"/>
    </font>
    <font>
      <sz val="7"/>
      <name val="Small Fonts"/>
      <family val="2"/>
    </font>
    <font>
      <b/>
      <sz val="12"/>
      <name val="Tms Rmn"/>
    </font>
    <font>
      <b/>
      <sz val="13.5"/>
      <name val="MS Sans Serif"/>
      <family val="2"/>
    </font>
    <font>
      <sz val="8"/>
      <color indexed="32"/>
      <name val="Arial"/>
      <family val="2"/>
    </font>
    <font>
      <sz val="8"/>
      <color indexed="12"/>
      <name val="Helvetica"/>
      <family val="2"/>
    </font>
    <font>
      <u/>
      <sz val="8"/>
      <name val="Tms Rmn"/>
    </font>
    <font>
      <sz val="8"/>
      <color indexed="16"/>
      <name val="Helv"/>
    </font>
    <font>
      <sz val="12"/>
      <name val="¹ÙÅÁÃ¼"/>
      <family val="1"/>
      <charset val="129"/>
    </font>
    <font>
      <b/>
      <sz val="10"/>
      <name val="Helv"/>
    </font>
    <font>
      <sz val="8"/>
      <name val="Palatino"/>
      <family val="1"/>
    </font>
    <font>
      <sz val="7"/>
      <name val="Palatino"/>
      <family val="1"/>
    </font>
    <font>
      <sz val="12"/>
      <name val="Arial"/>
      <family val="2"/>
    </font>
    <font>
      <b/>
      <sz val="12"/>
      <name val="Helv"/>
    </font>
    <font>
      <i/>
      <sz val="14"/>
      <name val="Palatino"/>
      <family val="1"/>
    </font>
    <font>
      <b/>
      <sz val="11"/>
      <name val="Helv"/>
    </font>
    <font>
      <sz val="10"/>
      <name val="Palatino"/>
      <family val="1"/>
    </font>
    <font>
      <sz val="11"/>
      <name val="‚l‚r –¾’©"/>
      <charset val="128"/>
    </font>
    <font>
      <sz val="10"/>
      <color indexed="16"/>
      <name val="Helvetica-Black"/>
    </font>
    <font>
      <b/>
      <sz val="10"/>
      <name val="MS Sans Serif"/>
      <family val="2"/>
    </font>
    <font>
      <sz val="9.5"/>
      <color indexed="23"/>
      <name val="Helvetica-Black"/>
    </font>
    <font>
      <b/>
      <sz val="9"/>
      <name val="Palatino"/>
      <family val="1"/>
    </font>
    <font>
      <sz val="9"/>
      <color indexed="21"/>
      <name val="Helvetica-Black"/>
    </font>
    <font>
      <sz val="9"/>
      <name val="Helvetica-Black"/>
    </font>
    <font>
      <sz val="12"/>
      <color indexed="8"/>
      <name val="Palatino"/>
      <family val="1"/>
    </font>
    <font>
      <sz val="11"/>
      <color indexed="8"/>
      <name val="Helvetica-Black"/>
    </font>
    <font>
      <u/>
      <sz val="8"/>
      <color indexed="8"/>
      <name val="Arial"/>
      <family val="2"/>
    </font>
    <font>
      <sz val="11"/>
      <color theme="1"/>
      <name val="Calibri"/>
      <family val="2"/>
      <scheme val="minor"/>
    </font>
    <font>
      <sz val="11"/>
      <color theme="0"/>
      <name val="Calibri"/>
      <family val="2"/>
      <scheme val="minor"/>
    </font>
    <font>
      <b/>
      <sz val="11"/>
      <color theme="0"/>
      <name val="Calibri"/>
      <family val="2"/>
      <scheme val="minor"/>
    </font>
    <font>
      <u/>
      <sz val="9"/>
      <color theme="10"/>
      <name val="Calibri"/>
      <family val="2"/>
    </font>
    <font>
      <b/>
      <sz val="11"/>
      <color theme="0"/>
      <name val="Arial"/>
      <family val="2"/>
    </font>
    <font>
      <b/>
      <sz val="11"/>
      <color theme="1"/>
      <name val="Calibri"/>
      <family val="2"/>
      <scheme val="minor"/>
    </font>
    <font>
      <sz val="11"/>
      <name val="Calibri"/>
      <family val="2"/>
      <scheme val="minor"/>
    </font>
    <font>
      <b/>
      <sz val="11"/>
      <color indexed="9"/>
      <name val="Calibri"/>
      <family val="2"/>
      <scheme val="minor"/>
    </font>
    <font>
      <b/>
      <sz val="11"/>
      <color indexed="56"/>
      <name val="Calibri"/>
      <family val="2"/>
      <scheme val="minor"/>
    </font>
    <font>
      <sz val="11"/>
      <color indexed="8"/>
      <name val="Calibri"/>
      <family val="2"/>
      <scheme val="minor"/>
    </font>
    <font>
      <b/>
      <sz val="11"/>
      <color indexed="62"/>
      <name val="Calibri"/>
      <family val="2"/>
      <scheme val="minor"/>
    </font>
    <font>
      <sz val="11"/>
      <color indexed="9"/>
      <name val="Calibri"/>
      <family val="2"/>
      <scheme val="minor"/>
    </font>
    <font>
      <b/>
      <sz val="11"/>
      <color indexed="48"/>
      <name val="Calibri"/>
      <family val="2"/>
      <scheme val="minor"/>
    </font>
    <font>
      <i/>
      <sz val="11"/>
      <color indexed="8"/>
      <name val="Calibri"/>
      <family val="2"/>
      <scheme val="minor"/>
    </font>
    <font>
      <b/>
      <sz val="11"/>
      <color theme="3"/>
      <name val="Calibri"/>
      <family val="2"/>
      <scheme val="minor"/>
    </font>
    <font>
      <b/>
      <sz val="11"/>
      <name val="Calibri"/>
      <family val="2"/>
      <scheme val="minor"/>
    </font>
    <font>
      <sz val="11"/>
      <color indexed="56"/>
      <name val="Calibri"/>
      <family val="2"/>
      <scheme val="minor"/>
    </font>
    <font>
      <b/>
      <sz val="12"/>
      <color indexed="9"/>
      <name val="Calibri"/>
      <family val="2"/>
      <scheme val="minor"/>
    </font>
    <font>
      <sz val="12"/>
      <color theme="1"/>
      <name val="Calibri"/>
      <family val="2"/>
      <scheme val="minor"/>
    </font>
    <font>
      <sz val="11"/>
      <color rgb="FF000000"/>
      <name val="Calibri"/>
      <family val="2"/>
    </font>
    <font>
      <sz val="11"/>
      <color rgb="FF000000"/>
      <name val="Calibri"/>
      <family val="2"/>
      <scheme val="minor"/>
    </font>
    <font>
      <b/>
      <sz val="11"/>
      <color rgb="FFFFFFFF"/>
      <name val="Calibri"/>
      <family val="2"/>
      <scheme val="minor"/>
    </font>
    <font>
      <b/>
      <sz val="12"/>
      <color rgb="FFFFFFFF"/>
      <name val="Calibri"/>
      <family val="2"/>
      <scheme val="minor"/>
    </font>
    <font>
      <b/>
      <sz val="10"/>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b/>
      <sz val="11.5"/>
      <color theme="0"/>
      <name val="Calibri"/>
      <family val="2"/>
      <scheme val="minor"/>
    </font>
  </fonts>
  <fills count="65">
    <fill>
      <patternFill patternType="none"/>
    </fill>
    <fill>
      <patternFill patternType="gray125"/>
    </fill>
    <fill>
      <patternFill patternType="solid">
        <fgColor indexed="44"/>
      </patternFill>
    </fill>
    <fill>
      <patternFill patternType="solid">
        <fgColor indexed="45"/>
      </patternFill>
    </fill>
    <fill>
      <patternFill patternType="solid">
        <fgColor indexed="52"/>
      </patternFill>
    </fill>
    <fill>
      <patternFill patternType="solid">
        <fgColor indexed="42"/>
      </patternFill>
    </fill>
    <fill>
      <patternFill patternType="solid">
        <fgColor indexed="55"/>
      </patternFill>
    </fill>
    <fill>
      <patternFill patternType="solid">
        <fgColor indexed="47"/>
      </patternFill>
    </fill>
    <fill>
      <patternFill patternType="solid">
        <fgColor indexed="40"/>
      </patternFill>
    </fill>
    <fill>
      <patternFill patternType="solid">
        <fgColor indexed="11"/>
      </patternFill>
    </fill>
    <fill>
      <patternFill patternType="solid">
        <fgColor indexed="61"/>
      </patternFill>
    </fill>
    <fill>
      <patternFill patternType="solid">
        <fgColor indexed="54"/>
      </patternFill>
    </fill>
    <fill>
      <patternFill patternType="solid">
        <fgColor indexed="49"/>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10"/>
      </patternFill>
    </fill>
    <fill>
      <patternFill patternType="solid">
        <fgColor indexed="57"/>
      </patternFill>
    </fill>
    <fill>
      <patternFill patternType="gray0625">
        <fgColor indexed="10"/>
        <bgColor indexed="9"/>
      </patternFill>
    </fill>
    <fill>
      <patternFill patternType="solid">
        <fgColor indexed="32"/>
        <bgColor indexed="64"/>
      </patternFill>
    </fill>
    <fill>
      <patternFill patternType="solid">
        <fgColor indexed="9"/>
        <bgColor indexed="64"/>
      </patternFill>
    </fill>
    <fill>
      <patternFill patternType="lightGray">
        <fgColor indexed="14"/>
        <bgColor indexed="9"/>
      </patternFill>
    </fill>
    <fill>
      <patternFill patternType="solid">
        <fgColor indexed="22"/>
      </patternFill>
    </fill>
    <fill>
      <patternFill patternType="solid">
        <fgColor indexed="23"/>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solid">
        <fgColor indexed="11"/>
        <bgColor indexed="9"/>
      </patternFill>
    </fill>
    <fill>
      <patternFill patternType="solid">
        <fgColor indexed="26"/>
      </patternFill>
    </fill>
    <fill>
      <patternFill patternType="mediumGray">
        <fgColor indexed="22"/>
      </patternFill>
    </fill>
    <fill>
      <patternFill patternType="lightGray">
        <fgColor indexed="22"/>
        <bgColor indexed="9"/>
      </patternFill>
    </fill>
    <fill>
      <patternFill patternType="solid">
        <fgColor indexed="60"/>
        <bgColor indexed="64"/>
      </patternFill>
    </fill>
    <fill>
      <patternFill patternType="solid">
        <fgColor indexed="16"/>
        <bgColor indexed="64"/>
      </patternFill>
    </fill>
    <fill>
      <patternFill patternType="solid">
        <fgColor indexed="8"/>
        <bgColor indexed="64"/>
      </patternFill>
    </fill>
    <fill>
      <patternFill patternType="solid">
        <fgColor indexed="48"/>
        <bgColor indexed="64"/>
      </patternFill>
    </fill>
    <fill>
      <patternFill patternType="solid">
        <fgColor indexed="10"/>
        <bgColor indexed="64"/>
      </patternFill>
    </fill>
    <fill>
      <patternFill patternType="solid">
        <fgColor indexed="40"/>
        <bgColor indexed="64"/>
      </patternFill>
    </fill>
    <fill>
      <patternFill patternType="solid">
        <fgColor indexed="65"/>
        <bgColor indexed="64"/>
      </patternFill>
    </fill>
    <fill>
      <patternFill patternType="solid">
        <fgColor indexed="55"/>
        <bgColor indexed="64"/>
      </patternFill>
    </fill>
    <fill>
      <patternFill patternType="solid">
        <fgColor indexed="47"/>
        <bgColor indexed="64"/>
      </patternFill>
    </fill>
    <fill>
      <patternFill patternType="solid">
        <fgColor rgb="FFFFFFCC"/>
      </patternFill>
    </fill>
    <fill>
      <gradientFill>
        <stop position="0">
          <color theme="3"/>
        </stop>
        <stop position="0.5">
          <color theme="4"/>
        </stop>
        <stop position="1">
          <color theme="3"/>
        </stop>
      </gradientFill>
    </fill>
    <fill>
      <gradientFill>
        <stop position="0">
          <color theme="4" tint="0.59999389629810485"/>
        </stop>
        <stop position="0.5">
          <color theme="4" tint="0.80001220740379042"/>
        </stop>
        <stop position="1">
          <color theme="4" tint="0.59999389629810485"/>
        </stop>
      </gradientFill>
    </fill>
    <fill>
      <gradientFill>
        <stop position="0">
          <color theme="3" tint="0.59999389629810485"/>
        </stop>
        <stop position="0.5">
          <color theme="3" tint="0.80001220740379042"/>
        </stop>
        <stop position="1">
          <color theme="3" tint="0.59999389629810485"/>
        </stop>
      </gradientFill>
    </fill>
    <fill>
      <gradientFill>
        <stop position="0">
          <color theme="9" tint="0.40000610370189521"/>
        </stop>
        <stop position="0.5">
          <color theme="9" tint="0.59999389629810485"/>
        </stop>
        <stop position="1">
          <color theme="9" tint="0.40000610370189521"/>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patternFill patternType="solid">
        <fgColor theme="4" tint="0.79998168889431442"/>
        <bgColor indexed="64"/>
      </patternFill>
    </fill>
    <fill>
      <gradientFill>
        <stop position="0">
          <color rgb="FFB8CCE4"/>
        </stop>
        <stop position="0.5">
          <color rgb="FFDCE6F1"/>
        </stop>
        <stop position="1">
          <color rgb="FFB8CCE4"/>
        </stop>
      </gradient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patternFill patternType="solid">
        <fgColor theme="0" tint="-0.14999847407452621"/>
        <bgColor indexed="64"/>
      </patternFill>
    </fill>
  </fills>
  <borders count="164">
    <border>
      <left/>
      <right/>
      <top/>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medium">
        <color indexed="64"/>
      </top>
      <bottom/>
      <diagonal/>
    </border>
    <border>
      <left/>
      <right/>
      <top/>
      <bottom style="dotted">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right/>
      <top style="medium">
        <color indexed="23"/>
      </top>
      <bottom style="medium">
        <color indexed="23"/>
      </bottom>
      <diagonal/>
    </border>
    <border>
      <left/>
      <right/>
      <top style="thin">
        <color indexed="55"/>
      </top>
      <bottom/>
      <diagonal/>
    </border>
    <border>
      <left/>
      <right/>
      <top style="thin">
        <color indexed="64"/>
      </top>
      <bottom style="medium">
        <color indexed="64"/>
      </bottom>
      <diagonal/>
    </border>
    <border>
      <left/>
      <right/>
      <top style="double">
        <color indexed="64"/>
      </top>
      <bottom/>
      <diagonal/>
    </border>
    <border>
      <left/>
      <right/>
      <top style="thin">
        <color indexed="48"/>
      </top>
      <bottom style="double">
        <color indexed="48"/>
      </bottom>
      <diagonal/>
    </border>
    <border>
      <left style="thin">
        <color indexed="9"/>
      </left>
      <right/>
      <top/>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indexed="64"/>
      </right>
      <top style="thin">
        <color indexed="64"/>
      </top>
      <bottom style="thin">
        <color indexed="9"/>
      </bottom>
      <diagonal/>
    </border>
    <border>
      <left style="thin">
        <color indexed="64"/>
      </left>
      <right style="thin">
        <color indexed="9"/>
      </right>
      <top style="thin">
        <color indexed="64"/>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9"/>
      </bottom>
      <diagonal/>
    </border>
    <border>
      <left/>
      <right style="thin">
        <color indexed="64"/>
      </right>
      <top style="thin">
        <color indexed="0"/>
      </top>
      <bottom style="thin">
        <color indexed="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9"/>
      </right>
      <top style="thin">
        <color indexed="64"/>
      </top>
      <bottom style="thin">
        <color indexed="9"/>
      </bottom>
      <diagonal/>
    </border>
    <border>
      <left style="medium">
        <color indexed="64"/>
      </left>
      <right style="thin">
        <color indexed="9"/>
      </right>
      <top style="thin">
        <color indexed="9"/>
      </top>
      <bottom style="thin">
        <color indexed="64"/>
      </bottom>
      <diagonal/>
    </border>
    <border>
      <left style="thin">
        <color indexed="9"/>
      </left>
      <right style="thin">
        <color indexed="9"/>
      </right>
      <top style="thin">
        <color indexed="64"/>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right style="thin">
        <color indexed="64"/>
      </right>
      <top style="thin">
        <color indexed="9"/>
      </top>
      <bottom style="thin">
        <color indexed="9"/>
      </bottom>
      <diagonal/>
    </border>
    <border>
      <left/>
      <right/>
      <top style="thin">
        <color indexed="9"/>
      </top>
      <bottom style="thin">
        <color indexed="9"/>
      </bottom>
      <diagonal/>
    </border>
    <border>
      <left/>
      <right/>
      <top style="thin">
        <color indexed="9"/>
      </top>
      <bottom/>
      <diagonal/>
    </border>
    <border>
      <left/>
      <right/>
      <top style="thin">
        <color indexed="9"/>
      </top>
      <bottom style="thin">
        <color indexed="64"/>
      </bottom>
      <diagonal/>
    </border>
    <border>
      <left/>
      <right style="thin">
        <color indexed="9"/>
      </right>
      <top style="thin">
        <color indexed="9"/>
      </top>
      <bottom style="thin">
        <color indexed="64"/>
      </bottom>
      <diagonal/>
    </border>
    <border>
      <left/>
      <right style="thin">
        <color indexed="9"/>
      </right>
      <top style="thin">
        <color indexed="9"/>
      </top>
      <bottom/>
      <diagonal/>
    </border>
    <border>
      <left/>
      <right style="thin">
        <color indexed="64"/>
      </right>
      <top style="thin">
        <color indexed="9"/>
      </top>
      <bottom style="thin">
        <color indexed="64"/>
      </bottom>
      <diagonal/>
    </border>
    <border>
      <left/>
      <right style="thin">
        <color indexed="64"/>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64"/>
      </bottom>
      <diagonal/>
    </border>
    <border>
      <left/>
      <right style="thin">
        <color indexed="9"/>
      </right>
      <top/>
      <bottom/>
      <diagonal/>
    </border>
    <border>
      <left style="thin">
        <color indexed="64"/>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right style="thin">
        <color indexed="64"/>
      </right>
      <top style="thin">
        <color indexed="9"/>
      </top>
      <bottom/>
      <diagonal/>
    </border>
    <border>
      <left style="thin">
        <color indexed="64"/>
      </left>
      <right style="thin">
        <color indexed="9"/>
      </right>
      <top/>
      <bottom/>
      <diagonal/>
    </border>
    <border>
      <left style="thin">
        <color indexed="64"/>
      </left>
      <right style="thin">
        <color indexed="9"/>
      </right>
      <top style="thin">
        <color indexed="9"/>
      </top>
      <bottom/>
      <diagonal/>
    </border>
    <border>
      <left style="thin">
        <color indexed="64"/>
      </left>
      <right style="thin">
        <color indexed="64"/>
      </right>
      <top/>
      <bottom/>
      <diagonal/>
    </border>
    <border>
      <left style="thin">
        <color indexed="9"/>
      </left>
      <right/>
      <top style="thin">
        <color indexed="9"/>
      </top>
      <bottom style="thin">
        <color indexed="9"/>
      </bottom>
      <diagonal/>
    </border>
    <border>
      <left/>
      <right style="thin">
        <color indexed="9"/>
      </right>
      <top style="thin">
        <color indexed="64"/>
      </top>
      <bottom style="thin">
        <color indexed="9"/>
      </bottom>
      <diagonal/>
    </border>
    <border>
      <left style="thin">
        <color indexed="64"/>
      </left>
      <right style="thin">
        <color indexed="64"/>
      </right>
      <top/>
      <bottom style="thin">
        <color indexed="9"/>
      </bottom>
      <diagonal/>
    </border>
    <border>
      <left style="thin">
        <color indexed="64"/>
      </left>
      <right style="thin">
        <color indexed="64"/>
      </right>
      <top style="thin">
        <color indexed="9"/>
      </top>
      <bottom style="thin">
        <color indexed="9"/>
      </bottom>
      <diagonal/>
    </border>
    <border>
      <left style="thin">
        <color indexed="64"/>
      </left>
      <right style="thin">
        <color indexed="64"/>
      </right>
      <top style="thin">
        <color indexed="9"/>
      </top>
      <bottom style="thin">
        <color indexed="64"/>
      </bottom>
      <diagonal/>
    </border>
    <border>
      <left/>
      <right style="thin">
        <color indexed="64"/>
      </right>
      <top style="thin">
        <color indexed="64"/>
      </top>
      <bottom style="thin">
        <color indexed="9"/>
      </bottom>
      <diagonal/>
    </border>
    <border>
      <left style="thin">
        <color indexed="64"/>
      </left>
      <right/>
      <top style="thin">
        <color indexed="9"/>
      </top>
      <bottom style="thin">
        <color indexed="9"/>
      </bottom>
      <diagonal/>
    </border>
    <border>
      <left style="thin">
        <color indexed="64"/>
      </left>
      <right/>
      <top style="thin">
        <color indexed="9"/>
      </top>
      <bottom style="thin">
        <color indexed="64"/>
      </bottom>
      <diagonal/>
    </border>
    <border>
      <left style="thin">
        <color indexed="64"/>
      </left>
      <right/>
      <top/>
      <bottom style="thin">
        <color indexed="9"/>
      </bottom>
      <diagonal/>
    </border>
    <border>
      <left/>
      <right style="thin">
        <color indexed="64"/>
      </right>
      <top style="thin">
        <color indexed="64"/>
      </top>
      <bottom style="thin">
        <color indexed="64"/>
      </bottom>
      <diagonal/>
    </border>
    <border>
      <left style="thin">
        <color indexed="9"/>
      </left>
      <right/>
      <top/>
      <bottom style="thin">
        <color indexed="9"/>
      </bottom>
      <diagonal/>
    </border>
    <border>
      <left style="thin">
        <color indexed="9"/>
      </left>
      <right/>
      <top style="thin">
        <color indexed="9"/>
      </top>
      <bottom style="thin">
        <color indexed="64"/>
      </bottom>
      <diagonal/>
    </border>
    <border>
      <left style="thin">
        <color indexed="64"/>
      </left>
      <right/>
      <top style="thin">
        <color indexed="9"/>
      </top>
      <bottom/>
      <diagonal/>
    </border>
    <border>
      <left style="thin">
        <color indexed="9"/>
      </left>
      <right style="thin">
        <color indexed="9"/>
      </right>
      <top/>
      <bottom/>
      <diagonal/>
    </border>
    <border>
      <left style="thin">
        <color indexed="9"/>
      </left>
      <right style="thin">
        <color indexed="64"/>
      </right>
      <top/>
      <bottom/>
      <diagonal/>
    </border>
    <border>
      <left style="thin">
        <color indexed="9"/>
      </left>
      <right style="thin">
        <color indexed="9"/>
      </right>
      <top style="thin">
        <color indexed="9"/>
      </top>
      <bottom/>
      <diagonal/>
    </border>
    <border>
      <left style="thin">
        <color indexed="9"/>
      </left>
      <right style="thin">
        <color indexed="64"/>
      </right>
      <top style="thin">
        <color indexed="9"/>
      </top>
      <bottom/>
      <diagonal/>
    </border>
    <border>
      <left style="thin">
        <color indexed="9"/>
      </left>
      <right/>
      <top style="thin">
        <color indexed="9"/>
      </top>
      <bottom/>
      <diagonal/>
    </border>
    <border>
      <left style="thin">
        <color indexed="64"/>
      </left>
      <right/>
      <top style="thin">
        <color indexed="64"/>
      </top>
      <bottom style="thin">
        <color indexed="9"/>
      </bottom>
      <diagonal/>
    </border>
    <border>
      <left/>
      <right/>
      <top style="thin">
        <color indexed="64"/>
      </top>
      <bottom style="thin">
        <color indexed="9"/>
      </bottom>
      <diagonal/>
    </border>
    <border>
      <left/>
      <right style="thin">
        <color indexed="9"/>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22"/>
      </left>
      <right/>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thin">
        <color indexed="64"/>
      </right>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right style="thin">
        <color indexed="9"/>
      </right>
      <top style="thin">
        <color indexed="64"/>
      </top>
      <bottom style="thin">
        <color theme="0"/>
      </bottom>
      <diagonal/>
    </border>
    <border>
      <left style="thin">
        <color indexed="9"/>
      </left>
      <right style="thin">
        <color indexed="9"/>
      </right>
      <top style="thin">
        <color indexed="64"/>
      </top>
      <bottom style="thin">
        <color theme="0"/>
      </bottom>
      <diagonal/>
    </border>
    <border>
      <left style="thin">
        <color indexed="9"/>
      </left>
      <right/>
      <top style="thin">
        <color indexed="64"/>
      </top>
      <bottom style="thin">
        <color theme="0"/>
      </bottom>
      <diagonal/>
    </border>
    <border>
      <left style="thin">
        <color indexed="64"/>
      </left>
      <right style="thin">
        <color indexed="64"/>
      </right>
      <top style="thin">
        <color indexed="64"/>
      </top>
      <bottom style="thin">
        <color theme="0"/>
      </bottom>
      <diagonal/>
    </border>
    <border>
      <left style="thin">
        <color theme="1"/>
      </left>
      <right style="thin">
        <color indexed="9"/>
      </right>
      <top/>
      <bottom style="thin">
        <color indexed="9"/>
      </bottom>
      <diagonal/>
    </border>
    <border>
      <left style="thin">
        <color theme="1"/>
      </left>
      <right style="thin">
        <color indexed="9"/>
      </right>
      <top style="thin">
        <color indexed="9"/>
      </top>
      <bottom style="thin">
        <color indexed="64"/>
      </bottom>
      <diagonal/>
    </border>
    <border>
      <left style="thin">
        <color indexed="9"/>
      </left>
      <right style="thin">
        <color theme="1"/>
      </right>
      <top style="thin">
        <color indexed="9"/>
      </top>
      <bottom/>
      <diagonal/>
    </border>
    <border>
      <left/>
      <right style="thin">
        <color indexed="64"/>
      </right>
      <top style="thin">
        <color theme="0"/>
      </top>
      <bottom style="thin">
        <color theme="0"/>
      </bottom>
      <diagonal/>
    </border>
    <border>
      <left style="thin">
        <color indexed="64"/>
      </left>
      <right style="thin">
        <color indexed="9"/>
      </right>
      <top style="thin">
        <color theme="0"/>
      </top>
      <bottom style="thin">
        <color indexed="9"/>
      </bottom>
      <diagonal/>
    </border>
    <border>
      <left style="thin">
        <color indexed="9"/>
      </left>
      <right style="thin">
        <color indexed="9"/>
      </right>
      <top style="thin">
        <color indexed="9"/>
      </top>
      <bottom style="thin">
        <color theme="0"/>
      </bottom>
      <diagonal/>
    </border>
    <border>
      <left/>
      <right style="thin">
        <color indexed="9"/>
      </right>
      <top style="thin">
        <color indexed="9"/>
      </top>
      <bottom style="thin">
        <color theme="0"/>
      </bottom>
      <diagonal/>
    </border>
    <border>
      <left/>
      <right style="thin">
        <color indexed="64"/>
      </right>
      <top style="thin">
        <color indexed="9"/>
      </top>
      <bottom style="thin">
        <color theme="0"/>
      </bottom>
      <diagonal/>
    </border>
    <border>
      <left style="thin">
        <color indexed="64"/>
      </left>
      <right style="thin">
        <color theme="0"/>
      </right>
      <top style="thin">
        <color indexed="9"/>
      </top>
      <bottom style="thin">
        <color indexed="9"/>
      </bottom>
      <diagonal/>
    </border>
    <border>
      <left style="thin">
        <color indexed="64"/>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style="thin">
        <color indexed="64"/>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theme="0"/>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right style="thin">
        <color theme="0"/>
      </right>
      <top style="thin">
        <color indexed="64"/>
      </top>
      <bottom/>
      <diagonal/>
    </border>
    <border>
      <left style="thin">
        <color indexed="64"/>
      </left>
      <right/>
      <top style="thin">
        <color theme="0"/>
      </top>
      <bottom style="thin">
        <color indexed="9"/>
      </bottom>
      <diagonal/>
    </border>
    <border>
      <left/>
      <right style="thin">
        <color indexed="9"/>
      </right>
      <top style="thin">
        <color theme="0"/>
      </top>
      <bottom style="thin">
        <color indexed="9"/>
      </bottom>
      <diagonal/>
    </border>
    <border>
      <left style="thin">
        <color theme="1"/>
      </left>
      <right/>
      <top style="thin">
        <color theme="0"/>
      </top>
      <bottom style="thin">
        <color theme="0"/>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
      <left style="thin">
        <color theme="0" tint="-0.24994659260841701"/>
      </left>
      <right/>
      <top style="thin">
        <color theme="0" tint="-0.24994659260841701"/>
      </top>
      <bottom style="medium">
        <color theme="0" tint="-0.499984740745262"/>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8"/>
      </top>
      <bottom style="thin">
        <color indexed="64"/>
      </bottom>
      <diagonal/>
    </border>
    <border>
      <left style="thin">
        <color indexed="64"/>
      </left>
      <right style="thin">
        <color indexed="8"/>
      </right>
      <top style="thin">
        <color indexed="9"/>
      </top>
      <bottom style="thin">
        <color indexed="64"/>
      </bottom>
      <diagonal/>
    </border>
    <border>
      <left/>
      <right style="thin">
        <color indexed="8"/>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8"/>
      </bottom>
      <diagonal/>
    </border>
    <border>
      <left style="thin">
        <color indexed="64"/>
      </left>
      <right style="thin">
        <color indexed="8"/>
      </right>
      <top style="thin">
        <color indexed="9"/>
      </top>
      <bottom style="thin">
        <color indexed="9"/>
      </bottom>
      <diagonal/>
    </border>
    <border>
      <left style="thin">
        <color indexed="64"/>
      </left>
      <right/>
      <top style="thin">
        <color indexed="8"/>
      </top>
      <bottom style="thin">
        <color indexed="8"/>
      </bottom>
      <diagonal/>
    </border>
    <border>
      <left/>
      <right style="thin">
        <color indexed="64"/>
      </right>
      <top style="thin">
        <color indexed="8"/>
      </top>
      <bottom/>
      <diagonal/>
    </border>
    <border>
      <left/>
      <right style="thin">
        <color indexed="64"/>
      </right>
      <top/>
      <bottom style="thin">
        <color indexed="8"/>
      </bottom>
      <diagonal/>
    </border>
    <border>
      <left/>
      <right style="thin">
        <color indexed="64"/>
      </right>
      <top style="thin">
        <color indexed="64"/>
      </top>
      <bottom style="thin">
        <color indexed="8"/>
      </bottom>
      <diagonal/>
    </border>
    <border>
      <left/>
      <right style="thin">
        <color indexed="8"/>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8"/>
      </right>
      <top style="thin">
        <color indexed="64"/>
      </top>
      <bottom style="thin">
        <color indexed="9"/>
      </bottom>
      <diagonal/>
    </border>
    <border>
      <left/>
      <right style="thin">
        <color indexed="8"/>
      </right>
      <top/>
      <bottom style="thin">
        <color indexed="8"/>
      </bottom>
      <diagonal/>
    </border>
    <border>
      <left style="thin">
        <color indexed="8"/>
      </left>
      <right style="thin">
        <color indexed="8"/>
      </right>
      <top/>
      <bottom style="thin">
        <color indexed="8"/>
      </bottom>
      <diagonal/>
    </border>
  </borders>
  <cellStyleXfs count="1289">
    <xf numFmtId="0" fontId="0" fillId="0" borderId="0"/>
    <xf numFmtId="9" fontId="57" fillId="0" borderId="0">
      <alignment horizontal="right"/>
    </xf>
    <xf numFmtId="193" fontId="86" fillId="0" borderId="0">
      <alignment horizontal="right"/>
    </xf>
    <xf numFmtId="166" fontId="43" fillId="0" borderId="0" applyFont="0" applyFill="0" applyBorder="0" applyAlignment="0" applyProtection="0"/>
    <xf numFmtId="165" fontId="43"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0" fontId="87" fillId="0" borderId="0"/>
    <xf numFmtId="0" fontId="43" fillId="0" borderId="0"/>
    <xf numFmtId="0" fontId="42" fillId="0" borderId="0"/>
    <xf numFmtId="0" fontId="42"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168" fontId="42" fillId="0" borderId="0"/>
    <xf numFmtId="168" fontId="42" fillId="0" borderId="0"/>
    <xf numFmtId="167" fontId="42" fillId="0" borderId="0"/>
    <xf numFmtId="167" fontId="42" fillId="0" borderId="0"/>
    <xf numFmtId="0" fontId="42" fillId="0" borderId="0"/>
    <xf numFmtId="2" fontId="42" fillId="0" borderId="0"/>
    <xf numFmtId="2" fontId="42" fillId="0" borderId="0"/>
    <xf numFmtId="10" fontId="42" fillId="0" borderId="0"/>
    <xf numFmtId="10" fontId="42"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7" fontId="88" fillId="0" borderId="0">
      <alignment horizontal="center"/>
    </xf>
    <xf numFmtId="191" fontId="55" fillId="0" borderId="0" applyNumberFormat="0" applyFill="0" applyProtection="0"/>
    <xf numFmtId="175" fontId="56" fillId="13" borderId="0" applyFont="0" applyBorder="0"/>
    <xf numFmtId="0" fontId="48" fillId="14" borderId="0"/>
    <xf numFmtId="175" fontId="56" fillId="15" borderId="0" applyNumberFormat="0" applyFont="0" applyBorder="0" applyAlignment="0" applyProtection="0"/>
    <xf numFmtId="175" fontId="54" fillId="16" borderId="0" applyNumberFormat="0" applyFont="0" applyBorder="0" applyAlignment="0" applyProtection="0"/>
    <xf numFmtId="175" fontId="54" fillId="16" borderId="0" applyNumberFormat="0" applyFont="0" applyBorder="0" applyAlignment="0" applyProtection="0"/>
    <xf numFmtId="175" fontId="49" fillId="17" borderId="0" applyBorder="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4" fontId="57" fillId="0" borderId="0" applyBorder="0">
      <alignment horizontal="right"/>
    </xf>
    <xf numFmtId="174" fontId="49" fillId="0" borderId="1" applyBorder="0">
      <alignment horizontal="right"/>
    </xf>
    <xf numFmtId="167" fontId="58" fillId="0" borderId="0" applyBorder="0">
      <alignment horizontal="right"/>
    </xf>
    <xf numFmtId="167" fontId="59" fillId="0" borderId="1" applyBorder="0">
      <alignment horizontal="right"/>
    </xf>
    <xf numFmtId="175" fontId="60" fillId="0" borderId="0">
      <alignment horizontal="left" indent="1"/>
    </xf>
    <xf numFmtId="175" fontId="61" fillId="0" borderId="2" applyBorder="0"/>
    <xf numFmtId="175" fontId="56" fillId="18" borderId="1" applyNumberFormat="0" applyFont="0" applyBorder="0" applyAlignment="0" applyProtection="0"/>
    <xf numFmtId="174" fontId="62" fillId="19" borderId="2" applyBorder="0">
      <alignment horizontal="right"/>
    </xf>
    <xf numFmtId="174" fontId="62" fillId="0" borderId="2" applyBorder="0">
      <alignment horizontal="right"/>
    </xf>
    <xf numFmtId="175" fontId="63" fillId="0" borderId="1" applyNumberFormat="0" applyBorder="0" applyAlignment="0" applyProtection="0"/>
    <xf numFmtId="0" fontId="62" fillId="13" borderId="3" applyBorder="0">
      <alignment horizontal="center"/>
    </xf>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97" fontId="89" fillId="0" borderId="0" applyFont="0" applyFill="0" applyBorder="0" applyAlignment="0" applyProtection="0"/>
    <xf numFmtId="186" fontId="41" fillId="23" borderId="0" applyNumberFormat="0" applyFont="0" applyBorder="0" applyAlignment="0">
      <alignment horizontal="right"/>
    </xf>
    <xf numFmtId="186" fontId="41" fillId="23" borderId="0" applyNumberFormat="0" applyFont="0" applyBorder="0" applyAlignment="0">
      <alignment horizontal="right"/>
    </xf>
    <xf numFmtId="185" fontId="64" fillId="23" borderId="4" applyFont="0">
      <alignment horizontal="right"/>
    </xf>
    <xf numFmtId="185" fontId="64" fillId="23" borderId="4" applyFont="0">
      <alignment horizontal="right"/>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7" fillId="0" borderId="0" applyFill="0"/>
    <xf numFmtId="0" fontId="7" fillId="0" borderId="0" applyFill="0"/>
    <xf numFmtId="0" fontId="7" fillId="0" borderId="0" applyFill="0"/>
    <xf numFmtId="0" fontId="7" fillId="0" borderId="0" applyFill="0"/>
    <xf numFmtId="0" fontId="7" fillId="0" borderId="0" applyFill="0"/>
    <xf numFmtId="0" fontId="7" fillId="0" borderId="0" applyFill="0"/>
    <xf numFmtId="0" fontId="97" fillId="0" borderId="0">
      <alignment horizontal="center" wrapText="1"/>
      <protection locked="0"/>
    </xf>
    <xf numFmtId="0" fontId="97" fillId="0" borderId="0">
      <alignment horizontal="center" wrapText="1"/>
      <protection locked="0"/>
    </xf>
    <xf numFmtId="179" fontId="7" fillId="0" borderId="0" applyFont="0" applyFill="0" applyBorder="0" applyAlignment="0" applyProtection="0"/>
    <xf numFmtId="191" fontId="7" fillId="0" borderId="0" applyFont="0" applyFill="0" applyBorder="0" applyAlignment="0" applyProtection="0"/>
    <xf numFmtId="191" fontId="65" fillId="0" borderId="0" applyNumberFormat="0" applyFill="0" applyBorder="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1" fontId="90" fillId="24" borderId="5" applyNumberFormat="0" applyBorder="0" applyAlignment="0">
      <alignment horizontal="center" vertical="top" wrapText="1"/>
      <protection hidden="1"/>
    </xf>
    <xf numFmtId="0" fontId="51" fillId="0" borderId="0" applyNumberFormat="0" applyFill="0" applyBorder="0" applyAlignment="0"/>
    <xf numFmtId="0" fontId="91" fillId="0" borderId="0" applyNumberFormat="0" applyFill="0" applyBorder="0" applyAlignment="0" applyProtection="0"/>
    <xf numFmtId="0" fontId="43" fillId="25" borderId="0"/>
    <xf numFmtId="0" fontId="46" fillId="0" borderId="6" applyNumberFormat="0" applyFill="0" applyAlignment="0" applyProtection="0"/>
    <xf numFmtId="191" fontId="66" fillId="0" borderId="0" applyNumberForma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0" fontId="109" fillId="0" borderId="0"/>
    <xf numFmtId="0" fontId="49" fillId="0" borderId="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110"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6" fillId="0" borderId="0">
      <alignment horizontal="right"/>
    </xf>
    <xf numFmtId="1" fontId="93" fillId="0" borderId="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92" fillId="0" borderId="0"/>
    <xf numFmtId="0" fontId="92" fillId="0" borderId="0"/>
    <xf numFmtId="0" fontId="92" fillId="0" borderId="0"/>
    <xf numFmtId="0" fontId="92" fillId="0" borderId="0"/>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74" fillId="0" borderId="0" applyNumberFormat="0" applyFill="0" applyBorder="0" applyProtection="0">
      <alignment wrapText="1"/>
    </xf>
    <xf numFmtId="0" fontId="74" fillId="0" borderId="0" applyNumberFormat="0" applyFill="0" applyBorder="0" applyProtection="0">
      <alignment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168" fontId="94" fillId="0" borderId="0" applyBorder="0">
      <alignment horizontal="right"/>
    </xf>
    <xf numFmtId="168" fontId="94" fillId="0" borderId="9" applyAlignment="0">
      <alignment horizontal="right"/>
    </xf>
    <xf numFmtId="43" fontId="2" fillId="0" borderId="0" applyFont="0" applyFill="0" applyBorder="0" applyAlignment="0" applyProtection="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37" fontId="44" fillId="0" borderId="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176" fontId="44" fillId="0" borderId="0"/>
    <xf numFmtId="0" fontId="111" fillId="0" borderId="0" applyFont="0" applyFill="0" applyBorder="0" applyAlignment="0" applyProtection="0">
      <alignment horizontal="right"/>
    </xf>
    <xf numFmtId="0" fontId="1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0" fontId="42" fillId="0" borderId="0" applyFont="0" applyFill="0" applyBorder="0" applyAlignment="0" applyProtection="0"/>
    <xf numFmtId="40" fontId="42"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0" fontId="96" fillId="0" borderId="0"/>
    <xf numFmtId="0" fontId="96" fillId="0" borderId="0"/>
    <xf numFmtId="0" fontId="67" fillId="0" borderId="0" applyNumberFormat="0" applyFill="0" applyBorder="0">
      <alignment horizontal="righ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177" fontId="44" fillId="0" borderId="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91" fontId="68" fillId="0" borderId="4" applyNumberFormat="0" applyFill="0" applyBorder="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0" fontId="111" fillId="0" borderId="0" applyFont="0" applyFill="0" applyBorder="0" applyAlignment="0" applyProtection="0"/>
    <xf numFmtId="183" fontId="53" fillId="0" borderId="10" applyFont="0" applyFill="0" applyBorder="0" applyAlignment="0" applyProtection="0">
      <alignment horizontal="right"/>
      <protection locked="0"/>
    </xf>
    <xf numFmtId="14" fontId="98" fillId="0" borderId="0" applyFill="0" applyBorder="0" applyAlignment="0"/>
    <xf numFmtId="14" fontId="53" fillId="0" borderId="4" applyFont="0">
      <alignment horizontal="right"/>
    </xf>
    <xf numFmtId="0" fontId="43"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7" fillId="0" borderId="0"/>
    <xf numFmtId="202" fontId="86" fillId="0" borderId="0">
      <alignment horizontal="right"/>
    </xf>
    <xf numFmtId="0" fontId="97" fillId="0" borderId="0"/>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0" fontId="98" fillId="0" borderId="0" applyFont="0" applyFill="0" applyBorder="0" applyAlignment="0" applyProtection="0">
      <protection locked="0"/>
    </xf>
    <xf numFmtId="0" fontId="111" fillId="0" borderId="11" applyNumberFormat="0" applyFont="0" applyFill="0" applyAlignment="0" applyProtection="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0" fontId="92" fillId="0" borderId="0"/>
    <xf numFmtId="0" fontId="92"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 fontId="99" fillId="30" borderId="12" applyNumberFormat="0" applyBorder="0" applyAlignment="0">
      <alignment horizontal="centerContinuous" vertical="center"/>
      <protection locked="0"/>
    </xf>
    <xf numFmtId="1" fontId="99" fillId="30" borderId="12" applyNumberFormat="0" applyBorder="0" applyAlignment="0">
      <alignment horizontal="centerContinuous" vertical="center"/>
      <protection locked="0"/>
    </xf>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0" fontId="92" fillId="0" borderId="0"/>
    <xf numFmtId="0" fontId="92" fillId="0" borderId="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188" fontId="69" fillId="0" borderId="0">
      <alignment vertical="center"/>
    </xf>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113" fillId="0" borderId="0" applyNumberFormat="0" applyFill="0" applyBorder="0" applyProtection="0">
      <alignment wrapText="1"/>
    </xf>
    <xf numFmtId="0" fontId="113" fillId="0" borderId="0" applyNumberFormat="0" applyFill="0" applyBorder="0" applyProtection="0">
      <alignment wrapText="1"/>
    </xf>
    <xf numFmtId="0" fontId="100" fillId="0" borderId="0"/>
    <xf numFmtId="38" fontId="49" fillId="13" borderId="0" applyNumberFormat="0" applyBorder="0" applyAlignment="0" applyProtection="0"/>
    <xf numFmtId="49" fontId="70" fillId="0" borderId="0">
      <alignment horizontal="right"/>
    </xf>
    <xf numFmtId="49" fontId="70" fillId="0" borderId="0">
      <alignment horizontal="right"/>
    </xf>
    <xf numFmtId="49" fontId="71" fillId="0" borderId="0">
      <alignment horizontal="right"/>
    </xf>
    <xf numFmtId="188" fontId="72" fillId="0" borderId="0">
      <alignment vertical="center"/>
    </xf>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0" fontId="111" fillId="0" borderId="0" applyFont="0" applyFill="0" applyBorder="0" applyAlignment="0" applyProtection="0">
      <alignment horizontal="right"/>
    </xf>
    <xf numFmtId="175" fontId="101" fillId="16" borderId="0" applyNumberFormat="0" applyFont="0" applyAlignment="0"/>
    <xf numFmtId="0" fontId="114" fillId="0" borderId="0">
      <alignment horizontal="left"/>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115" fillId="0" borderId="0" applyProtection="0">
      <alignment horizontal="left"/>
    </xf>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74" fillId="0" borderId="0"/>
    <xf numFmtId="0" fontId="74" fillId="0" borderId="0"/>
    <xf numFmtId="0" fontId="74" fillId="0" borderId="0"/>
    <xf numFmtId="0" fontId="74" fillId="0" borderId="0"/>
    <xf numFmtId="0" fontId="74" fillId="0" borderId="0"/>
    <xf numFmtId="0" fontId="74" fillId="0" borderId="0"/>
    <xf numFmtId="0" fontId="131" fillId="0" borderId="0" applyNumberFormat="0" applyFill="0" applyBorder="0" applyAlignment="0" applyProtection="0">
      <alignment vertical="top"/>
      <protection locked="0"/>
    </xf>
    <xf numFmtId="10" fontId="49" fillId="31" borderId="13" applyNumberFormat="0" applyBorder="0" applyAlignment="0" applyProtection="0"/>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1" fontId="75" fillId="0" borderId="0" applyNumberFormat="0">
      <alignment horizontal="right"/>
    </xf>
    <xf numFmtId="0" fontId="42" fillId="32" borderId="0" applyNumberFormat="0" applyFont="0" applyBorder="0" applyAlignment="0" applyProtection="0"/>
    <xf numFmtId="0" fontId="42" fillId="32" borderId="0" applyNumberFormat="0" applyFont="0" applyBorder="0" applyAlignment="0" applyProtection="0"/>
    <xf numFmtId="0" fontId="52" fillId="0" borderId="0" applyNumberFormat="0" applyFill="0" applyBorder="0" applyAlignment="0">
      <protection locked="0"/>
    </xf>
    <xf numFmtId="0" fontId="8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76" fillId="0" borderId="0"/>
    <xf numFmtId="41" fontId="7" fillId="0" borderId="0" applyFont="0" applyFill="0" applyBorder="0" applyAlignment="0" applyProtection="0"/>
    <xf numFmtId="43" fontId="7" fillId="0" borderId="0" applyFont="0" applyFill="0" applyBorder="0" applyAlignment="0" applyProtection="0"/>
    <xf numFmtId="0" fontId="116" fillId="0" borderId="9"/>
    <xf numFmtId="165" fontId="7" fillId="0" borderId="0" applyFont="0" applyFill="0" applyBorder="0" applyAlignment="0" applyProtection="0"/>
    <xf numFmtId="166" fontId="7" fillId="0" borderId="0" applyFont="0" applyFill="0" applyBorder="0" applyAlignment="0" applyProtection="0"/>
    <xf numFmtId="195" fontId="49" fillId="31" borderId="0">
      <alignment horizontal="center"/>
    </xf>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37" fontId="102" fillId="0" borderId="0"/>
    <xf numFmtId="37" fontId="102" fillId="0" borderId="0"/>
    <xf numFmtId="178" fontId="50" fillId="0" borderId="0"/>
    <xf numFmtId="0" fontId="7" fillId="0" borderId="0"/>
    <xf numFmtId="0" fontId="63" fillId="0" borderId="0"/>
    <xf numFmtId="0" fontId="63" fillId="0" borderId="0"/>
    <xf numFmtId="0" fontId="7" fillId="0" borderId="0"/>
    <xf numFmtId="0" fontId="7"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128" fillId="0" borderId="0"/>
    <xf numFmtId="0" fontId="7" fillId="0" borderId="0"/>
    <xf numFmtId="0" fontId="128" fillId="0" borderId="0"/>
    <xf numFmtId="0" fontId="128" fillId="0" borderId="0"/>
    <xf numFmtId="0" fontId="128" fillId="0" borderId="0"/>
    <xf numFmtId="0" fontId="7" fillId="0" borderId="0"/>
    <xf numFmtId="0" fontId="7" fillId="0" borderId="0"/>
    <xf numFmtId="0" fontId="7" fillId="0" borderId="0"/>
    <xf numFmtId="0" fontId="7" fillId="0" borderId="0"/>
    <xf numFmtId="0" fontId="32" fillId="0" borderId="0"/>
    <xf numFmtId="0" fontId="35" fillId="0" borderId="0"/>
    <xf numFmtId="0" fontId="7" fillId="0" borderId="0"/>
    <xf numFmtId="0" fontId="7" fillId="0" borderId="0"/>
    <xf numFmtId="0" fontId="7" fillId="0" borderId="0"/>
    <xf numFmtId="0" fontId="7" fillId="0" borderId="0"/>
    <xf numFmtId="0" fontId="7" fillId="0" borderId="0"/>
    <xf numFmtId="0" fontId="103" fillId="0" borderId="0"/>
    <xf numFmtId="2" fontId="42" fillId="0" borderId="0" applyBorder="0" applyProtection="0"/>
    <xf numFmtId="2" fontId="42" fillId="0" borderId="0" applyBorder="0" applyProtection="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7" fillId="0" borderId="0"/>
    <xf numFmtId="0" fontId="7" fillId="0" borderId="0" applyNumberFormat="0"/>
    <xf numFmtId="211" fontId="57" fillId="0" borderId="12" applyBorder="0" applyAlignment="0">
      <protection locked="0"/>
    </xf>
    <xf numFmtId="0" fontId="117" fillId="0" borderId="0"/>
    <xf numFmtId="0" fontId="57" fillId="0" borderId="5" applyNumberFormat="0" applyBorder="0" applyAlignment="0">
      <protection hidden="1"/>
    </xf>
    <xf numFmtId="0" fontId="19" fillId="33" borderId="20" applyNumberFormat="0" applyFont="0" applyAlignment="0" applyProtection="0"/>
    <xf numFmtId="0" fontId="7" fillId="33" borderId="20" applyNumberFormat="0" applyFont="0" applyAlignment="0" applyProtection="0"/>
    <xf numFmtId="0" fontId="7" fillId="33" borderId="20" applyNumberFormat="0" applyFont="0" applyAlignment="0" applyProtection="0"/>
    <xf numFmtId="0" fontId="7" fillId="45" borderId="19"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92" fontId="57" fillId="0" borderId="0" applyFont="0" applyFill="0" applyBorder="0" applyProtection="0">
      <alignment horizontal="right"/>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40" fontId="118" fillId="0" borderId="0" applyFont="0" applyFill="0" applyBorder="0" applyAlignment="0" applyProtection="0"/>
    <xf numFmtId="38" fontId="118" fillId="0" borderId="0" applyFont="0" applyFill="0" applyBorder="0" applyAlignment="0" applyProtection="0"/>
    <xf numFmtId="0" fontId="104" fillId="0" borderId="0">
      <alignment horizontal="left"/>
    </xf>
    <xf numFmtId="0" fontId="104" fillId="0" borderId="0">
      <alignment horizontal="left"/>
    </xf>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77" fillId="0" borderId="0" applyNumberFormat="0" applyFill="0" applyBorder="0">
      <alignment horizontal="left"/>
    </xf>
    <xf numFmtId="0" fontId="77" fillId="0" borderId="0" applyNumberFormat="0" applyFill="0" applyBorder="0">
      <alignment horizontal="left"/>
    </xf>
    <xf numFmtId="1" fontId="119" fillId="0" borderId="0" applyProtection="0">
      <alignment horizontal="right" vertical="center"/>
    </xf>
    <xf numFmtId="175" fontId="44" fillId="0" borderId="0"/>
    <xf numFmtId="14" fontId="97" fillId="0" borderId="0">
      <alignment horizontal="center" wrapText="1"/>
      <protection locked="0"/>
    </xf>
    <xf numFmtId="14" fontId="97" fillId="0" borderId="0">
      <alignment horizontal="center" wrapText="1"/>
      <protection locked="0"/>
    </xf>
    <xf numFmtId="9" fontId="2"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0" fontId="42" fillId="0" borderId="0" applyFont="0" applyFill="0" applyBorder="0" applyAlignment="0" applyProtection="0"/>
    <xf numFmtId="10" fontId="42" fillId="0" borderId="0" applyFont="0" applyFill="0" applyBorder="0" applyAlignment="0" applyProtection="0"/>
    <xf numFmtId="194" fontId="82" fillId="0" borderId="22" applyFill="0" applyAlignment="0">
      <alignment horizontal="right"/>
    </xf>
    <xf numFmtId="194" fontId="82" fillId="0" borderId="22" applyFill="0" applyAlignment="0">
      <alignment horizontal="right"/>
    </xf>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78" fillId="0" borderId="0"/>
    <xf numFmtId="1" fontId="105" fillId="13" borderId="0">
      <alignment horizontal="center"/>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120" fillId="0" borderId="9">
      <alignment horizontal="center"/>
    </xf>
    <xf numFmtId="0" fontId="120" fillId="0" borderId="9">
      <alignment horizontal="center"/>
    </xf>
    <xf numFmtId="3" fontId="42" fillId="0" borderId="0" applyFont="0" applyFill="0" applyBorder="0" applyAlignment="0" applyProtection="0"/>
    <xf numFmtId="3" fontId="42" fillId="0" borderId="0" applyFont="0" applyFill="0" applyBorder="0" applyAlignment="0" applyProtection="0"/>
    <xf numFmtId="0" fontId="42" fillId="34" borderId="0" applyNumberFormat="0" applyFont="0" applyBorder="0" applyAlignment="0" applyProtection="0"/>
    <xf numFmtId="0" fontId="42" fillId="34" borderId="0" applyNumberFormat="0" applyFont="0" applyBorder="0" applyAlignment="0" applyProtection="0"/>
    <xf numFmtId="204" fontId="49" fillId="0" borderId="0"/>
    <xf numFmtId="204" fontId="49" fillId="0" borderId="0"/>
    <xf numFmtId="204" fontId="49" fillId="0" borderId="0"/>
    <xf numFmtId="204" fontId="49" fillId="0" borderId="0"/>
    <xf numFmtId="204" fontId="49" fillId="0" borderId="0"/>
    <xf numFmtId="204" fontId="49" fillId="0" borderId="0"/>
    <xf numFmtId="0" fontId="106" fillId="0" borderId="0"/>
    <xf numFmtId="168" fontId="42" fillId="21" borderId="23" applyNumberFormat="0" applyFont="0" applyBorder="0" applyAlignment="0" applyProtection="0">
      <alignment horizontal="center"/>
    </xf>
    <xf numFmtId="168" fontId="42" fillId="21" borderId="23" applyNumberFormat="0" applyFont="0" applyBorder="0" applyAlignment="0" applyProtection="0">
      <alignment horizontal="center"/>
    </xf>
    <xf numFmtId="0" fontId="121" fillId="0" borderId="24">
      <alignment vertical="center"/>
    </xf>
    <xf numFmtId="1" fontId="78" fillId="35" borderId="0" applyNumberFormat="0" applyFont="0" applyBorder="0" applyAlignment="0">
      <alignment horizontal="left"/>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0" fontId="54" fillId="0" borderId="0">
      <alignment vertical="center"/>
    </xf>
    <xf numFmtId="0" fontId="54" fillId="0" borderId="0">
      <alignment vertical="center"/>
    </xf>
    <xf numFmtId="2" fontId="132" fillId="36" borderId="13" applyFill="0">
      <alignment horizontal="center"/>
    </xf>
    <xf numFmtId="0" fontId="33" fillId="17" borderId="25" applyFill="0" applyAlignment="0" applyProtection="0"/>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9" fontId="79" fillId="0" borderId="0" applyNumberFormat="0" applyFill="0" applyBorder="0" applyAlignment="0" applyProtection="0">
      <alignment horizontal="right" vertical="center" wrapText="1"/>
    </xf>
    <xf numFmtId="0" fontId="80" fillId="0" borderId="0" applyNumberFormat="0" applyFill="0" applyBorder="0" applyAlignment="0" applyProtection="0"/>
    <xf numFmtId="0" fontId="81" fillId="0" borderId="0" applyNumberFormat="0" applyFill="0" applyBorder="0" applyAlignment="0" applyProtection="0">
      <protection locked="0"/>
    </xf>
    <xf numFmtId="0" fontId="82" fillId="0" borderId="2" applyNumberFormat="0" applyFill="0" applyProtection="0">
      <alignment horizontal="right"/>
    </xf>
    <xf numFmtId="0" fontId="82" fillId="0" borderId="2" applyNumberFormat="0" applyFill="0" applyProtection="0">
      <alignment horizontal="right"/>
    </xf>
    <xf numFmtId="0" fontId="11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2" fillId="0" borderId="26" applyNumberFormat="0" applyProtection="0">
      <alignment horizontal="right"/>
    </xf>
    <xf numFmtId="0" fontId="82" fillId="0" borderId="26" applyNumberFormat="0" applyProtection="0">
      <alignment horizontal="right"/>
    </xf>
    <xf numFmtId="0" fontId="92" fillId="0" borderId="0"/>
    <xf numFmtId="0" fontId="92" fillId="0" borderId="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122" fillId="0" borderId="6" applyBorder="0" applyProtection="0">
      <alignment horizontal="right" vertical="center"/>
    </xf>
    <xf numFmtId="0" fontId="123" fillId="37" borderId="0" applyBorder="0" applyProtection="0">
      <alignment horizontal="centerContinuous" vertical="center"/>
    </xf>
    <xf numFmtId="0" fontId="123" fillId="38" borderId="6" applyBorder="0" applyProtection="0">
      <alignment horizontal="centerContinuous" vertical="center"/>
    </xf>
    <xf numFmtId="0" fontId="122" fillId="0" borderId="0" applyBorder="0" applyProtection="0">
      <alignment vertical="center"/>
    </xf>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3" fillId="0" borderId="0">
      <alignment vertical="center"/>
    </xf>
    <xf numFmtId="0" fontId="83"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72" fillId="0" borderId="0">
      <alignment vertical="center"/>
    </xf>
    <xf numFmtId="0" fontId="72" fillId="0" borderId="0">
      <alignment vertical="center"/>
    </xf>
    <xf numFmtId="0" fontId="117" fillId="0" borderId="0"/>
    <xf numFmtId="0" fontId="124" fillId="0" borderId="0" applyFill="0" applyBorder="0" applyProtection="0">
      <alignment horizontal="left"/>
    </xf>
    <xf numFmtId="0" fontId="112" fillId="0" borderId="5" applyFill="0" applyBorder="0" applyProtection="0">
      <alignment horizontal="left" vertical="top"/>
    </xf>
    <xf numFmtId="0" fontId="45" fillId="0" borderId="0">
      <alignment horizontal="centerContinuous"/>
    </xf>
    <xf numFmtId="0" fontId="84" fillId="0" borderId="0" applyNumberFormat="0" applyFill="0" applyBorder="0">
      <alignment horizontal="left"/>
    </xf>
    <xf numFmtId="0" fontId="92" fillId="0" borderId="0"/>
    <xf numFmtId="0" fontId="92" fillId="0" borderId="0"/>
    <xf numFmtId="0" fontId="125" fillId="0" borderId="0"/>
    <xf numFmtId="0" fontId="126" fillId="0" borderId="0"/>
    <xf numFmtId="49" fontId="98"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40" fontId="47" fillId="0" borderId="0"/>
    <xf numFmtId="0" fontId="43" fillId="0" borderId="0">
      <alignment horizontal="center"/>
    </xf>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168" fontId="62" fillId="0" borderId="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168" fontId="94" fillId="0" borderId="26"/>
    <xf numFmtId="182" fontId="107" fillId="0" borderId="0">
      <alignment horizontal="right"/>
    </xf>
    <xf numFmtId="0" fontId="127" fillId="0" borderId="0">
      <alignment horizontal="fill"/>
    </xf>
    <xf numFmtId="203" fontId="105" fillId="13" borderId="5" applyBorder="0">
      <alignment horizontal="right" vertical="center"/>
      <protection locked="0"/>
    </xf>
    <xf numFmtId="0" fontId="108" fillId="0" borderId="0" applyNumberFormat="0"/>
    <xf numFmtId="0" fontId="33" fillId="17" borderId="20" applyNumberFormat="0" applyFont="0" applyFill="0" applyAlignment="0" applyProtection="0"/>
    <xf numFmtId="0" fontId="33" fillId="17" borderId="25" applyNumberFormat="0" applyFont="0" applyFill="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53" fillId="0" borderId="0">
      <alignment horizontal="lef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43" fontId="128" fillId="0" borderId="0" applyFont="0" applyFill="0" applyBorder="0" applyAlignment="0" applyProtection="0"/>
    <xf numFmtId="9" fontId="128" fillId="0" borderId="0" applyFont="0" applyFill="0" applyBorder="0" applyAlignment="0" applyProtection="0"/>
  </cellStyleXfs>
  <cellXfs count="476">
    <xf numFmtId="0" fontId="0" fillId="0" borderId="0" xfId="0"/>
    <xf numFmtId="14" fontId="0" fillId="0" borderId="0" xfId="0" applyNumberFormat="1"/>
    <xf numFmtId="0" fontId="0" fillId="0" borderId="0" xfId="0" applyAlignment="1">
      <alignment horizontal="right"/>
    </xf>
    <xf numFmtId="14" fontId="0" fillId="0" borderId="0" xfId="0" applyNumberFormat="1" applyAlignment="1">
      <alignment horizontal="right"/>
    </xf>
    <xf numFmtId="0" fontId="5" fillId="39" borderId="29" xfId="0" applyFont="1" applyFill="1" applyBorder="1" applyAlignment="1">
      <alignment horizontal="center"/>
    </xf>
    <xf numFmtId="0" fontId="3" fillId="19" borderId="30" xfId="0" applyFont="1" applyFill="1" applyBorder="1"/>
    <xf numFmtId="0" fontId="11" fillId="40" borderId="0" xfId="0" applyFont="1" applyFill="1"/>
    <xf numFmtId="0" fontId="0" fillId="41" borderId="13" xfId="0" applyFill="1" applyBorder="1"/>
    <xf numFmtId="0" fontId="0" fillId="41" borderId="31" xfId="0" applyFill="1" applyBorder="1"/>
    <xf numFmtId="0" fontId="0" fillId="41" borderId="12" xfId="0" applyFill="1" applyBorder="1"/>
    <xf numFmtId="0" fontId="0" fillId="41" borderId="32" xfId="0" applyFill="1" applyBorder="1"/>
    <xf numFmtId="0" fontId="0" fillId="41" borderId="5" xfId="0" applyFill="1" applyBorder="1"/>
    <xf numFmtId="0" fontId="0" fillId="41" borderId="33" xfId="0" applyFill="1" applyBorder="1"/>
    <xf numFmtId="0" fontId="0" fillId="41" borderId="34" xfId="0" applyFill="1" applyBorder="1"/>
    <xf numFmtId="0" fontId="0" fillId="41" borderId="35" xfId="0" applyFill="1" applyBorder="1"/>
    <xf numFmtId="0" fontId="0" fillId="41" borderId="0" xfId="0" applyFill="1"/>
    <xf numFmtId="0" fontId="0" fillId="31" borderId="0" xfId="0" applyFill="1"/>
    <xf numFmtId="0" fontId="0" fillId="0" borderId="0" xfId="0" quotePrefix="1" applyAlignment="1">
      <alignment horizontal="right"/>
    </xf>
    <xf numFmtId="0" fontId="5" fillId="39" borderId="36" xfId="0" applyFont="1" applyFill="1" applyBorder="1" applyAlignment="1">
      <alignment horizontal="right"/>
    </xf>
    <xf numFmtId="167" fontId="28" fillId="0" borderId="0" xfId="994" applyNumberFormat="1" applyFont="1" applyAlignment="1">
      <alignment horizontal="right"/>
    </xf>
    <xf numFmtId="0" fontId="128" fillId="0" borderId="0" xfId="890" applyAlignment="1">
      <alignment horizontal="left"/>
    </xf>
    <xf numFmtId="0" fontId="27" fillId="39" borderId="37" xfId="0" applyFont="1" applyFill="1" applyBorder="1" applyAlignment="1">
      <alignment horizontal="left"/>
    </xf>
    <xf numFmtId="0" fontId="0" fillId="0" borderId="38" xfId="0" applyBorder="1"/>
    <xf numFmtId="0" fontId="0" fillId="0" borderId="10" xfId="0" applyBorder="1"/>
    <xf numFmtId="0" fontId="0" fillId="0" borderId="39" xfId="0" applyBorder="1"/>
    <xf numFmtId="0" fontId="0" fillId="0" borderId="37" xfId="0" applyBorder="1"/>
    <xf numFmtId="0" fontId="0" fillId="0" borderId="40" xfId="0" applyBorder="1"/>
    <xf numFmtId="0" fontId="0" fillId="0" borderId="41" xfId="0" applyBorder="1"/>
    <xf numFmtId="0" fontId="0" fillId="0" borderId="9" xfId="0" applyBorder="1"/>
    <xf numFmtId="0" fontId="0" fillId="0" borderId="42" xfId="0" applyBorder="1"/>
    <xf numFmtId="0" fontId="0" fillId="41" borderId="38" xfId="0" applyFill="1" applyBorder="1"/>
    <xf numFmtId="0" fontId="0" fillId="41" borderId="10" xfId="0" applyFill="1" applyBorder="1"/>
    <xf numFmtId="0" fontId="0" fillId="41" borderId="39" xfId="0" applyFill="1" applyBorder="1"/>
    <xf numFmtId="0" fontId="27" fillId="39" borderId="38" xfId="0" applyFont="1" applyFill="1" applyBorder="1" applyAlignment="1">
      <alignment horizontal="left"/>
    </xf>
    <xf numFmtId="14" fontId="0" fillId="41" borderId="0" xfId="0" applyNumberFormat="1" applyFill="1"/>
    <xf numFmtId="10" fontId="12" fillId="41" borderId="0" xfId="994" applyNumberFormat="1" applyFont="1" applyFill="1"/>
    <xf numFmtId="0" fontId="0" fillId="41" borderId="43" xfId="0" applyFill="1" applyBorder="1"/>
    <xf numFmtId="0" fontId="0" fillId="41" borderId="44" xfId="0" applyFill="1" applyBorder="1"/>
    <xf numFmtId="14" fontId="0" fillId="0" borderId="37" xfId="0" applyNumberFormat="1" applyBorder="1"/>
    <xf numFmtId="14" fontId="0" fillId="0" borderId="41" xfId="0" applyNumberFormat="1" applyBorder="1"/>
    <xf numFmtId="0" fontId="0" fillId="0" borderId="45" xfId="0" applyBorder="1"/>
    <xf numFmtId="0" fontId="0" fillId="0" borderId="1" xfId="0" applyBorder="1"/>
    <xf numFmtId="0" fontId="0" fillId="0" borderId="46" xfId="0" applyBorder="1"/>
    <xf numFmtId="0" fontId="0" fillId="41" borderId="45" xfId="0" applyFill="1" applyBorder="1"/>
    <xf numFmtId="0" fontId="0" fillId="0" borderId="37" xfId="0" quotePrefix="1" applyBorder="1"/>
    <xf numFmtId="0" fontId="0" fillId="0" borderId="0" xfId="0" quotePrefix="1"/>
    <xf numFmtId="0" fontId="0" fillId="41" borderId="37" xfId="0" applyFill="1" applyBorder="1"/>
    <xf numFmtId="0" fontId="6" fillId="41" borderId="37" xfId="913" applyFont="1" applyFill="1" applyBorder="1"/>
    <xf numFmtId="14" fontId="0" fillId="0" borderId="40" xfId="0" applyNumberFormat="1" applyBorder="1"/>
    <xf numFmtId="2" fontId="8" fillId="0" borderId="37" xfId="913" applyNumberFormat="1" applyFont="1" applyBorder="1"/>
    <xf numFmtId="0" fontId="9" fillId="0" borderId="0" xfId="0" applyFont="1"/>
    <xf numFmtId="0" fontId="8" fillId="0" borderId="37" xfId="913" applyFont="1" applyBorder="1"/>
    <xf numFmtId="0" fontId="0" fillId="0" borderId="5" xfId="0" applyBorder="1"/>
    <xf numFmtId="0" fontId="0" fillId="0" borderId="33" xfId="0" applyBorder="1"/>
    <xf numFmtId="0" fontId="29" fillId="0" borderId="0" xfId="0" applyFont="1"/>
    <xf numFmtId="14" fontId="0" fillId="0" borderId="9" xfId="0" applyNumberFormat="1" applyBorder="1"/>
    <xf numFmtId="0" fontId="30" fillId="0" borderId="13" xfId="0" applyFont="1" applyBorder="1"/>
    <xf numFmtId="0" fontId="30" fillId="0" borderId="32" xfId="0" applyFont="1" applyBorder="1"/>
    <xf numFmtId="0" fontId="30" fillId="0" borderId="5" xfId="0" applyFont="1" applyBorder="1"/>
    <xf numFmtId="0" fontId="30" fillId="0" borderId="0" xfId="0" applyFont="1"/>
    <xf numFmtId="0" fontId="30" fillId="0" borderId="33" xfId="0" applyFont="1" applyBorder="1"/>
    <xf numFmtId="0" fontId="30" fillId="0" borderId="34" xfId="0" applyFont="1" applyBorder="1"/>
    <xf numFmtId="0" fontId="30" fillId="0" borderId="6" xfId="0" applyFont="1" applyBorder="1"/>
    <xf numFmtId="0" fontId="30" fillId="0" borderId="35" xfId="0" applyFont="1" applyBorder="1"/>
    <xf numFmtId="0" fontId="30" fillId="41" borderId="12" xfId="0" applyFont="1" applyFill="1" applyBorder="1"/>
    <xf numFmtId="0" fontId="0" fillId="41" borderId="47" xfId="0" applyFill="1" applyBorder="1"/>
    <xf numFmtId="0" fontId="34" fillId="41" borderId="13" xfId="0" applyFont="1" applyFill="1" applyBorder="1" applyAlignment="1">
      <alignment horizontal="right"/>
    </xf>
    <xf numFmtId="0" fontId="0" fillId="0" borderId="0" xfId="0" applyAlignment="1">
      <alignment horizontal="left"/>
    </xf>
    <xf numFmtId="0" fontId="31" fillId="42" borderId="48" xfId="0" applyFont="1" applyFill="1" applyBorder="1" applyAlignment="1">
      <alignment horizontal="left"/>
    </xf>
    <xf numFmtId="0" fontId="31" fillId="43" borderId="49" xfId="0" applyFont="1" applyFill="1" applyBorder="1" applyAlignment="1">
      <alignment horizontal="left"/>
    </xf>
    <xf numFmtId="0" fontId="31" fillId="43" borderId="48" xfId="0" applyFont="1" applyFill="1" applyBorder="1" applyAlignment="1">
      <alignment horizontal="left"/>
    </xf>
    <xf numFmtId="0" fontId="31" fillId="42" borderId="50" xfId="0" applyFont="1" applyFill="1" applyBorder="1" applyAlignment="1">
      <alignment horizontal="left"/>
    </xf>
    <xf numFmtId="0" fontId="31" fillId="42" borderId="51" xfId="0" applyFont="1" applyFill="1" applyBorder="1" applyAlignment="1">
      <alignment horizontal="left"/>
    </xf>
    <xf numFmtId="0" fontId="31" fillId="42" borderId="52" xfId="0" applyFont="1" applyFill="1" applyBorder="1" applyAlignment="1">
      <alignment horizontal="left"/>
    </xf>
    <xf numFmtId="0" fontId="31" fillId="42" borderId="53" xfId="0" applyFont="1" applyFill="1" applyBorder="1" applyAlignment="1">
      <alignment horizontal="left"/>
    </xf>
    <xf numFmtId="0" fontId="31" fillId="43" borderId="52" xfId="0" applyFont="1" applyFill="1" applyBorder="1" applyAlignment="1">
      <alignment horizontal="left"/>
    </xf>
    <xf numFmtId="0" fontId="31" fillId="43" borderId="53" xfId="0" applyFont="1" applyFill="1" applyBorder="1" applyAlignment="1">
      <alignment horizontal="left"/>
    </xf>
    <xf numFmtId="0" fontId="13" fillId="39" borderId="13" xfId="0" applyFont="1" applyFill="1" applyBorder="1" applyAlignment="1">
      <alignment horizontal="center" vertical="center"/>
    </xf>
    <xf numFmtId="14" fontId="31" fillId="41" borderId="13" xfId="912" applyNumberFormat="1" applyFont="1" applyFill="1" applyBorder="1" applyAlignment="1">
      <alignment horizontal="right"/>
    </xf>
    <xf numFmtId="0" fontId="33" fillId="44" borderId="54" xfId="0" applyFont="1" applyFill="1" applyBorder="1" applyAlignment="1">
      <alignment horizontal="center"/>
    </xf>
    <xf numFmtId="0" fontId="13" fillId="39" borderId="55" xfId="0" applyFont="1" applyFill="1" applyBorder="1" applyAlignment="1">
      <alignment horizontal="center" vertical="center"/>
    </xf>
    <xf numFmtId="0" fontId="13" fillId="39" borderId="56" xfId="0" applyFont="1" applyFill="1" applyBorder="1" applyAlignment="1">
      <alignment horizontal="center" vertical="center"/>
    </xf>
    <xf numFmtId="0" fontId="31" fillId="42" borderId="57" xfId="0" applyFont="1" applyFill="1" applyBorder="1" applyAlignment="1">
      <alignment horizontal="left"/>
    </xf>
    <xf numFmtId="0" fontId="31" fillId="42" borderId="58" xfId="0" applyFont="1" applyFill="1" applyBorder="1" applyAlignment="1">
      <alignment horizontal="left"/>
    </xf>
    <xf numFmtId="0" fontId="0" fillId="25" borderId="37" xfId="0" applyFill="1" applyBorder="1"/>
    <xf numFmtId="0" fontId="31" fillId="42" borderId="5" xfId="0" applyFont="1" applyFill="1" applyBorder="1" applyAlignment="1">
      <alignment horizontal="left"/>
    </xf>
    <xf numFmtId="0" fontId="31" fillId="42" borderId="12" xfId="0" applyFont="1" applyFill="1" applyBorder="1" applyAlignment="1">
      <alignment horizontal="left"/>
    </xf>
    <xf numFmtId="0" fontId="0" fillId="0" borderId="32" xfId="0" applyBorder="1"/>
    <xf numFmtId="0" fontId="31" fillId="43" borderId="5" xfId="0" applyFont="1" applyFill="1" applyBorder="1" applyAlignment="1">
      <alignment horizontal="left"/>
    </xf>
    <xf numFmtId="0" fontId="31" fillId="43" borderId="33" xfId="0" applyFont="1" applyFill="1" applyBorder="1" applyAlignment="1">
      <alignment horizontal="left"/>
    </xf>
    <xf numFmtId="0" fontId="31" fillId="42" borderId="33" xfId="0" applyFont="1" applyFill="1" applyBorder="1" applyAlignment="1">
      <alignment horizontal="left"/>
    </xf>
    <xf numFmtId="0" fontId="31" fillId="42" borderId="34" xfId="0" applyFont="1" applyFill="1" applyBorder="1" applyAlignment="1">
      <alignment horizontal="left"/>
    </xf>
    <xf numFmtId="0" fontId="31" fillId="42" borderId="35" xfId="0" applyFont="1" applyFill="1" applyBorder="1" applyAlignment="1">
      <alignment horizontal="left"/>
    </xf>
    <xf numFmtId="0" fontId="0" fillId="0" borderId="37" xfId="0" applyBorder="1" applyAlignment="1">
      <alignment horizontal="right"/>
    </xf>
    <xf numFmtId="0" fontId="31" fillId="41" borderId="13" xfId="912" applyFont="1" applyFill="1" applyBorder="1" applyAlignment="1">
      <alignment horizontal="right"/>
    </xf>
    <xf numFmtId="0" fontId="39" fillId="0" borderId="0" xfId="0" applyFont="1" applyAlignment="1">
      <alignment horizontal="left" indent="1"/>
    </xf>
    <xf numFmtId="0" fontId="40" fillId="0" borderId="0" xfId="0" applyFont="1" applyAlignment="1">
      <alignment horizontal="left"/>
    </xf>
    <xf numFmtId="0" fontId="0" fillId="41" borderId="13" xfId="0" applyFill="1" applyBorder="1" applyAlignment="1">
      <alignment horizontal="right"/>
    </xf>
    <xf numFmtId="0" fontId="134" fillId="0" borderId="0" xfId="0" applyFont="1"/>
    <xf numFmtId="0" fontId="0" fillId="0" borderId="13" xfId="0" applyBorder="1"/>
    <xf numFmtId="0" fontId="0" fillId="0" borderId="34" xfId="0" applyBorder="1"/>
    <xf numFmtId="43" fontId="128" fillId="0" borderId="0" xfId="377" applyFont="1"/>
    <xf numFmtId="0" fontId="129" fillId="0" borderId="0" xfId="0" applyFont="1"/>
    <xf numFmtId="0" fontId="0" fillId="0" borderId="40" xfId="0" quotePrefix="1" applyBorder="1"/>
    <xf numFmtId="14" fontId="0" fillId="41" borderId="0" xfId="0" quotePrefix="1" applyNumberFormat="1" applyFill="1"/>
    <xf numFmtId="170" fontId="128" fillId="0" borderId="0" xfId="377" applyNumberFormat="1" applyFont="1"/>
    <xf numFmtId="0" fontId="135" fillId="46" borderId="59" xfId="0" applyFont="1" applyFill="1" applyBorder="1" applyAlignment="1">
      <alignment horizontal="center" wrapText="1"/>
    </xf>
    <xf numFmtId="0" fontId="0" fillId="41" borderId="60" xfId="0" applyFill="1" applyBorder="1"/>
    <xf numFmtId="40" fontId="0" fillId="47" borderId="61" xfId="0" applyNumberFormat="1" applyFill="1" applyBorder="1" applyAlignment="1">
      <alignment horizontal="right"/>
    </xf>
    <xf numFmtId="0" fontId="136" fillId="48" borderId="52" xfId="0" applyFont="1" applyFill="1" applyBorder="1" applyAlignment="1">
      <alignment horizontal="right"/>
    </xf>
    <xf numFmtId="0" fontId="136" fillId="48" borderId="62" xfId="0" applyFont="1" applyFill="1" applyBorder="1" applyAlignment="1">
      <alignment horizontal="center"/>
    </xf>
    <xf numFmtId="0" fontId="136" fillId="48" borderId="63" xfId="0" applyFont="1" applyFill="1" applyBorder="1" applyAlignment="1">
      <alignment horizontal="center"/>
    </xf>
    <xf numFmtId="0" fontId="0" fillId="41" borderId="64" xfId="0" applyFill="1" applyBorder="1"/>
    <xf numFmtId="40" fontId="0" fillId="47" borderId="62" xfId="0" applyNumberFormat="1" applyFill="1" applyBorder="1" applyAlignment="1">
      <alignment horizontal="right"/>
    </xf>
    <xf numFmtId="0" fontId="136" fillId="48" borderId="52" xfId="0" applyFont="1" applyFill="1" applyBorder="1" applyAlignment="1">
      <alignment horizontal="left"/>
    </xf>
    <xf numFmtId="43" fontId="137" fillId="47" borderId="62" xfId="377" applyFont="1" applyFill="1" applyBorder="1" applyAlignment="1">
      <alignment horizontal="right"/>
    </xf>
    <xf numFmtId="43" fontId="137" fillId="47" borderId="63" xfId="377" applyFont="1" applyFill="1" applyBorder="1" applyAlignment="1">
      <alignment horizontal="right"/>
    </xf>
    <xf numFmtId="0" fontId="0" fillId="41" borderId="65" xfId="0" applyFill="1" applyBorder="1"/>
    <xf numFmtId="0" fontId="138" fillId="0" borderId="0" xfId="0" applyFont="1" applyAlignment="1">
      <alignment horizontal="left"/>
    </xf>
    <xf numFmtId="0" fontId="138" fillId="41" borderId="64" xfId="0" applyFont="1" applyFill="1" applyBorder="1" applyAlignment="1">
      <alignment horizontal="left"/>
    </xf>
    <xf numFmtId="0" fontId="0" fillId="47" borderId="62" xfId="0" applyFill="1" applyBorder="1" applyAlignment="1">
      <alignment horizontal="right"/>
    </xf>
    <xf numFmtId="0" fontId="0" fillId="47" borderId="63" xfId="0" applyFill="1" applyBorder="1" applyAlignment="1">
      <alignment horizontal="right"/>
    </xf>
    <xf numFmtId="0" fontId="136" fillId="0" borderId="5" xfId="0" applyFont="1" applyBorder="1" applyAlignment="1">
      <alignment horizontal="left" indent="1"/>
    </xf>
    <xf numFmtId="0" fontId="138" fillId="0" borderId="0" xfId="0" applyFont="1"/>
    <xf numFmtId="169" fontId="0" fillId="47" borderId="62" xfId="0" applyNumberFormat="1" applyFill="1" applyBorder="1" applyAlignment="1">
      <alignment horizontal="right"/>
    </xf>
    <xf numFmtId="169" fontId="0" fillId="47" borderId="63" xfId="0" applyNumberFormat="1" applyFill="1" applyBorder="1" applyAlignment="1">
      <alignment horizontal="right"/>
    </xf>
    <xf numFmtId="0" fontId="138" fillId="0" borderId="0" xfId="0" applyFont="1" applyAlignment="1">
      <alignment horizontal="center"/>
    </xf>
    <xf numFmtId="170" fontId="137" fillId="0" borderId="0" xfId="377" applyNumberFormat="1" applyFont="1" applyFill="1" applyBorder="1" applyAlignment="1">
      <alignment horizontal="right"/>
    </xf>
    <xf numFmtId="0" fontId="0" fillId="41" borderId="66" xfId="0" applyFill="1" applyBorder="1"/>
    <xf numFmtId="40" fontId="0" fillId="47" borderId="67" xfId="0" applyNumberFormat="1" applyFill="1" applyBorder="1" applyAlignment="1">
      <alignment horizontal="right"/>
    </xf>
    <xf numFmtId="40" fontId="0" fillId="47" borderId="68" xfId="0" applyNumberFormat="1" applyFill="1" applyBorder="1" applyAlignment="1">
      <alignment horizontal="right"/>
    </xf>
    <xf numFmtId="0" fontId="136" fillId="48" borderId="50" xfId="0" applyFont="1" applyFill="1" applyBorder="1" applyAlignment="1">
      <alignment horizontal="left"/>
    </xf>
    <xf numFmtId="169" fontId="0" fillId="47" borderId="67" xfId="0" applyNumberFormat="1" applyFill="1" applyBorder="1" applyAlignment="1">
      <alignment horizontal="right"/>
    </xf>
    <xf numFmtId="169" fontId="0" fillId="47" borderId="69" xfId="0" applyNumberFormat="1" applyFill="1" applyBorder="1" applyAlignment="1">
      <alignment horizontal="right"/>
    </xf>
    <xf numFmtId="0" fontId="139" fillId="0" borderId="70" xfId="0" applyFont="1" applyBorder="1" applyAlignment="1">
      <alignment horizontal="left"/>
    </xf>
    <xf numFmtId="10" fontId="137" fillId="41" borderId="70" xfId="994" applyNumberFormat="1" applyFont="1" applyFill="1" applyBorder="1" applyAlignment="1">
      <alignment horizontal="right"/>
    </xf>
    <xf numFmtId="167" fontId="137" fillId="41" borderId="63" xfId="994" applyNumberFormat="1" applyFont="1" applyFill="1" applyBorder="1" applyAlignment="1">
      <alignment horizontal="right"/>
    </xf>
    <xf numFmtId="0" fontId="0" fillId="41" borderId="63" xfId="0" applyFill="1" applyBorder="1" applyAlignment="1">
      <alignment horizontal="right"/>
    </xf>
    <xf numFmtId="170" fontId="137" fillId="41" borderId="53" xfId="377" applyNumberFormat="1" applyFont="1" applyFill="1" applyBorder="1" applyAlignment="1">
      <alignment horizontal="right"/>
    </xf>
    <xf numFmtId="170" fontId="134" fillId="0" borderId="5" xfId="377" applyNumberFormat="1" applyFont="1" applyBorder="1" applyAlignment="1"/>
    <xf numFmtId="2" fontId="137" fillId="41" borderId="63" xfId="994" applyNumberFormat="1" applyFont="1" applyFill="1" applyBorder="1" applyAlignment="1">
      <alignment horizontal="right"/>
    </xf>
    <xf numFmtId="0" fontId="0" fillId="0" borderId="6" xfId="0" applyBorder="1"/>
    <xf numFmtId="0" fontId="0" fillId="0" borderId="35" xfId="0" applyBorder="1"/>
    <xf numFmtId="0" fontId="0" fillId="44" borderId="59" xfId="0" applyFill="1" applyBorder="1"/>
    <xf numFmtId="0" fontId="0" fillId="44" borderId="71" xfId="0" applyFill="1" applyBorder="1"/>
    <xf numFmtId="0" fontId="0" fillId="44" borderId="72" xfId="0" applyFill="1" applyBorder="1"/>
    <xf numFmtId="2" fontId="140" fillId="0" borderId="0" xfId="0" applyNumberFormat="1" applyFont="1"/>
    <xf numFmtId="0" fontId="141" fillId="47" borderId="62" xfId="0" applyFont="1" applyFill="1" applyBorder="1" applyAlignment="1">
      <alignment horizontal="right"/>
    </xf>
    <xf numFmtId="167" fontId="137" fillId="47" borderId="62" xfId="994" applyNumberFormat="1" applyFont="1" applyFill="1" applyBorder="1" applyAlignment="1">
      <alignment horizontal="right"/>
    </xf>
    <xf numFmtId="167" fontId="137" fillId="47" borderId="63" xfId="994" applyNumberFormat="1" applyFont="1" applyFill="1" applyBorder="1" applyAlignment="1">
      <alignment horizontal="right"/>
    </xf>
    <xf numFmtId="14" fontId="142" fillId="0" borderId="29" xfId="0" applyNumberFormat="1" applyFont="1" applyBorder="1" applyAlignment="1">
      <alignment horizontal="left" vertical="center" indent="1"/>
    </xf>
    <xf numFmtId="0" fontId="143" fillId="49" borderId="13" xfId="0" applyFont="1" applyFill="1" applyBorder="1" applyAlignment="1">
      <alignment horizontal="center" vertical="center"/>
    </xf>
    <xf numFmtId="0" fontId="0" fillId="41" borderId="73" xfId="0" applyFill="1" applyBorder="1"/>
    <xf numFmtId="14" fontId="135" fillId="46" borderId="105" xfId="0" applyNumberFormat="1" applyFont="1" applyFill="1" applyBorder="1" applyAlignment="1">
      <alignment horizontal="center" vertical="center"/>
    </xf>
    <xf numFmtId="14" fontId="135" fillId="46" borderId="106" xfId="0" applyNumberFormat="1" applyFont="1" applyFill="1" applyBorder="1" applyAlignment="1">
      <alignment horizontal="center" vertical="center"/>
    </xf>
    <xf numFmtId="14" fontId="135" fillId="46" borderId="107" xfId="0" applyNumberFormat="1" applyFont="1" applyFill="1" applyBorder="1" applyAlignment="1">
      <alignment horizontal="center" vertical="center"/>
    </xf>
    <xf numFmtId="0" fontId="0" fillId="47" borderId="73" xfId="0" applyFill="1" applyBorder="1"/>
    <xf numFmtId="43" fontId="137" fillId="47" borderId="73" xfId="377" applyFont="1" applyFill="1" applyBorder="1"/>
    <xf numFmtId="14" fontId="0" fillId="47" borderId="73" xfId="0" applyNumberFormat="1" applyFill="1" applyBorder="1"/>
    <xf numFmtId="0" fontId="0" fillId="47" borderId="33" xfId="0" applyFill="1" applyBorder="1"/>
    <xf numFmtId="0" fontId="0" fillId="47" borderId="68" xfId="0" applyFill="1" applyBorder="1"/>
    <xf numFmtId="43" fontId="137" fillId="47" borderId="68" xfId="377" applyFont="1" applyFill="1" applyBorder="1"/>
    <xf numFmtId="14" fontId="0" fillId="47" borderId="68" xfId="0" applyNumberFormat="1" applyFill="1" applyBorder="1"/>
    <xf numFmtId="0" fontId="0" fillId="47" borderId="77" xfId="0" applyFill="1" applyBorder="1"/>
    <xf numFmtId="0" fontId="0" fillId="47" borderId="67" xfId="0" applyFill="1" applyBorder="1"/>
    <xf numFmtId="43" fontId="137" fillId="47" borderId="67" xfId="377" applyFont="1" applyFill="1" applyBorder="1"/>
    <xf numFmtId="14" fontId="0" fillId="47" borderId="67" xfId="0" applyNumberFormat="1" applyFill="1" applyBorder="1"/>
    <xf numFmtId="0" fontId="0" fillId="47" borderId="69" xfId="0" applyFill="1" applyBorder="1"/>
    <xf numFmtId="0" fontId="142" fillId="48" borderId="78" xfId="0" applyFont="1" applyFill="1" applyBorder="1"/>
    <xf numFmtId="0" fontId="142" fillId="48" borderId="79" xfId="0" applyFont="1" applyFill="1" applyBorder="1"/>
    <xf numFmtId="0" fontId="142" fillId="48" borderId="50" xfId="0" applyFont="1" applyFill="1" applyBorder="1"/>
    <xf numFmtId="14" fontId="135" fillId="46" borderId="108" xfId="0" applyNumberFormat="1" applyFont="1" applyFill="1" applyBorder="1" applyAlignment="1">
      <alignment horizontal="center" vertical="center"/>
    </xf>
    <xf numFmtId="14" fontId="135" fillId="46" borderId="109" xfId="0" applyNumberFormat="1" applyFont="1" applyFill="1" applyBorder="1" applyAlignment="1">
      <alignment horizontal="center" vertical="center"/>
    </xf>
    <xf numFmtId="14" fontId="135" fillId="46" borderId="110" xfId="0" applyNumberFormat="1" applyFont="1" applyFill="1" applyBorder="1" applyAlignment="1">
      <alignment horizontal="center" vertical="center"/>
    </xf>
    <xf numFmtId="14" fontId="27" fillId="46" borderId="109" xfId="0" applyNumberFormat="1" applyFont="1" applyFill="1" applyBorder="1" applyAlignment="1">
      <alignment horizontal="center" vertical="center"/>
    </xf>
    <xf numFmtId="0" fontId="137" fillId="47" borderId="61" xfId="0" applyFont="1" applyFill="1" applyBorder="1" applyAlignment="1">
      <alignment horizontal="left"/>
    </xf>
    <xf numFmtId="0" fontId="137" fillId="47" borderId="61" xfId="0" applyFont="1" applyFill="1" applyBorder="1" applyAlignment="1">
      <alignment horizontal="right"/>
    </xf>
    <xf numFmtId="0" fontId="137" fillId="47" borderId="61" xfId="0" applyFont="1" applyFill="1" applyBorder="1" applyAlignment="1">
      <alignment horizontal="center"/>
    </xf>
    <xf numFmtId="4" fontId="137" fillId="47" borderId="61" xfId="0" applyNumberFormat="1" applyFont="1" applyFill="1" applyBorder="1" applyAlignment="1">
      <alignment horizontal="right"/>
    </xf>
    <xf numFmtId="14" fontId="137" fillId="47" borderId="61" xfId="0" applyNumberFormat="1" applyFont="1" applyFill="1" applyBorder="1" applyAlignment="1">
      <alignment horizontal="right"/>
    </xf>
    <xf numFmtId="0" fontId="137" fillId="47" borderId="70" xfId="0" applyFont="1" applyFill="1" applyBorder="1" applyAlignment="1">
      <alignment horizontal="right"/>
    </xf>
    <xf numFmtId="0" fontId="137" fillId="47" borderId="62" xfId="0" applyFont="1" applyFill="1" applyBorder="1" applyAlignment="1">
      <alignment horizontal="left"/>
    </xf>
    <xf numFmtId="0" fontId="137" fillId="47" borderId="62" xfId="0" applyFont="1" applyFill="1" applyBorder="1" applyAlignment="1">
      <alignment horizontal="right"/>
    </xf>
    <xf numFmtId="0" fontId="137" fillId="47" borderId="62" xfId="0" applyFont="1" applyFill="1" applyBorder="1" applyAlignment="1">
      <alignment horizontal="center"/>
    </xf>
    <xf numFmtId="4" fontId="137" fillId="47" borderId="62" xfId="0" applyNumberFormat="1" applyFont="1" applyFill="1" applyBorder="1" applyAlignment="1">
      <alignment horizontal="right"/>
    </xf>
    <xf numFmtId="14" fontId="137" fillId="47" borderId="62" xfId="0" applyNumberFormat="1" applyFont="1" applyFill="1" applyBorder="1" applyAlignment="1">
      <alignment horizontal="right"/>
    </xf>
    <xf numFmtId="0" fontId="137" fillId="47" borderId="63" xfId="0" applyFont="1" applyFill="1" applyBorder="1" applyAlignment="1">
      <alignment horizontal="right"/>
    </xf>
    <xf numFmtId="0" fontId="137" fillId="47" borderId="67" xfId="0" applyFont="1" applyFill="1" applyBorder="1" applyAlignment="1">
      <alignment horizontal="left"/>
    </xf>
    <xf numFmtId="0" fontId="137" fillId="47" borderId="67" xfId="0" applyFont="1" applyFill="1" applyBorder="1" applyAlignment="1">
      <alignment horizontal="right"/>
    </xf>
    <xf numFmtId="0" fontId="137" fillId="47" borderId="67" xfId="0" applyFont="1" applyFill="1" applyBorder="1" applyAlignment="1">
      <alignment horizontal="center"/>
    </xf>
    <xf numFmtId="4" fontId="137" fillId="47" borderId="67" xfId="0" applyNumberFormat="1" applyFont="1" applyFill="1" applyBorder="1" applyAlignment="1">
      <alignment horizontal="right"/>
    </xf>
    <xf numFmtId="14" fontId="137" fillId="47" borderId="67" xfId="0" applyNumberFormat="1" applyFont="1" applyFill="1" applyBorder="1" applyAlignment="1">
      <alignment horizontal="right"/>
    </xf>
    <xf numFmtId="0" fontId="137" fillId="47" borderId="69" xfId="0" applyFont="1" applyFill="1" applyBorder="1" applyAlignment="1">
      <alignment horizontal="right"/>
    </xf>
    <xf numFmtId="0" fontId="142" fillId="48" borderId="74" xfId="0" applyFont="1" applyFill="1" applyBorder="1" applyAlignment="1">
      <alignment horizontal="left"/>
    </xf>
    <xf numFmtId="0" fontId="142" fillId="48" borderId="52" xfId="0" applyFont="1" applyFill="1" applyBorder="1" applyAlignment="1">
      <alignment horizontal="left"/>
    </xf>
    <xf numFmtId="0" fontId="142" fillId="48" borderId="50" xfId="0" applyFont="1" applyFill="1" applyBorder="1" applyAlignment="1">
      <alignment horizontal="left"/>
    </xf>
    <xf numFmtId="0" fontId="0" fillId="41" borderId="80" xfId="0" applyFill="1" applyBorder="1"/>
    <xf numFmtId="0" fontId="135" fillId="46" borderId="111" xfId="0" applyFont="1" applyFill="1" applyBorder="1" applyAlignment="1">
      <alignment horizontal="center"/>
    </xf>
    <xf numFmtId="0" fontId="135" fillId="46" borderId="112" xfId="0" applyFont="1" applyFill="1" applyBorder="1" applyAlignment="1">
      <alignment horizontal="center"/>
    </xf>
    <xf numFmtId="2" fontId="0" fillId="47" borderId="61" xfId="0" applyNumberFormat="1" applyFill="1" applyBorder="1" applyAlignment="1">
      <alignment horizontal="right"/>
    </xf>
    <xf numFmtId="10" fontId="137" fillId="47" borderId="61" xfId="994" applyNumberFormat="1" applyFont="1" applyFill="1" applyBorder="1" applyAlignment="1">
      <alignment horizontal="right"/>
    </xf>
    <xf numFmtId="169" fontId="0" fillId="47" borderId="61" xfId="0" applyNumberFormat="1" applyFill="1" applyBorder="1" applyAlignment="1">
      <alignment horizontal="right"/>
    </xf>
    <xf numFmtId="10" fontId="137" fillId="47" borderId="70" xfId="994" applyNumberFormat="1" applyFont="1" applyFill="1" applyBorder="1" applyAlignment="1">
      <alignment horizontal="right"/>
    </xf>
    <xf numFmtId="2" fontId="0" fillId="47" borderId="62" xfId="0" applyNumberFormat="1" applyFill="1" applyBorder="1" applyAlignment="1">
      <alignment horizontal="right"/>
    </xf>
    <xf numFmtId="10" fontId="137" fillId="47" borderId="62" xfId="994" applyNumberFormat="1" applyFont="1" applyFill="1" applyBorder="1" applyAlignment="1">
      <alignment horizontal="right"/>
    </xf>
    <xf numFmtId="10" fontId="137" fillId="47" borderId="63" xfId="994" applyNumberFormat="1" applyFont="1" applyFill="1" applyBorder="1" applyAlignment="1">
      <alignment horizontal="right"/>
    </xf>
    <xf numFmtId="2" fontId="0" fillId="47" borderId="67" xfId="0" applyNumberFormat="1" applyFill="1" applyBorder="1" applyAlignment="1">
      <alignment horizontal="right"/>
    </xf>
    <xf numFmtId="10" fontId="137" fillId="47" borderId="67" xfId="994" applyNumberFormat="1" applyFont="1" applyFill="1" applyBorder="1" applyAlignment="1">
      <alignment horizontal="right"/>
    </xf>
    <xf numFmtId="10" fontId="137" fillId="47" borderId="69" xfId="994" applyNumberFormat="1" applyFont="1" applyFill="1" applyBorder="1" applyAlignment="1">
      <alignment horizontal="right"/>
    </xf>
    <xf numFmtId="170" fontId="137" fillId="41" borderId="81" xfId="377" applyNumberFormat="1" applyFont="1" applyFill="1" applyBorder="1" applyAlignment="1"/>
    <xf numFmtId="0" fontId="0" fillId="41" borderId="35" xfId="0" applyFill="1" applyBorder="1" applyAlignment="1">
      <alignment horizontal="right"/>
    </xf>
    <xf numFmtId="0" fontId="0" fillId="41" borderId="77" xfId="0" applyFill="1" applyBorder="1" applyAlignment="1">
      <alignment horizontal="right"/>
    </xf>
    <xf numFmtId="0" fontId="0" fillId="44" borderId="75" xfId="0" applyFill="1" applyBorder="1"/>
    <xf numFmtId="0" fontId="139" fillId="46" borderId="113" xfId="0" applyFont="1" applyFill="1" applyBorder="1" applyAlignment="1">
      <alignment horizontal="center"/>
    </xf>
    <xf numFmtId="0" fontId="139" fillId="46" borderId="114" xfId="0" applyFont="1" applyFill="1" applyBorder="1" applyAlignment="1">
      <alignment horizontal="center"/>
    </xf>
    <xf numFmtId="0" fontId="139" fillId="46" borderId="115" xfId="0" applyFont="1" applyFill="1" applyBorder="1" applyAlignment="1">
      <alignment horizontal="center"/>
    </xf>
    <xf numFmtId="0" fontId="139" fillId="46" borderId="116" xfId="0" applyFont="1" applyFill="1" applyBorder="1" applyAlignment="1">
      <alignment horizontal="center"/>
    </xf>
    <xf numFmtId="173" fontId="137" fillId="47" borderId="61" xfId="377" applyNumberFormat="1" applyFont="1" applyFill="1" applyBorder="1" applyAlignment="1">
      <alignment horizontal="right"/>
    </xf>
    <xf numFmtId="173" fontId="137" fillId="47" borderId="70" xfId="377" applyNumberFormat="1" applyFont="1" applyFill="1" applyBorder="1" applyAlignment="1">
      <alignment horizontal="right"/>
    </xf>
    <xf numFmtId="167" fontId="137" fillId="47" borderId="83" xfId="994" applyNumberFormat="1" applyFont="1" applyFill="1" applyBorder="1" applyAlignment="1">
      <alignment horizontal="right"/>
    </xf>
    <xf numFmtId="173" fontId="137" fillId="47" borderId="62" xfId="377" applyNumberFormat="1" applyFont="1" applyFill="1" applyBorder="1" applyAlignment="1">
      <alignment horizontal="right"/>
    </xf>
    <xf numFmtId="173" fontId="137" fillId="47" borderId="63" xfId="377" applyNumberFormat="1" applyFont="1" applyFill="1" applyBorder="1" applyAlignment="1">
      <alignment horizontal="right"/>
    </xf>
    <xf numFmtId="167" fontId="137" fillId="47" borderId="84" xfId="994" applyNumberFormat="1" applyFont="1" applyFill="1" applyBorder="1" applyAlignment="1">
      <alignment horizontal="right"/>
    </xf>
    <xf numFmtId="173" fontId="137" fillId="47" borderId="67" xfId="377" applyNumberFormat="1" applyFont="1" applyFill="1" applyBorder="1" applyAlignment="1">
      <alignment horizontal="right"/>
    </xf>
    <xf numFmtId="173" fontId="137" fillId="47" borderId="69" xfId="377" applyNumberFormat="1" applyFont="1" applyFill="1" applyBorder="1" applyAlignment="1">
      <alignment horizontal="right"/>
    </xf>
    <xf numFmtId="167" fontId="137" fillId="47" borderId="85" xfId="994" applyNumberFormat="1" applyFont="1" applyFill="1" applyBorder="1" applyAlignment="1">
      <alignment horizontal="right"/>
    </xf>
    <xf numFmtId="2" fontId="0" fillId="47" borderId="82" xfId="0" applyNumberFormat="1" applyFill="1" applyBorder="1" applyAlignment="1">
      <alignment horizontal="right"/>
    </xf>
    <xf numFmtId="2" fontId="0" fillId="47" borderId="86" xfId="0" applyNumberFormat="1" applyFill="1" applyBorder="1" applyAlignment="1">
      <alignment horizontal="right"/>
    </xf>
    <xf numFmtId="167" fontId="137" fillId="47" borderId="36" xfId="994" applyNumberFormat="1" applyFont="1" applyFill="1" applyBorder="1" applyAlignment="1">
      <alignment horizontal="right"/>
    </xf>
    <xf numFmtId="2" fontId="0" fillId="47" borderId="63" xfId="0" applyNumberFormat="1" applyFill="1" applyBorder="1" applyAlignment="1">
      <alignment horizontal="right"/>
    </xf>
    <xf numFmtId="2" fontId="0" fillId="47" borderId="69" xfId="0" applyNumberFormat="1" applyFill="1" applyBorder="1" applyAlignment="1">
      <alignment horizontal="right"/>
    </xf>
    <xf numFmtId="173" fontId="137" fillId="47" borderId="82" xfId="377" applyNumberFormat="1" applyFont="1" applyFill="1" applyBorder="1" applyAlignment="1">
      <alignment horizontal="right"/>
    </xf>
    <xf numFmtId="173" fontId="137" fillId="47" borderId="86" xfId="377" applyNumberFormat="1" applyFont="1" applyFill="1" applyBorder="1" applyAlignment="1">
      <alignment horizontal="right"/>
    </xf>
    <xf numFmtId="167" fontId="137" fillId="47" borderId="61" xfId="994" applyNumberFormat="1" applyFont="1" applyFill="1" applyBorder="1" applyAlignment="1">
      <alignment horizontal="right"/>
    </xf>
    <xf numFmtId="167" fontId="137" fillId="47" borderId="70" xfId="994" applyNumberFormat="1" applyFont="1" applyFill="1" applyBorder="1" applyAlignment="1">
      <alignment horizontal="right"/>
    </xf>
    <xf numFmtId="167" fontId="137" fillId="47" borderId="67" xfId="994" applyNumberFormat="1" applyFont="1" applyFill="1" applyBorder="1" applyAlignment="1">
      <alignment horizontal="right"/>
    </xf>
    <xf numFmtId="167" fontId="137" fillId="47" borderId="69" xfId="994" applyNumberFormat="1" applyFont="1" applyFill="1" applyBorder="1" applyAlignment="1">
      <alignment horizontal="right"/>
    </xf>
    <xf numFmtId="168" fontId="0" fillId="47" borderId="82" xfId="0" applyNumberFormat="1" applyFill="1" applyBorder="1" applyAlignment="1">
      <alignment horizontal="right"/>
    </xf>
    <xf numFmtId="168" fontId="0" fillId="47" borderId="86" xfId="0" applyNumberFormat="1" applyFill="1" applyBorder="1" applyAlignment="1">
      <alignment horizontal="right"/>
    </xf>
    <xf numFmtId="168" fontId="0" fillId="47" borderId="36" xfId="0" applyNumberFormat="1" applyFill="1" applyBorder="1" applyAlignment="1">
      <alignment horizontal="right"/>
    </xf>
    <xf numFmtId="168" fontId="0" fillId="47" borderId="62" xfId="0" applyNumberFormat="1" applyFill="1" applyBorder="1" applyAlignment="1">
      <alignment horizontal="right"/>
    </xf>
    <xf numFmtId="168" fontId="0" fillId="47" borderId="63" xfId="0" applyNumberFormat="1" applyFill="1" applyBorder="1" applyAlignment="1">
      <alignment horizontal="right"/>
    </xf>
    <xf numFmtId="168" fontId="0" fillId="47" borderId="84" xfId="0" applyNumberFormat="1" applyFill="1" applyBorder="1" applyAlignment="1">
      <alignment horizontal="right"/>
    </xf>
    <xf numFmtId="168" fontId="0" fillId="47" borderId="67" xfId="0" applyNumberFormat="1" applyFill="1" applyBorder="1" applyAlignment="1">
      <alignment horizontal="right"/>
    </xf>
    <xf numFmtId="168" fontId="0" fillId="47" borderId="69" xfId="0" applyNumberFormat="1" applyFill="1" applyBorder="1" applyAlignment="1">
      <alignment horizontal="right"/>
    </xf>
    <xf numFmtId="168" fontId="0" fillId="47" borderId="85" xfId="0" applyNumberFormat="1" applyFill="1" applyBorder="1" applyAlignment="1">
      <alignment horizontal="right"/>
    </xf>
    <xf numFmtId="0" fontId="136" fillId="48" borderId="87" xfId="0" applyFont="1" applyFill="1" applyBorder="1" applyAlignment="1">
      <alignment horizontal="left"/>
    </xf>
    <xf numFmtId="0" fontId="136" fillId="48" borderId="88" xfId="0" applyFont="1" applyFill="1" applyBorder="1" applyAlignment="1">
      <alignment horizontal="left"/>
    </xf>
    <xf numFmtId="0" fontId="135" fillId="46" borderId="89" xfId="0" applyFont="1" applyFill="1" applyBorder="1" applyAlignment="1">
      <alignment horizontal="left" vertical="center" indent="1"/>
    </xf>
    <xf numFmtId="0" fontId="135" fillId="46" borderId="4" xfId="0" applyFont="1" applyFill="1" applyBorder="1" applyAlignment="1">
      <alignment vertical="center"/>
    </xf>
    <xf numFmtId="0" fontId="135" fillId="46" borderId="90" xfId="0" applyFont="1" applyFill="1" applyBorder="1" applyAlignment="1">
      <alignment vertical="center"/>
    </xf>
    <xf numFmtId="0" fontId="136" fillId="48" borderId="117" xfId="0" applyFont="1" applyFill="1" applyBorder="1" applyAlignment="1">
      <alignment horizontal="center"/>
    </xf>
    <xf numFmtId="0" fontId="136" fillId="48" borderId="61" xfId="0" applyFont="1" applyFill="1" applyBorder="1" applyAlignment="1">
      <alignment horizontal="center"/>
    </xf>
    <xf numFmtId="0" fontId="136" fillId="48" borderId="70" xfId="0" applyFont="1" applyFill="1" applyBorder="1" applyAlignment="1">
      <alignment horizontal="center"/>
    </xf>
    <xf numFmtId="0" fontId="0" fillId="48" borderId="87" xfId="0" applyFill="1" applyBorder="1" applyAlignment="1">
      <alignment horizontal="right"/>
    </xf>
    <xf numFmtId="0" fontId="0" fillId="48" borderId="52" xfId="0" applyFill="1" applyBorder="1" applyAlignment="1">
      <alignment horizontal="right"/>
    </xf>
    <xf numFmtId="169" fontId="0" fillId="47" borderId="91" xfId="0" applyNumberFormat="1" applyFill="1" applyBorder="1"/>
    <xf numFmtId="169" fontId="0" fillId="47" borderId="117" xfId="0" applyNumberFormat="1" applyFill="1" applyBorder="1"/>
    <xf numFmtId="169" fontId="0" fillId="47" borderId="75" xfId="0" applyNumberFormat="1" applyFill="1" applyBorder="1"/>
    <xf numFmtId="169" fontId="0" fillId="47" borderId="76" xfId="0" applyNumberFormat="1" applyFill="1" applyBorder="1"/>
    <xf numFmtId="167" fontId="137" fillId="47" borderId="92" xfId="994" applyNumberFormat="1" applyFont="1" applyFill="1" applyBorder="1"/>
    <xf numFmtId="167" fontId="137" fillId="47" borderId="118" xfId="994" applyNumberFormat="1" applyFont="1" applyFill="1" applyBorder="1"/>
    <xf numFmtId="167" fontId="137" fillId="47" borderId="72" xfId="994" applyNumberFormat="1" applyFont="1" applyFill="1" applyBorder="1"/>
    <xf numFmtId="167" fontId="137" fillId="47" borderId="51" xfId="994" applyNumberFormat="1" applyFont="1" applyFill="1" applyBorder="1"/>
    <xf numFmtId="167" fontId="137" fillId="47" borderId="75" xfId="994" applyNumberFormat="1" applyFont="1" applyFill="1" applyBorder="1" applyAlignment="1">
      <alignment horizontal="right"/>
    </xf>
    <xf numFmtId="167" fontId="137" fillId="47" borderId="76" xfId="994" applyNumberFormat="1" applyFont="1" applyFill="1" applyBorder="1" applyAlignment="1">
      <alignment horizontal="right"/>
    </xf>
    <xf numFmtId="0" fontId="136" fillId="48" borderId="93" xfId="0" applyFont="1" applyFill="1" applyBorder="1" applyAlignment="1">
      <alignment horizontal="left"/>
    </xf>
    <xf numFmtId="0" fontId="0" fillId="48" borderId="74" xfId="0" applyFill="1" applyBorder="1" applyAlignment="1">
      <alignment horizontal="right"/>
    </xf>
    <xf numFmtId="14" fontId="136" fillId="48" borderId="60" xfId="0" applyNumberFormat="1" applyFont="1" applyFill="1" applyBorder="1" applyAlignment="1">
      <alignment horizontal="center"/>
    </xf>
    <xf numFmtId="0" fontId="144" fillId="48" borderId="119" xfId="0" applyFont="1" applyFill="1" applyBorder="1" applyAlignment="1">
      <alignment horizontal="right"/>
    </xf>
    <xf numFmtId="0" fontId="136" fillId="48" borderId="120" xfId="0" applyFont="1" applyFill="1" applyBorder="1"/>
    <xf numFmtId="0" fontId="136" fillId="48" borderId="121" xfId="0" applyFont="1" applyFill="1" applyBorder="1" applyAlignment="1">
      <alignment horizontal="left"/>
    </xf>
    <xf numFmtId="0" fontId="136" fillId="48" borderId="52" xfId="0" applyFont="1" applyFill="1" applyBorder="1" applyAlignment="1">
      <alignment horizontal="center"/>
    </xf>
    <xf numFmtId="0" fontId="138" fillId="48" borderId="52" xfId="0" applyFont="1" applyFill="1" applyBorder="1" applyAlignment="1">
      <alignment horizontal="center"/>
    </xf>
    <xf numFmtId="0" fontId="0" fillId="48" borderId="50" xfId="0" applyFill="1" applyBorder="1" applyAlignment="1">
      <alignment horizontal="right"/>
    </xf>
    <xf numFmtId="2" fontId="0" fillId="47" borderId="75" xfId="0" applyNumberFormat="1" applyFill="1" applyBorder="1" applyAlignment="1">
      <alignment horizontal="right"/>
    </xf>
    <xf numFmtId="2" fontId="0" fillId="47" borderId="76" xfId="0" applyNumberFormat="1" applyFill="1" applyBorder="1" applyAlignment="1">
      <alignment horizontal="right"/>
    </xf>
    <xf numFmtId="2" fontId="0" fillId="47" borderId="122" xfId="0" applyNumberFormat="1" applyFill="1" applyBorder="1" applyAlignment="1">
      <alignment horizontal="right"/>
    </xf>
    <xf numFmtId="2" fontId="0" fillId="47" borderId="123" xfId="0" applyNumberFormat="1" applyFill="1" applyBorder="1" applyAlignment="1">
      <alignment horizontal="right"/>
    </xf>
    <xf numFmtId="2" fontId="0" fillId="47" borderId="124" xfId="0" applyNumberFormat="1" applyFill="1" applyBorder="1" applyAlignment="1">
      <alignment horizontal="right"/>
    </xf>
    <xf numFmtId="2" fontId="0" fillId="47" borderId="94" xfId="0" applyNumberFormat="1" applyFill="1" applyBorder="1" applyAlignment="1">
      <alignment horizontal="right"/>
    </xf>
    <xf numFmtId="2" fontId="0" fillId="47" borderId="95" xfId="0" applyNumberFormat="1" applyFill="1" applyBorder="1" applyAlignment="1">
      <alignment horizontal="right"/>
    </xf>
    <xf numFmtId="2" fontId="0" fillId="47" borderId="96" xfId="0" applyNumberFormat="1" applyFill="1" applyBorder="1" applyAlignment="1">
      <alignment horizontal="right"/>
    </xf>
    <xf numFmtId="2" fontId="0" fillId="47" borderId="97" xfId="0" applyNumberFormat="1" applyFill="1" applyBorder="1" applyAlignment="1">
      <alignment horizontal="right"/>
    </xf>
    <xf numFmtId="167" fontId="137" fillId="47" borderId="71" xfId="994" applyNumberFormat="1" applyFont="1" applyFill="1" applyBorder="1" applyAlignment="1">
      <alignment horizontal="right"/>
    </xf>
    <xf numFmtId="167" fontId="137" fillId="47" borderId="53" xfId="994" applyNumberFormat="1" applyFont="1" applyFill="1" applyBorder="1" applyAlignment="1">
      <alignment horizontal="right"/>
    </xf>
    <xf numFmtId="0" fontId="0" fillId="47" borderId="67" xfId="0" applyFill="1" applyBorder="1" applyAlignment="1">
      <alignment horizontal="right"/>
    </xf>
    <xf numFmtId="0" fontId="0" fillId="47" borderId="66" xfId="0" applyFill="1" applyBorder="1" applyAlignment="1">
      <alignment horizontal="right"/>
    </xf>
    <xf numFmtId="167" fontId="137" fillId="47" borderId="72" xfId="994" applyNumberFormat="1" applyFont="1" applyFill="1" applyBorder="1" applyAlignment="1">
      <alignment horizontal="right"/>
    </xf>
    <xf numFmtId="167" fontId="137" fillId="47" borderId="51" xfId="994" applyNumberFormat="1" applyFont="1" applyFill="1" applyBorder="1" applyAlignment="1">
      <alignment horizontal="right"/>
    </xf>
    <xf numFmtId="0" fontId="0" fillId="47" borderId="69" xfId="0" applyFill="1" applyBorder="1" applyAlignment="1">
      <alignment horizontal="right"/>
    </xf>
    <xf numFmtId="0" fontId="0" fillId="48" borderId="125" xfId="0" applyFill="1" applyBorder="1"/>
    <xf numFmtId="0" fontId="0" fillId="0" borderId="0" xfId="0" applyAlignment="1">
      <alignment horizontal="left" vertical="center" wrapText="1"/>
    </xf>
    <xf numFmtId="0" fontId="0" fillId="0" borderId="0" xfId="0" applyAlignment="1">
      <alignment vertical="center" wrapText="1"/>
    </xf>
    <xf numFmtId="0" fontId="0" fillId="59" borderId="144" xfId="0" applyFill="1" applyBorder="1" applyAlignment="1">
      <alignment vertical="center" wrapText="1"/>
    </xf>
    <xf numFmtId="0" fontId="0" fillId="59" borderId="145" xfId="0" applyFill="1" applyBorder="1" applyAlignment="1">
      <alignment vertical="center" wrapText="1"/>
    </xf>
    <xf numFmtId="0" fontId="133" fillId="59" borderId="146" xfId="0" applyFont="1" applyFill="1" applyBorder="1" applyAlignment="1">
      <alignment horizontal="left" vertical="center" indent="1"/>
    </xf>
    <xf numFmtId="14" fontId="142" fillId="0" borderId="29" xfId="0" applyNumberFormat="1" applyFont="1" applyBorder="1" applyAlignment="1">
      <alignment horizontal="left" vertical="center"/>
    </xf>
    <xf numFmtId="0" fontId="133" fillId="0" borderId="0" xfId="0" applyFont="1"/>
    <xf numFmtId="0" fontId="131" fillId="0" borderId="0" xfId="759" applyFill="1" applyBorder="1" applyAlignment="1" applyProtection="1">
      <alignment horizontal="left"/>
    </xf>
    <xf numFmtId="43" fontId="0" fillId="0" borderId="0" xfId="1287" applyFont="1"/>
    <xf numFmtId="2" fontId="0" fillId="0" borderId="0" xfId="0" applyNumberFormat="1"/>
    <xf numFmtId="167" fontId="0" fillId="0" borderId="0" xfId="1288" applyNumberFormat="1" applyFont="1"/>
    <xf numFmtId="9" fontId="148" fillId="60" borderId="147" xfId="1288" applyFont="1" applyFill="1" applyBorder="1" applyAlignment="1">
      <alignment vertical="top"/>
    </xf>
    <xf numFmtId="9" fontId="148" fillId="60" borderId="148" xfId="1288" applyFont="1" applyFill="1" applyBorder="1" applyAlignment="1">
      <alignment vertical="top"/>
    </xf>
    <xf numFmtId="2" fontId="148" fillId="60" borderId="147" xfId="0" applyNumberFormat="1" applyFont="1" applyFill="1" applyBorder="1" applyAlignment="1">
      <alignment vertical="top"/>
    </xf>
    <xf numFmtId="2" fontId="148" fillId="60" borderId="148" xfId="0" applyNumberFormat="1" applyFont="1" applyFill="1" applyBorder="1" applyAlignment="1">
      <alignment vertical="top"/>
    </xf>
    <xf numFmtId="0" fontId="149" fillId="61" borderId="13" xfId="0" applyFont="1" applyFill="1" applyBorder="1" applyAlignment="1">
      <alignment horizontal="left" vertical="center"/>
    </xf>
    <xf numFmtId="14" fontId="152" fillId="62" borderId="149" xfId="0" applyNumberFormat="1" applyFont="1" applyFill="1" applyBorder="1" applyAlignment="1">
      <alignment horizontal="right"/>
    </xf>
    <xf numFmtId="0" fontId="149" fillId="61" borderId="150" xfId="0" applyFont="1" applyFill="1" applyBorder="1" applyAlignment="1">
      <alignment horizontal="left" vertical="center"/>
    </xf>
    <xf numFmtId="0" fontId="152" fillId="62" borderId="149" xfId="0" applyFont="1" applyFill="1" applyBorder="1" applyAlignment="1">
      <alignment horizontal="right" vertical="top"/>
    </xf>
    <xf numFmtId="14" fontId="152" fillId="62" borderId="153" xfId="0" applyNumberFormat="1" applyFont="1" applyFill="1" applyBorder="1" applyAlignment="1">
      <alignment horizontal="right"/>
    </xf>
    <xf numFmtId="0" fontId="149" fillId="61" borderId="154" xfId="0" applyFont="1" applyFill="1" applyBorder="1" applyAlignment="1">
      <alignment horizontal="left" vertical="center"/>
    </xf>
    <xf numFmtId="0" fontId="152" fillId="62" borderId="149" xfId="0" applyFont="1" applyFill="1" applyBorder="1" applyAlignment="1">
      <alignment vertical="top"/>
    </xf>
    <xf numFmtId="3" fontId="152" fillId="62" borderId="153" xfId="0" applyNumberFormat="1" applyFont="1" applyFill="1" applyBorder="1" applyAlignment="1">
      <alignment vertical="top"/>
    </xf>
    <xf numFmtId="0" fontId="152" fillId="62" borderId="156" xfId="0" applyFont="1" applyFill="1" applyBorder="1" applyAlignment="1">
      <alignment horizontal="right"/>
    </xf>
    <xf numFmtId="3" fontId="152" fillId="62" borderId="157" xfId="0" applyNumberFormat="1" applyFont="1" applyFill="1" applyBorder="1" applyAlignment="1">
      <alignment vertical="top"/>
    </xf>
    <xf numFmtId="3" fontId="148" fillId="63" borderId="158" xfId="0" applyNumberFormat="1" applyFont="1" applyFill="1" applyBorder="1" applyAlignment="1">
      <alignment vertical="top"/>
    </xf>
    <xf numFmtId="0" fontId="152" fillId="62" borderId="32" xfId="0" applyFont="1" applyFill="1" applyBorder="1" applyAlignment="1">
      <alignment horizontal="right"/>
    </xf>
    <xf numFmtId="0" fontId="149" fillId="61" borderId="161" xfId="0" applyFont="1" applyFill="1" applyBorder="1" applyAlignment="1">
      <alignment horizontal="left" vertical="center"/>
    </xf>
    <xf numFmtId="43" fontId="0" fillId="0" borderId="0" xfId="0" applyNumberFormat="1"/>
    <xf numFmtId="0" fontId="151" fillId="62" borderId="13" xfId="0" applyFont="1" applyFill="1" applyBorder="1" applyAlignment="1">
      <alignment horizontal="center" vertical="center"/>
    </xf>
    <xf numFmtId="0" fontId="149" fillId="0" borderId="0" xfId="0" applyFont="1" applyAlignment="1">
      <alignment horizontal="left" vertical="center"/>
    </xf>
    <xf numFmtId="0" fontId="149" fillId="0" borderId="0" xfId="0" applyFont="1" applyAlignment="1">
      <alignment horizontal="center" vertical="center"/>
    </xf>
    <xf numFmtId="9" fontId="148" fillId="0" borderId="0" xfId="1288" applyFont="1" applyFill="1" applyBorder="1" applyAlignment="1">
      <alignment vertical="top"/>
    </xf>
    <xf numFmtId="0" fontId="151" fillId="0" borderId="2" xfId="0" applyFont="1" applyBorder="1" applyAlignment="1">
      <alignment horizontal="center" vertical="center"/>
    </xf>
    <xf numFmtId="2" fontId="148" fillId="60" borderId="162" xfId="0" applyNumberFormat="1" applyFont="1" applyFill="1" applyBorder="1" applyAlignment="1">
      <alignment vertical="top"/>
    </xf>
    <xf numFmtId="2" fontId="148" fillId="60" borderId="163" xfId="0" applyNumberFormat="1" applyFont="1" applyFill="1" applyBorder="1" applyAlignment="1">
      <alignment vertical="top"/>
    </xf>
    <xf numFmtId="2" fontId="129" fillId="0" borderId="0" xfId="0" applyNumberFormat="1" applyFont="1"/>
    <xf numFmtId="14" fontId="129" fillId="0" borderId="0" xfId="0" applyNumberFormat="1" applyFont="1"/>
    <xf numFmtId="0" fontId="133" fillId="0" borderId="0" xfId="0" applyFont="1" applyAlignment="1">
      <alignment horizontal="left" vertical="center" indent="1"/>
    </xf>
    <xf numFmtId="0" fontId="155" fillId="61" borderId="13" xfId="0" applyFont="1" applyFill="1" applyBorder="1" applyAlignment="1">
      <alignment horizontal="left" vertical="center"/>
    </xf>
    <xf numFmtId="0" fontId="131" fillId="0" borderId="0" xfId="759" applyAlignment="1" applyProtection="1"/>
    <xf numFmtId="0" fontId="136" fillId="48" borderId="87" xfId="0" applyFont="1" applyFill="1" applyBorder="1" applyAlignment="1">
      <alignment horizontal="left" indent="1"/>
    </xf>
    <xf numFmtId="0" fontId="136" fillId="48" borderId="62" xfId="0" applyFont="1" applyFill="1" applyBorder="1" applyAlignment="1">
      <alignment horizontal="left" indent="1"/>
    </xf>
    <xf numFmtId="0" fontId="136" fillId="48" borderId="88" xfId="0" applyFont="1" applyFill="1" applyBorder="1" applyAlignment="1">
      <alignment horizontal="left" indent="1"/>
    </xf>
    <xf numFmtId="0" fontId="136" fillId="48" borderId="67" xfId="0" applyFont="1" applyFill="1" applyBorder="1" applyAlignment="1">
      <alignment horizontal="left" indent="1"/>
    </xf>
    <xf numFmtId="0" fontId="135" fillId="46" borderId="102" xfId="0" applyFont="1" applyFill="1" applyBorder="1" applyAlignment="1">
      <alignment horizontal="left" vertical="center" indent="1"/>
    </xf>
    <xf numFmtId="0" fontId="135" fillId="46" borderId="4" xfId="0" applyFont="1" applyFill="1" applyBorder="1" applyAlignment="1">
      <alignment horizontal="left" vertical="center" indent="1"/>
    </xf>
    <xf numFmtId="0" fontId="135" fillId="46" borderId="89" xfId="0" applyFont="1" applyFill="1" applyBorder="1" applyAlignment="1">
      <alignment horizontal="left" vertical="center" indent="1"/>
    </xf>
    <xf numFmtId="0" fontId="135" fillId="46" borderId="60" xfId="0" applyFont="1" applyFill="1" applyBorder="1" applyAlignment="1">
      <alignment horizontal="left" vertical="center" indent="1"/>
    </xf>
    <xf numFmtId="0" fontId="136" fillId="48" borderId="143" xfId="0" applyFont="1" applyFill="1" applyBorder="1" applyAlignment="1">
      <alignment horizontal="right"/>
    </xf>
    <xf numFmtId="0" fontId="136" fillId="48" borderId="127" xfId="0" applyFont="1" applyFill="1" applyBorder="1" applyAlignment="1">
      <alignment horizontal="right"/>
    </xf>
    <xf numFmtId="0" fontId="136" fillId="48" borderId="99" xfId="0" applyFont="1" applyFill="1" applyBorder="1" applyAlignment="1">
      <alignment horizontal="left" indent="1"/>
    </xf>
    <xf numFmtId="0" fontId="136" fillId="48" borderId="82" xfId="0" applyFont="1" applyFill="1" applyBorder="1" applyAlignment="1">
      <alignment horizontal="left" indent="1"/>
    </xf>
    <xf numFmtId="0" fontId="136" fillId="48" borderId="141" xfId="0" applyFont="1" applyFill="1" applyBorder="1" applyAlignment="1">
      <alignment horizontal="left" indent="1"/>
    </xf>
    <xf numFmtId="0" fontId="136" fillId="48" borderId="142" xfId="0" applyFont="1" applyFill="1" applyBorder="1" applyAlignment="1">
      <alignment horizontal="left" indent="1"/>
    </xf>
    <xf numFmtId="0" fontId="135" fillId="46" borderId="136" xfId="0" applyFont="1" applyFill="1" applyBorder="1" applyAlignment="1">
      <alignment horizontal="left"/>
    </xf>
    <xf numFmtId="0" fontId="135" fillId="46" borderId="113" xfId="0" applyFont="1" applyFill="1" applyBorder="1" applyAlignment="1">
      <alignment horizontal="left"/>
    </xf>
    <xf numFmtId="168" fontId="142" fillId="48" borderId="87" xfId="0" applyNumberFormat="1" applyFont="1" applyFill="1" applyBorder="1" applyAlignment="1">
      <alignment horizontal="left" indent="1"/>
    </xf>
    <xf numFmtId="168" fontId="142" fillId="48" borderId="62" xfId="0" applyNumberFormat="1" applyFont="1" applyFill="1" applyBorder="1" applyAlignment="1">
      <alignment horizontal="left" indent="1"/>
    </xf>
    <xf numFmtId="168" fontId="142" fillId="48" borderId="88" xfId="0" applyNumberFormat="1" applyFont="1" applyFill="1" applyBorder="1" applyAlignment="1">
      <alignment horizontal="left" indent="1"/>
    </xf>
    <xf numFmtId="168" fontId="142" fillId="48" borderId="67" xfId="0" applyNumberFormat="1" applyFont="1" applyFill="1" applyBorder="1" applyAlignment="1">
      <alignment horizontal="left" indent="1"/>
    </xf>
    <xf numFmtId="0" fontId="136" fillId="41" borderId="87" xfId="0" applyFont="1" applyFill="1" applyBorder="1" applyAlignment="1">
      <alignment horizontal="left"/>
    </xf>
    <xf numFmtId="0" fontId="136" fillId="41" borderId="62" xfId="0" applyFont="1" applyFill="1" applyBorder="1" applyAlignment="1">
      <alignment horizontal="left"/>
    </xf>
    <xf numFmtId="0" fontId="136" fillId="41" borderId="93" xfId="0" applyFont="1" applyFill="1" applyBorder="1" applyAlignment="1">
      <alignment horizontal="left"/>
    </xf>
    <xf numFmtId="0" fontId="136" fillId="41" borderId="68" xfId="0" applyFont="1" applyFill="1" applyBorder="1" applyAlignment="1">
      <alignment horizontal="left"/>
    </xf>
    <xf numFmtId="0" fontId="136" fillId="41" borderId="34" xfId="0" applyFont="1" applyFill="1" applyBorder="1" applyAlignment="1">
      <alignment horizontal="left"/>
    </xf>
    <xf numFmtId="0" fontId="136" fillId="41" borderId="101" xfId="0" applyFont="1" applyFill="1" applyBorder="1" applyAlignment="1">
      <alignment horizontal="left"/>
    </xf>
    <xf numFmtId="0" fontId="135" fillId="46" borderId="99" xfId="0" applyFont="1" applyFill="1" applyBorder="1" applyAlignment="1">
      <alignment horizontal="left" vertical="center" indent="1"/>
    </xf>
    <xf numFmtId="0" fontId="135" fillId="46" borderId="100" xfId="0" applyFont="1" applyFill="1" applyBorder="1" applyAlignment="1">
      <alignment horizontal="left" vertical="center" indent="1"/>
    </xf>
    <xf numFmtId="0" fontId="135" fillId="46" borderId="86" xfId="0" applyFont="1" applyFill="1" applyBorder="1" applyAlignment="1">
      <alignment horizontal="left" vertical="center" indent="1"/>
    </xf>
    <xf numFmtId="0" fontId="135" fillId="46" borderId="2" xfId="0" applyFont="1" applyFill="1" applyBorder="1" applyAlignment="1">
      <alignment horizontal="left" vertical="center" indent="1"/>
    </xf>
    <xf numFmtId="0" fontId="135" fillId="46" borderId="32" xfId="0" applyFont="1" applyFill="1" applyBorder="1" applyAlignment="1">
      <alignment horizontal="left" vertical="center" indent="1"/>
    </xf>
    <xf numFmtId="0" fontId="130" fillId="46" borderId="5" xfId="0" applyFont="1" applyFill="1" applyBorder="1" applyAlignment="1">
      <alignment horizontal="left" indent="2"/>
    </xf>
    <xf numFmtId="0" fontId="130" fillId="46" borderId="0" xfId="0" applyFont="1" applyFill="1" applyAlignment="1">
      <alignment horizontal="left" indent="2"/>
    </xf>
    <xf numFmtId="0" fontId="130" fillId="46" borderId="6" xfId="0" applyFont="1" applyFill="1" applyBorder="1" applyAlignment="1">
      <alignment horizontal="left" indent="2"/>
    </xf>
    <xf numFmtId="0" fontId="130" fillId="46" borderId="35" xfId="0" applyFont="1" applyFill="1" applyBorder="1" applyAlignment="1">
      <alignment horizontal="left" indent="2"/>
    </xf>
    <xf numFmtId="0" fontId="0" fillId="44" borderId="34" xfId="0" applyFill="1" applyBorder="1" applyAlignment="1">
      <alignment horizontal="center"/>
    </xf>
    <xf numFmtId="0" fontId="0" fillId="44" borderId="35" xfId="0" applyFill="1" applyBorder="1" applyAlignment="1">
      <alignment horizontal="center"/>
    </xf>
    <xf numFmtId="0" fontId="0" fillId="41" borderId="29" xfId="0" applyFill="1" applyBorder="1" applyAlignment="1">
      <alignment horizontal="right"/>
    </xf>
    <xf numFmtId="0" fontId="0" fillId="41" borderId="33" xfId="0" applyFill="1" applyBorder="1" applyAlignment="1">
      <alignment horizontal="right"/>
    </xf>
    <xf numFmtId="0" fontId="135" fillId="46" borderId="136" xfId="0" applyFont="1" applyFill="1" applyBorder="1" applyAlignment="1">
      <alignment horizontal="center" vertical="center"/>
    </xf>
    <xf numFmtId="0" fontId="135" fillId="46" borderId="137" xfId="0" applyFont="1" applyFill="1" applyBorder="1" applyAlignment="1">
      <alignment horizontal="center" vertical="center"/>
    </xf>
    <xf numFmtId="0" fontId="135" fillId="46" borderId="138" xfId="0" applyFont="1" applyFill="1" applyBorder="1" applyAlignment="1">
      <alignment horizontal="center" vertical="center"/>
    </xf>
    <xf numFmtId="0" fontId="135" fillId="46" borderId="34" xfId="0" applyFont="1" applyFill="1" applyBorder="1" applyAlignment="1">
      <alignment horizontal="left" vertical="center" indent="1"/>
    </xf>
    <xf numFmtId="0" fontId="135" fillId="46" borderId="6" xfId="0" applyFont="1" applyFill="1" applyBorder="1" applyAlignment="1">
      <alignment horizontal="left" vertical="center" indent="1"/>
    </xf>
    <xf numFmtId="0" fontId="135" fillId="46" borderId="90" xfId="0" applyFont="1" applyFill="1" applyBorder="1" applyAlignment="1">
      <alignment horizontal="left" vertical="center" indent="1"/>
    </xf>
    <xf numFmtId="0" fontId="135" fillId="46" borderId="99" xfId="0" applyFont="1" applyFill="1" applyBorder="1" applyAlignment="1">
      <alignment horizontal="center" wrapText="1"/>
    </xf>
    <xf numFmtId="0" fontId="135" fillId="46" borderId="100" xfId="0" applyFont="1" applyFill="1" applyBorder="1" applyAlignment="1">
      <alignment horizontal="center" wrapText="1"/>
    </xf>
    <xf numFmtId="0" fontId="135" fillId="46" borderId="86" xfId="0" applyFont="1" applyFill="1" applyBorder="1" applyAlignment="1">
      <alignment horizontal="center" wrapText="1"/>
    </xf>
    <xf numFmtId="167" fontId="137" fillId="47" borderId="81" xfId="994" applyNumberFormat="1" applyFont="1" applyFill="1" applyBorder="1" applyAlignment="1">
      <alignment horizontal="right"/>
    </xf>
    <xf numFmtId="167" fontId="137" fillId="47" borderId="63" xfId="994" applyNumberFormat="1" applyFont="1" applyFill="1" applyBorder="1" applyAlignment="1"/>
    <xf numFmtId="170" fontId="137" fillId="47" borderId="81" xfId="377" applyNumberFormat="1" applyFont="1" applyFill="1" applyBorder="1" applyAlignment="1">
      <alignment horizontal="right"/>
    </xf>
    <xf numFmtId="170" fontId="137" fillId="47" borderId="63" xfId="377" applyNumberFormat="1" applyFont="1" applyFill="1" applyBorder="1" applyAlignment="1"/>
    <xf numFmtId="0" fontId="135" fillId="46" borderId="12" xfId="0" applyFont="1" applyFill="1" applyBorder="1" applyAlignment="1">
      <alignment horizontal="left"/>
    </xf>
    <xf numFmtId="0" fontId="135" fillId="46" borderId="140" xfId="0" applyFont="1" applyFill="1" applyBorder="1" applyAlignment="1">
      <alignment horizontal="left"/>
    </xf>
    <xf numFmtId="168" fontId="142" fillId="48" borderId="89" xfId="0" applyNumberFormat="1" applyFont="1" applyFill="1" applyBorder="1" applyAlignment="1">
      <alignment horizontal="left" indent="1"/>
    </xf>
    <xf numFmtId="168" fontId="142" fillId="48" borderId="61" xfId="0" applyNumberFormat="1" applyFont="1" applyFill="1" applyBorder="1" applyAlignment="1">
      <alignment horizontal="left" indent="1"/>
    </xf>
    <xf numFmtId="0" fontId="135" fillId="46" borderId="136" xfId="0" applyFont="1" applyFill="1" applyBorder="1" applyAlignment="1">
      <alignment horizontal="left" vertical="top"/>
    </xf>
    <xf numFmtId="0" fontId="137" fillId="46" borderId="137" xfId="0" applyFont="1" applyFill="1" applyBorder="1" applyAlignment="1">
      <alignment horizontal="left" vertical="top"/>
    </xf>
    <xf numFmtId="0" fontId="137" fillId="46" borderId="138" xfId="0" applyFont="1" applyFill="1" applyBorder="1" applyAlignment="1">
      <alignment horizontal="left" vertical="top"/>
    </xf>
    <xf numFmtId="0" fontId="135" fillId="46" borderId="139" xfId="0" applyFont="1" applyFill="1" applyBorder="1" applyAlignment="1">
      <alignment horizontal="left"/>
    </xf>
    <xf numFmtId="0" fontId="137" fillId="46" borderId="111" xfId="0" applyFont="1" applyFill="1" applyBorder="1" applyAlignment="1">
      <alignment horizontal="left"/>
    </xf>
    <xf numFmtId="0" fontId="137" fillId="46" borderId="112" xfId="0" applyFont="1" applyFill="1" applyBorder="1" applyAlignment="1">
      <alignment horizontal="left"/>
    </xf>
    <xf numFmtId="0" fontId="139" fillId="46" borderId="139" xfId="0" applyFont="1" applyFill="1" applyBorder="1" applyAlignment="1">
      <alignment horizontal="center"/>
    </xf>
    <xf numFmtId="0" fontId="139" fillId="46" borderId="111" xfId="0" applyFont="1" applyFill="1" applyBorder="1" applyAlignment="1">
      <alignment horizontal="center"/>
    </xf>
    <xf numFmtId="0" fontId="139" fillId="46" borderId="112" xfId="0" applyFont="1" applyFill="1" applyBorder="1" applyAlignment="1">
      <alignment horizontal="center"/>
    </xf>
    <xf numFmtId="43" fontId="137" fillId="47" borderId="81" xfId="377" applyFont="1" applyFill="1" applyBorder="1" applyAlignment="1">
      <alignment horizontal="right"/>
    </xf>
    <xf numFmtId="43" fontId="137" fillId="47" borderId="63" xfId="377" applyFont="1" applyFill="1" applyBorder="1" applyAlignment="1"/>
    <xf numFmtId="0" fontId="133" fillId="49" borderId="12" xfId="0" applyFont="1" applyFill="1" applyBorder="1" applyAlignment="1">
      <alignment horizontal="center" vertical="center"/>
    </xf>
    <xf numFmtId="0" fontId="133" fillId="49" borderId="32" xfId="0" applyFont="1" applyFill="1" applyBorder="1" applyAlignment="1">
      <alignment horizontal="center" vertical="center"/>
    </xf>
    <xf numFmtId="0" fontId="0" fillId="47" borderId="81" xfId="0" applyFill="1" applyBorder="1" applyAlignment="1">
      <alignment horizontal="right"/>
    </xf>
    <xf numFmtId="0" fontId="0" fillId="47" borderId="63" xfId="0" applyFill="1" applyBorder="1"/>
    <xf numFmtId="0" fontId="145" fillId="46" borderId="12" xfId="0" applyFont="1" applyFill="1" applyBorder="1" applyAlignment="1">
      <alignment horizontal="left" indent="1"/>
    </xf>
    <xf numFmtId="0" fontId="145" fillId="46" borderId="2" xfId="0" applyFont="1" applyFill="1" applyBorder="1" applyAlignment="1">
      <alignment horizontal="left" indent="1"/>
    </xf>
    <xf numFmtId="0" fontId="146" fillId="46" borderId="2" xfId="0" applyFont="1" applyFill="1" applyBorder="1" applyAlignment="1">
      <alignment horizontal="left" indent="1"/>
    </xf>
    <xf numFmtId="0" fontId="146" fillId="46" borderId="32" xfId="0" applyFont="1" applyFill="1" applyBorder="1" applyAlignment="1">
      <alignment horizontal="left" indent="1"/>
    </xf>
    <xf numFmtId="2" fontId="140" fillId="0" borderId="0" xfId="0" applyNumberFormat="1" applyFont="1"/>
    <xf numFmtId="2" fontId="0" fillId="0" borderId="0" xfId="0" applyNumberFormat="1"/>
    <xf numFmtId="0" fontId="135" fillId="46" borderId="136" xfId="0" applyFont="1" applyFill="1" applyBorder="1" applyAlignment="1">
      <alignment horizontal="center" wrapText="1"/>
    </xf>
    <xf numFmtId="0" fontId="135" fillId="46" borderId="137" xfId="0" applyFont="1" applyFill="1" applyBorder="1" applyAlignment="1">
      <alignment horizontal="center" wrapText="1"/>
    </xf>
    <xf numFmtId="0" fontId="135" fillId="46" borderId="113" xfId="0" applyFont="1" applyFill="1" applyBorder="1" applyAlignment="1">
      <alignment horizontal="center" wrapText="1"/>
    </xf>
    <xf numFmtId="0" fontId="135" fillId="46" borderId="129" xfId="0" applyFont="1" applyFill="1" applyBorder="1" applyAlignment="1">
      <alignment horizontal="left" wrapText="1" indent="1"/>
    </xf>
    <xf numFmtId="0" fontId="135" fillId="46" borderId="130" xfId="0" applyFont="1" applyFill="1" applyBorder="1" applyAlignment="1">
      <alignment horizontal="left" wrapText="1" indent="1"/>
    </xf>
    <xf numFmtId="0" fontId="135" fillId="46" borderId="135" xfId="0" applyFont="1" applyFill="1" applyBorder="1" applyAlignment="1">
      <alignment horizontal="left" wrapText="1" indent="1"/>
    </xf>
    <xf numFmtId="0" fontId="142" fillId="48" borderId="126" xfId="0" applyFont="1" applyFill="1" applyBorder="1" applyAlignment="1">
      <alignment horizontal="left" indent="1"/>
    </xf>
    <xf numFmtId="0" fontId="142" fillId="48" borderId="127" xfId="0" applyFont="1" applyFill="1" applyBorder="1" applyAlignment="1">
      <alignment horizontal="left" indent="1"/>
    </xf>
    <xf numFmtId="0" fontId="142" fillId="48" borderId="128" xfId="0" applyFont="1" applyFill="1" applyBorder="1" applyAlignment="1">
      <alignment horizontal="left" indent="1"/>
    </xf>
    <xf numFmtId="0" fontId="0" fillId="0" borderId="12" xfId="0" applyBorder="1" applyAlignment="1">
      <alignment horizontal="left" vertical="top" wrapText="1" indent="1"/>
    </xf>
    <xf numFmtId="0" fontId="0" fillId="0" borderId="2" xfId="0" applyBorder="1" applyAlignment="1">
      <alignment horizontal="left" vertical="top" wrapText="1" indent="1"/>
    </xf>
    <xf numFmtId="0" fontId="0" fillId="0" borderId="5" xfId="0" applyBorder="1" applyAlignment="1">
      <alignment horizontal="left" vertical="top" wrapText="1" indent="1"/>
    </xf>
    <xf numFmtId="0" fontId="0" fillId="0" borderId="0" xfId="0" applyAlignment="1">
      <alignment horizontal="left" vertical="top" wrapText="1" indent="1"/>
    </xf>
    <xf numFmtId="0" fontId="142" fillId="48" borderId="132" xfId="0" applyFont="1" applyFill="1" applyBorder="1" applyAlignment="1">
      <alignment horizontal="left" indent="1"/>
    </xf>
    <xf numFmtId="0" fontId="142" fillId="48" borderId="133" xfId="0" applyFont="1" applyFill="1" applyBorder="1" applyAlignment="1">
      <alignment horizontal="left" indent="1"/>
    </xf>
    <xf numFmtId="0" fontId="142" fillId="48" borderId="134" xfId="0" applyFont="1" applyFill="1" applyBorder="1" applyAlignment="1">
      <alignment horizontal="left" indent="1"/>
    </xf>
    <xf numFmtId="172" fontId="137" fillId="47" borderId="81" xfId="377" applyNumberFormat="1" applyFont="1" applyFill="1" applyBorder="1" applyAlignment="1">
      <alignment horizontal="right"/>
    </xf>
    <xf numFmtId="172" fontId="137" fillId="47" borderId="63" xfId="377" applyNumberFormat="1" applyFont="1" applyFill="1" applyBorder="1" applyAlignment="1"/>
    <xf numFmtId="2" fontId="137" fillId="47" borderId="81" xfId="994" applyNumberFormat="1" applyFont="1" applyFill="1" applyBorder="1" applyAlignment="1">
      <alignment horizontal="right"/>
    </xf>
    <xf numFmtId="2" fontId="137" fillId="47" borderId="63" xfId="994" applyNumberFormat="1" applyFont="1" applyFill="1" applyBorder="1" applyAlignment="1"/>
    <xf numFmtId="167" fontId="137" fillId="47" borderId="98" xfId="994" applyNumberFormat="1" applyFont="1" applyFill="1" applyBorder="1" applyAlignment="1">
      <alignment horizontal="right"/>
    </xf>
    <xf numFmtId="167" fontId="137" fillId="47" borderId="77" xfId="994" applyNumberFormat="1" applyFont="1" applyFill="1" applyBorder="1" applyAlignment="1"/>
    <xf numFmtId="0" fontId="142" fillId="48" borderId="129" xfId="0" applyFont="1" applyFill="1" applyBorder="1" applyAlignment="1">
      <alignment horizontal="left" indent="1"/>
    </xf>
    <xf numFmtId="0" fontId="142" fillId="48" borderId="130" xfId="0" applyFont="1" applyFill="1" applyBorder="1" applyAlignment="1">
      <alignment horizontal="left" indent="1"/>
    </xf>
    <xf numFmtId="0" fontId="142" fillId="48" borderId="131" xfId="0" applyFont="1" applyFill="1" applyBorder="1" applyAlignment="1">
      <alignment horizontal="left" indent="1"/>
    </xf>
    <xf numFmtId="0" fontId="0" fillId="0" borderId="0" xfId="0"/>
    <xf numFmtId="0" fontId="0" fillId="41" borderId="38" xfId="0" applyFill="1" applyBorder="1"/>
    <xf numFmtId="0" fontId="0" fillId="41" borderId="39" xfId="0" applyFill="1" applyBorder="1"/>
    <xf numFmtId="0" fontId="13" fillId="39" borderId="103" xfId="0" applyFont="1" applyFill="1" applyBorder="1" applyAlignment="1">
      <alignment horizontal="center" vertical="center"/>
    </xf>
    <xf numFmtId="0" fontId="13" fillId="39" borderId="90" xfId="0" applyFont="1" applyFill="1" applyBorder="1" applyAlignment="1">
      <alignment horizontal="center" vertical="center"/>
    </xf>
    <xf numFmtId="0" fontId="13" fillId="39" borderId="102" xfId="0" applyFont="1" applyFill="1" applyBorder="1" applyAlignment="1">
      <alignment horizontal="center" vertical="center"/>
    </xf>
    <xf numFmtId="0" fontId="13" fillId="39" borderId="12" xfId="0" applyFont="1" applyFill="1" applyBorder="1" applyAlignment="1">
      <alignment horizontal="center" vertical="center"/>
    </xf>
    <xf numFmtId="0" fontId="13" fillId="39" borderId="32" xfId="0" applyFont="1" applyFill="1" applyBorder="1" applyAlignment="1">
      <alignment horizontal="center" vertical="center"/>
    </xf>
    <xf numFmtId="0" fontId="3" fillId="19" borderId="104" xfId="0" applyFont="1" applyFill="1" applyBorder="1"/>
    <xf numFmtId="9" fontId="153" fillId="64" borderId="13" xfId="1288" applyFont="1" applyFill="1" applyBorder="1" applyAlignment="1">
      <alignment horizontal="left" vertical="top" wrapText="1"/>
    </xf>
    <xf numFmtId="0" fontId="154" fillId="64" borderId="13" xfId="0" applyFont="1" applyFill="1" applyBorder="1" applyAlignment="1">
      <alignment horizontal="left" wrapText="1"/>
    </xf>
    <xf numFmtId="14" fontId="136" fillId="48" borderId="13" xfId="0" applyNumberFormat="1" applyFont="1" applyFill="1" applyBorder="1" applyAlignment="1">
      <alignment horizontal="center"/>
    </xf>
    <xf numFmtId="0" fontId="136" fillId="48" borderId="13" xfId="0" applyFont="1" applyFill="1" applyBorder="1" applyAlignment="1">
      <alignment horizontal="center"/>
    </xf>
    <xf numFmtId="0" fontId="150" fillId="61" borderId="12" xfId="0" applyFont="1" applyFill="1" applyBorder="1" applyAlignment="1">
      <alignment horizontal="center" vertical="center"/>
    </xf>
    <xf numFmtId="0" fontId="150" fillId="61" borderId="2" xfId="0" applyFont="1" applyFill="1" applyBorder="1" applyAlignment="1">
      <alignment horizontal="center" vertical="center"/>
    </xf>
    <xf numFmtId="0" fontId="150" fillId="61" borderId="32" xfId="0" applyFont="1" applyFill="1" applyBorder="1" applyAlignment="1">
      <alignment horizontal="center" vertical="center"/>
    </xf>
    <xf numFmtId="0" fontId="150" fillId="61" borderId="102" xfId="0" applyFont="1" applyFill="1" applyBorder="1" applyAlignment="1">
      <alignment horizontal="center" vertical="center"/>
    </xf>
    <xf numFmtId="0" fontId="150" fillId="61" borderId="4" xfId="0" applyFont="1" applyFill="1" applyBorder="1" applyAlignment="1">
      <alignment horizontal="center" vertical="center"/>
    </xf>
    <xf numFmtId="0" fontId="149" fillId="61" borderId="160" xfId="0" applyFont="1" applyFill="1" applyBorder="1" applyAlignment="1">
      <alignment horizontal="left" vertical="center"/>
    </xf>
    <xf numFmtId="0" fontId="149" fillId="61" borderId="159" xfId="0" applyFont="1" applyFill="1" applyBorder="1" applyAlignment="1">
      <alignment horizontal="left" vertical="center"/>
    </xf>
    <xf numFmtId="0" fontId="149" fillId="61" borderId="155" xfId="0" applyFont="1" applyFill="1" applyBorder="1" applyAlignment="1">
      <alignment horizontal="left" vertical="center"/>
    </xf>
    <xf numFmtId="0" fontId="149" fillId="61" borderId="148" xfId="0" applyFont="1" applyFill="1" applyBorder="1" applyAlignment="1">
      <alignment horizontal="left" vertical="center"/>
    </xf>
    <xf numFmtId="0" fontId="149" fillId="61" borderId="152" xfId="0" applyFont="1" applyFill="1" applyBorder="1" applyAlignment="1">
      <alignment horizontal="left" vertical="center"/>
    </xf>
    <xf numFmtId="0" fontId="149" fillId="61" borderId="151" xfId="0" applyFont="1" applyFill="1" applyBorder="1" applyAlignment="1">
      <alignment horizontal="left" vertical="center"/>
    </xf>
    <xf numFmtId="0" fontId="153" fillId="64" borderId="12" xfId="0" applyFont="1" applyFill="1" applyBorder="1" applyAlignment="1">
      <alignment horizontal="left" vertical="center" wrapText="1"/>
    </xf>
    <xf numFmtId="0" fontId="153" fillId="64" borderId="2" xfId="0" applyFont="1" applyFill="1" applyBorder="1" applyAlignment="1">
      <alignment horizontal="left" vertical="center" wrapText="1"/>
    </xf>
    <xf numFmtId="0" fontId="153" fillId="64" borderId="32" xfId="0" applyFont="1" applyFill="1" applyBorder="1" applyAlignment="1">
      <alignment horizontal="left" vertical="center" wrapText="1"/>
    </xf>
    <xf numFmtId="0" fontId="150" fillId="61" borderId="13" xfId="0" applyFont="1" applyFill="1" applyBorder="1" applyAlignment="1">
      <alignment horizontal="center" vertical="center"/>
    </xf>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0" borderId="0" xfId="0" applyAlignment="1">
      <alignment horizontal="left" vertical="center" wrapText="1"/>
    </xf>
    <xf numFmtId="0" fontId="0" fillId="50" borderId="0" xfId="0" applyFill="1"/>
    <xf numFmtId="0" fontId="142" fillId="0" borderId="0" xfId="0" applyFont="1" applyAlignment="1">
      <alignment horizontal="left" wrapText="1"/>
    </xf>
    <xf numFmtId="0" fontId="0" fillId="0" borderId="0" xfId="0" applyAlignment="1">
      <alignment horizontal="left" wrapText="1"/>
    </xf>
    <xf numFmtId="0" fontId="0" fillId="51" borderId="0" xfId="0" applyFill="1"/>
    <xf numFmtId="0" fontId="0" fillId="0" borderId="0" xfId="0" applyAlignment="1">
      <alignment horizontal="left" vertical="top" wrapText="1"/>
    </xf>
  </cellXfs>
  <cellStyles count="1289">
    <cellStyle name="-" xfId="1" xr:uid="{00000000-0005-0000-0000-000000000000}"/>
    <cellStyle name="$ 1 decimal" xfId="2" xr:uid="{00000000-0005-0000-0000-000001000000}"/>
    <cellStyle name="’Ê‰Ý [0.00]_GE 3 MINIMUM" xfId="3" xr:uid="{00000000-0005-0000-0000-000002000000}"/>
    <cellStyle name="’Ê‰Ý_GE 3 MINIMUM" xfId="4" xr:uid="{00000000-0005-0000-0000-000003000000}"/>
    <cellStyle name="£ BP" xfId="5" xr:uid="{00000000-0005-0000-0000-000004000000}"/>
    <cellStyle name="£ BP 2" xfId="6" xr:uid="{00000000-0005-0000-0000-000005000000}"/>
    <cellStyle name="£ BP 3" xfId="7" xr:uid="{00000000-0005-0000-0000-000006000000}"/>
    <cellStyle name="£ BP 4" xfId="8" xr:uid="{00000000-0005-0000-0000-000007000000}"/>
    <cellStyle name="£ BP 5" xfId="9" xr:uid="{00000000-0005-0000-0000-000008000000}"/>
    <cellStyle name="£ BP 6" xfId="10" xr:uid="{00000000-0005-0000-0000-000009000000}"/>
    <cellStyle name="¥ JY" xfId="11" xr:uid="{00000000-0005-0000-0000-00000A000000}"/>
    <cellStyle name="¥ JY 2" xfId="12" xr:uid="{00000000-0005-0000-0000-00000B000000}"/>
    <cellStyle name="¥ JY 3" xfId="13" xr:uid="{00000000-0005-0000-0000-00000C000000}"/>
    <cellStyle name="¥ JY 4" xfId="14" xr:uid="{00000000-0005-0000-0000-00000D000000}"/>
    <cellStyle name="¥ JY 5" xfId="15" xr:uid="{00000000-0005-0000-0000-00000E000000}"/>
    <cellStyle name="¥ JY 6" xfId="16" xr:uid="{00000000-0005-0000-0000-00000F000000}"/>
    <cellStyle name="•W€_Comparables" xfId="17" xr:uid="{00000000-0005-0000-0000-000010000000}"/>
    <cellStyle name="•W_GE 3 MINIMUM" xfId="18" xr:uid="{00000000-0005-0000-0000-000011000000}"/>
    <cellStyle name="0" xfId="19" xr:uid="{00000000-0005-0000-0000-000012000000}"/>
    <cellStyle name="0 2" xfId="20" xr:uid="{00000000-0005-0000-0000-000013000000}"/>
    <cellStyle name="0%" xfId="21" xr:uid="{00000000-0005-0000-0000-000014000000}"/>
    <cellStyle name="0% 2" xfId="22" xr:uid="{00000000-0005-0000-0000-000015000000}"/>
    <cellStyle name="0% 3" xfId="23" xr:uid="{00000000-0005-0000-0000-000016000000}"/>
    <cellStyle name="0% 4" xfId="24" xr:uid="{00000000-0005-0000-0000-000017000000}"/>
    <cellStyle name="0% 5" xfId="25" xr:uid="{00000000-0005-0000-0000-000018000000}"/>
    <cellStyle name="0% 6" xfId="26" xr:uid="{00000000-0005-0000-0000-000019000000}"/>
    <cellStyle name="0% 7" xfId="27" xr:uid="{00000000-0005-0000-0000-00001A000000}"/>
    <cellStyle name="0% 8" xfId="28" xr:uid="{00000000-0005-0000-0000-00001B000000}"/>
    <cellStyle name="0%_Help" xfId="29" xr:uid="{00000000-0005-0000-0000-00001C000000}"/>
    <cellStyle name="0.0" xfId="30" xr:uid="{00000000-0005-0000-0000-00001D000000}"/>
    <cellStyle name="0.0 2" xfId="31" xr:uid="{00000000-0005-0000-0000-00001E000000}"/>
    <cellStyle name="0.0%" xfId="32" xr:uid="{00000000-0005-0000-0000-00001F000000}"/>
    <cellStyle name="0.0% 2" xfId="33" xr:uid="{00000000-0005-0000-0000-000020000000}"/>
    <cellStyle name="0.0_Diageo FRS 17 and Capacity" xfId="34" xr:uid="{00000000-0005-0000-0000-000021000000}"/>
    <cellStyle name="0.00" xfId="35" xr:uid="{00000000-0005-0000-0000-000022000000}"/>
    <cellStyle name="0.00 2" xfId="36" xr:uid="{00000000-0005-0000-0000-000023000000}"/>
    <cellStyle name="0.00%" xfId="37" xr:uid="{00000000-0005-0000-0000-000024000000}"/>
    <cellStyle name="0.00% 2" xfId="38" xr:uid="{00000000-0005-0000-0000-000025000000}"/>
    <cellStyle name="1,comma" xfId="39" xr:uid="{00000000-0005-0000-0000-000026000000}"/>
    <cellStyle name="1,comma 2" xfId="40" xr:uid="{00000000-0005-0000-0000-000027000000}"/>
    <cellStyle name="1,comma 3" xfId="41" xr:uid="{00000000-0005-0000-0000-000028000000}"/>
    <cellStyle name="1,comma 4" xfId="42" xr:uid="{00000000-0005-0000-0000-000029000000}"/>
    <cellStyle name="1,comma 5" xfId="43" xr:uid="{00000000-0005-0000-0000-00002A000000}"/>
    <cellStyle name="1,comma 6" xfId="44" xr:uid="{00000000-0005-0000-0000-00002B000000}"/>
    <cellStyle name="1,comma 7" xfId="45" xr:uid="{00000000-0005-0000-0000-00002C000000}"/>
    <cellStyle name="1,comma 8" xfId="46" xr:uid="{00000000-0005-0000-0000-00002D000000}"/>
    <cellStyle name="1,comma_Help" xfId="47" xr:uid="{00000000-0005-0000-0000-00002E000000}"/>
    <cellStyle name="20% - Accent1 2" xfId="48" xr:uid="{00000000-0005-0000-0000-00002F000000}"/>
    <cellStyle name="20% - Accent1 2 2" xfId="49" xr:uid="{00000000-0005-0000-0000-000030000000}"/>
    <cellStyle name="20% - Accent1 3" xfId="50" xr:uid="{00000000-0005-0000-0000-000031000000}"/>
    <cellStyle name="20% - Accent1 3 2" xfId="51" xr:uid="{00000000-0005-0000-0000-000032000000}"/>
    <cellStyle name="20% - Accent1 4" xfId="52" xr:uid="{00000000-0005-0000-0000-000033000000}"/>
    <cellStyle name="20% - Accent1 4 2" xfId="53" xr:uid="{00000000-0005-0000-0000-000034000000}"/>
    <cellStyle name="20% - Accent1 5" xfId="54" xr:uid="{00000000-0005-0000-0000-000035000000}"/>
    <cellStyle name="20% - Accent1 5 2" xfId="55" xr:uid="{00000000-0005-0000-0000-000036000000}"/>
    <cellStyle name="20% - Accent2 2" xfId="56" xr:uid="{00000000-0005-0000-0000-000037000000}"/>
    <cellStyle name="20% - Accent2 2 2" xfId="57" xr:uid="{00000000-0005-0000-0000-000038000000}"/>
    <cellStyle name="20% - Accent2 3" xfId="58" xr:uid="{00000000-0005-0000-0000-000039000000}"/>
    <cellStyle name="20% - Accent2 3 2" xfId="59" xr:uid="{00000000-0005-0000-0000-00003A000000}"/>
    <cellStyle name="20% - Accent2 4" xfId="60" xr:uid="{00000000-0005-0000-0000-00003B000000}"/>
    <cellStyle name="20% - Accent2 4 2" xfId="61" xr:uid="{00000000-0005-0000-0000-00003C000000}"/>
    <cellStyle name="20% - Accent2 5" xfId="62" xr:uid="{00000000-0005-0000-0000-00003D000000}"/>
    <cellStyle name="20% - Accent2 5 2" xfId="63" xr:uid="{00000000-0005-0000-0000-00003E000000}"/>
    <cellStyle name="20% - Accent3 2" xfId="64" xr:uid="{00000000-0005-0000-0000-00003F000000}"/>
    <cellStyle name="20% - Accent3 2 2" xfId="65" xr:uid="{00000000-0005-0000-0000-000040000000}"/>
    <cellStyle name="20% - Accent3 3" xfId="66" xr:uid="{00000000-0005-0000-0000-000041000000}"/>
    <cellStyle name="20% - Accent3 3 2" xfId="67" xr:uid="{00000000-0005-0000-0000-000042000000}"/>
    <cellStyle name="20% - Accent3 4" xfId="68" xr:uid="{00000000-0005-0000-0000-000043000000}"/>
    <cellStyle name="20% - Accent3 4 2" xfId="69" xr:uid="{00000000-0005-0000-0000-000044000000}"/>
    <cellStyle name="20% - Accent3 5" xfId="70" xr:uid="{00000000-0005-0000-0000-000045000000}"/>
    <cellStyle name="20% - Accent3 5 2" xfId="71" xr:uid="{00000000-0005-0000-0000-000046000000}"/>
    <cellStyle name="20% - Accent4 2" xfId="72" xr:uid="{00000000-0005-0000-0000-000047000000}"/>
    <cellStyle name="20% - Accent4 2 2" xfId="73" xr:uid="{00000000-0005-0000-0000-000048000000}"/>
    <cellStyle name="20% - Accent4 3" xfId="74" xr:uid="{00000000-0005-0000-0000-000049000000}"/>
    <cellStyle name="20% - Accent4 3 2" xfId="75" xr:uid="{00000000-0005-0000-0000-00004A000000}"/>
    <cellStyle name="20% - Accent4 4" xfId="76" xr:uid="{00000000-0005-0000-0000-00004B000000}"/>
    <cellStyle name="20% - Accent4 4 2" xfId="77" xr:uid="{00000000-0005-0000-0000-00004C000000}"/>
    <cellStyle name="20% - Accent4 5" xfId="78" xr:uid="{00000000-0005-0000-0000-00004D000000}"/>
    <cellStyle name="20% - Accent4 5 2" xfId="79" xr:uid="{00000000-0005-0000-0000-00004E000000}"/>
    <cellStyle name="20% - Accent5 2" xfId="80" xr:uid="{00000000-0005-0000-0000-00004F000000}"/>
    <cellStyle name="20% - Accent5 2 2" xfId="81" xr:uid="{00000000-0005-0000-0000-000050000000}"/>
    <cellStyle name="20% - Accent5 3" xfId="82" xr:uid="{00000000-0005-0000-0000-000051000000}"/>
    <cellStyle name="20% - Accent5 3 2" xfId="83" xr:uid="{00000000-0005-0000-0000-000052000000}"/>
    <cellStyle name="20% - Accent5 4" xfId="84" xr:uid="{00000000-0005-0000-0000-000053000000}"/>
    <cellStyle name="20% - Accent5 4 2" xfId="85" xr:uid="{00000000-0005-0000-0000-000054000000}"/>
    <cellStyle name="20% - Accent5 5" xfId="86" xr:uid="{00000000-0005-0000-0000-000055000000}"/>
    <cellStyle name="20% - Accent5 5 2" xfId="87" xr:uid="{00000000-0005-0000-0000-000056000000}"/>
    <cellStyle name="20% - Accent6 2" xfId="88" xr:uid="{00000000-0005-0000-0000-000057000000}"/>
    <cellStyle name="20% - Accent6 2 2" xfId="89" xr:uid="{00000000-0005-0000-0000-000058000000}"/>
    <cellStyle name="20% - Accent6 3" xfId="90" xr:uid="{00000000-0005-0000-0000-000059000000}"/>
    <cellStyle name="20% - Accent6 3 2" xfId="91" xr:uid="{00000000-0005-0000-0000-00005A000000}"/>
    <cellStyle name="20% - Accent6 4" xfId="92" xr:uid="{00000000-0005-0000-0000-00005B000000}"/>
    <cellStyle name="20% - Accent6 4 2" xfId="93" xr:uid="{00000000-0005-0000-0000-00005C000000}"/>
    <cellStyle name="20% - Accent6 5" xfId="94" xr:uid="{00000000-0005-0000-0000-00005D000000}"/>
    <cellStyle name="20% - Accent6 5 2" xfId="95" xr:uid="{00000000-0005-0000-0000-00005E000000}"/>
    <cellStyle name="40% - Accent1 2" xfId="96" xr:uid="{00000000-0005-0000-0000-00005F000000}"/>
    <cellStyle name="40% - Accent1 2 2" xfId="97" xr:uid="{00000000-0005-0000-0000-000060000000}"/>
    <cellStyle name="40% - Accent1 3" xfId="98" xr:uid="{00000000-0005-0000-0000-000061000000}"/>
    <cellStyle name="40% - Accent1 3 2" xfId="99" xr:uid="{00000000-0005-0000-0000-000062000000}"/>
    <cellStyle name="40% - Accent1 4" xfId="100" xr:uid="{00000000-0005-0000-0000-000063000000}"/>
    <cellStyle name="40% - Accent1 4 2" xfId="101" xr:uid="{00000000-0005-0000-0000-000064000000}"/>
    <cellStyle name="40% - Accent1 5" xfId="102" xr:uid="{00000000-0005-0000-0000-000065000000}"/>
    <cellStyle name="40% - Accent1 5 2" xfId="103" xr:uid="{00000000-0005-0000-0000-000066000000}"/>
    <cellStyle name="40% - Accent2 2" xfId="104" xr:uid="{00000000-0005-0000-0000-000067000000}"/>
    <cellStyle name="40% - Accent2 2 2" xfId="105" xr:uid="{00000000-0005-0000-0000-000068000000}"/>
    <cellStyle name="40% - Accent2 3" xfId="106" xr:uid="{00000000-0005-0000-0000-000069000000}"/>
    <cellStyle name="40% - Accent2 3 2" xfId="107" xr:uid="{00000000-0005-0000-0000-00006A000000}"/>
    <cellStyle name="40% - Accent2 4" xfId="108" xr:uid="{00000000-0005-0000-0000-00006B000000}"/>
    <cellStyle name="40% - Accent2 4 2" xfId="109" xr:uid="{00000000-0005-0000-0000-00006C000000}"/>
    <cellStyle name="40% - Accent2 5" xfId="110" xr:uid="{00000000-0005-0000-0000-00006D000000}"/>
    <cellStyle name="40% - Accent2 5 2" xfId="111" xr:uid="{00000000-0005-0000-0000-00006E000000}"/>
    <cellStyle name="40% - Accent3 2" xfId="112" xr:uid="{00000000-0005-0000-0000-00006F000000}"/>
    <cellStyle name="40% - Accent3 2 2" xfId="113" xr:uid="{00000000-0005-0000-0000-000070000000}"/>
    <cellStyle name="40% - Accent3 3" xfId="114" xr:uid="{00000000-0005-0000-0000-000071000000}"/>
    <cellStyle name="40% - Accent3 3 2" xfId="115" xr:uid="{00000000-0005-0000-0000-000072000000}"/>
    <cellStyle name="40% - Accent3 4" xfId="116" xr:uid="{00000000-0005-0000-0000-000073000000}"/>
    <cellStyle name="40% - Accent3 4 2" xfId="117" xr:uid="{00000000-0005-0000-0000-000074000000}"/>
    <cellStyle name="40% - Accent3 5" xfId="118" xr:uid="{00000000-0005-0000-0000-000075000000}"/>
    <cellStyle name="40% - Accent3 5 2" xfId="119" xr:uid="{00000000-0005-0000-0000-000076000000}"/>
    <cellStyle name="40% - Accent4 2" xfId="120" xr:uid="{00000000-0005-0000-0000-000077000000}"/>
    <cellStyle name="40% - Accent4 2 2" xfId="121" xr:uid="{00000000-0005-0000-0000-000078000000}"/>
    <cellStyle name="40% - Accent4 3" xfId="122" xr:uid="{00000000-0005-0000-0000-000079000000}"/>
    <cellStyle name="40% - Accent4 3 2" xfId="123" xr:uid="{00000000-0005-0000-0000-00007A000000}"/>
    <cellStyle name="40% - Accent4 4" xfId="124" xr:uid="{00000000-0005-0000-0000-00007B000000}"/>
    <cellStyle name="40% - Accent4 4 2" xfId="125" xr:uid="{00000000-0005-0000-0000-00007C000000}"/>
    <cellStyle name="40% - Accent4 5" xfId="126" xr:uid="{00000000-0005-0000-0000-00007D000000}"/>
    <cellStyle name="40% - Accent4 5 2" xfId="127" xr:uid="{00000000-0005-0000-0000-00007E000000}"/>
    <cellStyle name="40% - Accent5 2" xfId="128" xr:uid="{00000000-0005-0000-0000-00007F000000}"/>
    <cellStyle name="40% - Accent5 2 2" xfId="129" xr:uid="{00000000-0005-0000-0000-000080000000}"/>
    <cellStyle name="40% - Accent5 3" xfId="130" xr:uid="{00000000-0005-0000-0000-000081000000}"/>
    <cellStyle name="40% - Accent5 3 2" xfId="131" xr:uid="{00000000-0005-0000-0000-000082000000}"/>
    <cellStyle name="40% - Accent5 4" xfId="132" xr:uid="{00000000-0005-0000-0000-000083000000}"/>
    <cellStyle name="40% - Accent5 4 2" xfId="133" xr:uid="{00000000-0005-0000-0000-000084000000}"/>
    <cellStyle name="40% - Accent5 5" xfId="134" xr:uid="{00000000-0005-0000-0000-000085000000}"/>
    <cellStyle name="40% - Accent5 5 2" xfId="135" xr:uid="{00000000-0005-0000-0000-000086000000}"/>
    <cellStyle name="40% - Accent6 2" xfId="136" xr:uid="{00000000-0005-0000-0000-000087000000}"/>
    <cellStyle name="40% - Accent6 2 2" xfId="137" xr:uid="{00000000-0005-0000-0000-000088000000}"/>
    <cellStyle name="40% - Accent6 3" xfId="138" xr:uid="{00000000-0005-0000-0000-000089000000}"/>
    <cellStyle name="40% - Accent6 3 2" xfId="139" xr:uid="{00000000-0005-0000-0000-00008A000000}"/>
    <cellStyle name="40% - Accent6 4" xfId="140" xr:uid="{00000000-0005-0000-0000-00008B000000}"/>
    <cellStyle name="40% - Accent6 4 2" xfId="141" xr:uid="{00000000-0005-0000-0000-00008C000000}"/>
    <cellStyle name="40% - Accent6 5" xfId="142" xr:uid="{00000000-0005-0000-0000-00008D000000}"/>
    <cellStyle name="40% - Accent6 5 2" xfId="143" xr:uid="{00000000-0005-0000-0000-00008E000000}"/>
    <cellStyle name="60% - Accent1 2" xfId="144" xr:uid="{00000000-0005-0000-0000-00008F000000}"/>
    <cellStyle name="60% - Accent1 2 2" xfId="145" xr:uid="{00000000-0005-0000-0000-000090000000}"/>
    <cellStyle name="60% - Accent1 3" xfId="146" xr:uid="{00000000-0005-0000-0000-000091000000}"/>
    <cellStyle name="60% - Accent1 3 2" xfId="147" xr:uid="{00000000-0005-0000-0000-000092000000}"/>
    <cellStyle name="60% - Accent1 4" xfId="148" xr:uid="{00000000-0005-0000-0000-000093000000}"/>
    <cellStyle name="60% - Accent1 4 2" xfId="149" xr:uid="{00000000-0005-0000-0000-000094000000}"/>
    <cellStyle name="60% - Accent1 5" xfId="150" xr:uid="{00000000-0005-0000-0000-000095000000}"/>
    <cellStyle name="60% - Accent1 5 2" xfId="151" xr:uid="{00000000-0005-0000-0000-000096000000}"/>
    <cellStyle name="60% - Accent2 2" xfId="152" xr:uid="{00000000-0005-0000-0000-000097000000}"/>
    <cellStyle name="60% - Accent2 2 2" xfId="153" xr:uid="{00000000-0005-0000-0000-000098000000}"/>
    <cellStyle name="60% - Accent2 3" xfId="154" xr:uid="{00000000-0005-0000-0000-000099000000}"/>
    <cellStyle name="60% - Accent2 3 2" xfId="155" xr:uid="{00000000-0005-0000-0000-00009A000000}"/>
    <cellStyle name="60% - Accent2 4" xfId="156" xr:uid="{00000000-0005-0000-0000-00009B000000}"/>
    <cellStyle name="60% - Accent2 4 2" xfId="157" xr:uid="{00000000-0005-0000-0000-00009C000000}"/>
    <cellStyle name="60% - Accent2 5" xfId="158" xr:uid="{00000000-0005-0000-0000-00009D000000}"/>
    <cellStyle name="60% - Accent2 5 2" xfId="159" xr:uid="{00000000-0005-0000-0000-00009E000000}"/>
    <cellStyle name="60% - Accent3 2" xfId="160" xr:uid="{00000000-0005-0000-0000-00009F000000}"/>
    <cellStyle name="60% - Accent3 2 2" xfId="161" xr:uid="{00000000-0005-0000-0000-0000A0000000}"/>
    <cellStyle name="60% - Accent3 3" xfId="162" xr:uid="{00000000-0005-0000-0000-0000A1000000}"/>
    <cellStyle name="60% - Accent3 3 2" xfId="163" xr:uid="{00000000-0005-0000-0000-0000A2000000}"/>
    <cellStyle name="60% - Accent3 4" xfId="164" xr:uid="{00000000-0005-0000-0000-0000A3000000}"/>
    <cellStyle name="60% - Accent3 4 2" xfId="165" xr:uid="{00000000-0005-0000-0000-0000A4000000}"/>
    <cellStyle name="60% - Accent3 5" xfId="166" xr:uid="{00000000-0005-0000-0000-0000A5000000}"/>
    <cellStyle name="60% - Accent3 5 2" xfId="167" xr:uid="{00000000-0005-0000-0000-0000A6000000}"/>
    <cellStyle name="60% - Accent4 2" xfId="168" xr:uid="{00000000-0005-0000-0000-0000A7000000}"/>
    <cellStyle name="60% - Accent4 2 2" xfId="169" xr:uid="{00000000-0005-0000-0000-0000A8000000}"/>
    <cellStyle name="60% - Accent4 3" xfId="170" xr:uid="{00000000-0005-0000-0000-0000A9000000}"/>
    <cellStyle name="60% - Accent4 3 2" xfId="171" xr:uid="{00000000-0005-0000-0000-0000AA000000}"/>
    <cellStyle name="60% - Accent4 4" xfId="172" xr:uid="{00000000-0005-0000-0000-0000AB000000}"/>
    <cellStyle name="60% - Accent4 4 2" xfId="173" xr:uid="{00000000-0005-0000-0000-0000AC000000}"/>
    <cellStyle name="60% - Accent4 5" xfId="174" xr:uid="{00000000-0005-0000-0000-0000AD000000}"/>
    <cellStyle name="60% - Accent4 5 2" xfId="175" xr:uid="{00000000-0005-0000-0000-0000AE000000}"/>
    <cellStyle name="60% - Accent5 2" xfId="176" xr:uid="{00000000-0005-0000-0000-0000AF000000}"/>
    <cellStyle name="60% - Accent5 2 2" xfId="177" xr:uid="{00000000-0005-0000-0000-0000B0000000}"/>
    <cellStyle name="60% - Accent5 3" xfId="178" xr:uid="{00000000-0005-0000-0000-0000B1000000}"/>
    <cellStyle name="60% - Accent5 3 2" xfId="179" xr:uid="{00000000-0005-0000-0000-0000B2000000}"/>
    <cellStyle name="60% - Accent5 4" xfId="180" xr:uid="{00000000-0005-0000-0000-0000B3000000}"/>
    <cellStyle name="60% - Accent5 4 2" xfId="181" xr:uid="{00000000-0005-0000-0000-0000B4000000}"/>
    <cellStyle name="60% - Accent5 5" xfId="182" xr:uid="{00000000-0005-0000-0000-0000B5000000}"/>
    <cellStyle name="60% - Accent5 5 2" xfId="183" xr:uid="{00000000-0005-0000-0000-0000B6000000}"/>
    <cellStyle name="60% - Accent6 2" xfId="184" xr:uid="{00000000-0005-0000-0000-0000B7000000}"/>
    <cellStyle name="60% - Accent6 2 2" xfId="185" xr:uid="{00000000-0005-0000-0000-0000B8000000}"/>
    <cellStyle name="60% - Accent6 3" xfId="186" xr:uid="{00000000-0005-0000-0000-0000B9000000}"/>
    <cellStyle name="60% - Accent6 3 2" xfId="187" xr:uid="{00000000-0005-0000-0000-0000BA000000}"/>
    <cellStyle name="60% - Accent6 4" xfId="188" xr:uid="{00000000-0005-0000-0000-0000BB000000}"/>
    <cellStyle name="60% - Accent6 4 2" xfId="189" xr:uid="{00000000-0005-0000-0000-0000BC000000}"/>
    <cellStyle name="60% - Accent6 5" xfId="190" xr:uid="{00000000-0005-0000-0000-0000BD000000}"/>
    <cellStyle name="60% - Accent6 5 2" xfId="191" xr:uid="{00000000-0005-0000-0000-0000BE000000}"/>
    <cellStyle name="752131" xfId="192" xr:uid="{00000000-0005-0000-0000-0000BF000000}"/>
    <cellStyle name="A Table" xfId="193" xr:uid="{00000000-0005-0000-0000-0000C0000000}"/>
    <cellStyle name="A_Block Space" xfId="194" xr:uid="{00000000-0005-0000-0000-0000C1000000}"/>
    <cellStyle name="A_BlueLine" xfId="195" xr:uid="{00000000-0005-0000-0000-0000C2000000}"/>
    <cellStyle name="A_Do not Change" xfId="196" xr:uid="{00000000-0005-0000-0000-0000C3000000}"/>
    <cellStyle name="A_Estimate" xfId="197" xr:uid="{00000000-0005-0000-0000-0000C4000000}"/>
    <cellStyle name="A_Estimate 2" xfId="198" xr:uid="{00000000-0005-0000-0000-0000C5000000}"/>
    <cellStyle name="A_Memo" xfId="199" xr:uid="{00000000-0005-0000-0000-0000C6000000}"/>
    <cellStyle name="A_Normal" xfId="200" xr:uid="{00000000-0005-0000-0000-0000C7000000}"/>
    <cellStyle name="A_Normal 2" xfId="201" xr:uid="{00000000-0005-0000-0000-0000C8000000}"/>
    <cellStyle name="A_Normal 3" xfId="202" xr:uid="{00000000-0005-0000-0000-0000C9000000}"/>
    <cellStyle name="A_Normal 4" xfId="203" xr:uid="{00000000-0005-0000-0000-0000CA000000}"/>
    <cellStyle name="A_Normal 5" xfId="204" xr:uid="{00000000-0005-0000-0000-0000CB000000}"/>
    <cellStyle name="A_Normal 6" xfId="205" xr:uid="{00000000-0005-0000-0000-0000CC000000}"/>
    <cellStyle name="A_Normal Forecast" xfId="206" xr:uid="{00000000-0005-0000-0000-0000CD000000}"/>
    <cellStyle name="A_Normal Historical" xfId="207" xr:uid="{00000000-0005-0000-0000-0000CE000000}"/>
    <cellStyle name="A_Rate_Data" xfId="208" xr:uid="{00000000-0005-0000-0000-0000CF000000}"/>
    <cellStyle name="A_Rate_Data Historical" xfId="209" xr:uid="{00000000-0005-0000-0000-0000D0000000}"/>
    <cellStyle name="A_Rate_Title" xfId="210" xr:uid="{00000000-0005-0000-0000-0000D1000000}"/>
    <cellStyle name="A_Simple Title" xfId="211" xr:uid="{00000000-0005-0000-0000-0000D2000000}"/>
    <cellStyle name="A_Sum" xfId="212" xr:uid="{00000000-0005-0000-0000-0000D3000000}"/>
    <cellStyle name="A_SUM_Row Major" xfId="213" xr:uid="{00000000-0005-0000-0000-0000D4000000}"/>
    <cellStyle name="A_SUM_Row Minor" xfId="214" xr:uid="{00000000-0005-0000-0000-0000D5000000}"/>
    <cellStyle name="A_Title" xfId="215" xr:uid="{00000000-0005-0000-0000-0000D6000000}"/>
    <cellStyle name="A_YearHeadings" xfId="216" xr:uid="{00000000-0005-0000-0000-0000D7000000}"/>
    <cellStyle name="Accent1 2" xfId="217" xr:uid="{00000000-0005-0000-0000-0000D8000000}"/>
    <cellStyle name="Accent1 2 2" xfId="218" xr:uid="{00000000-0005-0000-0000-0000D9000000}"/>
    <cellStyle name="Accent1 3" xfId="219" xr:uid="{00000000-0005-0000-0000-0000DA000000}"/>
    <cellStyle name="Accent1 3 2" xfId="220" xr:uid="{00000000-0005-0000-0000-0000DB000000}"/>
    <cellStyle name="Accent1 4" xfId="221" xr:uid="{00000000-0005-0000-0000-0000DC000000}"/>
    <cellStyle name="Accent1 4 2" xfId="222" xr:uid="{00000000-0005-0000-0000-0000DD000000}"/>
    <cellStyle name="Accent1 5" xfId="223" xr:uid="{00000000-0005-0000-0000-0000DE000000}"/>
    <cellStyle name="Accent1 5 2" xfId="224" xr:uid="{00000000-0005-0000-0000-0000DF000000}"/>
    <cellStyle name="Accent2 2" xfId="225" xr:uid="{00000000-0005-0000-0000-0000E0000000}"/>
    <cellStyle name="Accent2 2 2" xfId="226" xr:uid="{00000000-0005-0000-0000-0000E1000000}"/>
    <cellStyle name="Accent2 3" xfId="227" xr:uid="{00000000-0005-0000-0000-0000E2000000}"/>
    <cellStyle name="Accent2 3 2" xfId="228" xr:uid="{00000000-0005-0000-0000-0000E3000000}"/>
    <cellStyle name="Accent2 4" xfId="229" xr:uid="{00000000-0005-0000-0000-0000E4000000}"/>
    <cellStyle name="Accent2 4 2" xfId="230" xr:uid="{00000000-0005-0000-0000-0000E5000000}"/>
    <cellStyle name="Accent2 5" xfId="231" xr:uid="{00000000-0005-0000-0000-0000E6000000}"/>
    <cellStyle name="Accent2 5 2" xfId="232" xr:uid="{00000000-0005-0000-0000-0000E7000000}"/>
    <cellStyle name="Accent3 2" xfId="233" xr:uid="{00000000-0005-0000-0000-0000E8000000}"/>
    <cellStyle name="Accent3 2 2" xfId="234" xr:uid="{00000000-0005-0000-0000-0000E9000000}"/>
    <cellStyle name="Accent3 3" xfId="235" xr:uid="{00000000-0005-0000-0000-0000EA000000}"/>
    <cellStyle name="Accent3 3 2" xfId="236" xr:uid="{00000000-0005-0000-0000-0000EB000000}"/>
    <cellStyle name="Accent3 4" xfId="237" xr:uid="{00000000-0005-0000-0000-0000EC000000}"/>
    <cellStyle name="Accent3 4 2" xfId="238" xr:uid="{00000000-0005-0000-0000-0000ED000000}"/>
    <cellStyle name="Accent3 5" xfId="239" xr:uid="{00000000-0005-0000-0000-0000EE000000}"/>
    <cellStyle name="Accent3 5 2" xfId="240" xr:uid="{00000000-0005-0000-0000-0000EF000000}"/>
    <cellStyle name="Accent4 2" xfId="241" xr:uid="{00000000-0005-0000-0000-0000F0000000}"/>
    <cellStyle name="Accent4 2 2" xfId="242" xr:uid="{00000000-0005-0000-0000-0000F1000000}"/>
    <cellStyle name="Accent4 3" xfId="243" xr:uid="{00000000-0005-0000-0000-0000F2000000}"/>
    <cellStyle name="Accent4 3 2" xfId="244" xr:uid="{00000000-0005-0000-0000-0000F3000000}"/>
    <cellStyle name="Accent4 4" xfId="245" xr:uid="{00000000-0005-0000-0000-0000F4000000}"/>
    <cellStyle name="Accent4 4 2" xfId="246" xr:uid="{00000000-0005-0000-0000-0000F5000000}"/>
    <cellStyle name="Accent4 5" xfId="247" xr:uid="{00000000-0005-0000-0000-0000F6000000}"/>
    <cellStyle name="Accent4 5 2" xfId="248" xr:uid="{00000000-0005-0000-0000-0000F7000000}"/>
    <cellStyle name="Accent5 2" xfId="249" xr:uid="{00000000-0005-0000-0000-0000F8000000}"/>
    <cellStyle name="Accent5 2 2" xfId="250" xr:uid="{00000000-0005-0000-0000-0000F9000000}"/>
    <cellStyle name="Accent5 3" xfId="251" xr:uid="{00000000-0005-0000-0000-0000FA000000}"/>
    <cellStyle name="Accent5 3 2" xfId="252" xr:uid="{00000000-0005-0000-0000-0000FB000000}"/>
    <cellStyle name="Accent5 4" xfId="253" xr:uid="{00000000-0005-0000-0000-0000FC000000}"/>
    <cellStyle name="Accent5 4 2" xfId="254" xr:uid="{00000000-0005-0000-0000-0000FD000000}"/>
    <cellStyle name="Accent5 5" xfId="255" xr:uid="{00000000-0005-0000-0000-0000FE000000}"/>
    <cellStyle name="Accent5 5 2" xfId="256" xr:uid="{00000000-0005-0000-0000-0000FF000000}"/>
    <cellStyle name="Accent6 2" xfId="257" xr:uid="{00000000-0005-0000-0000-000000010000}"/>
    <cellStyle name="Accent6 2 2" xfId="258" xr:uid="{00000000-0005-0000-0000-000001010000}"/>
    <cellStyle name="Accent6 3" xfId="259" xr:uid="{00000000-0005-0000-0000-000002010000}"/>
    <cellStyle name="Accent6 3 2" xfId="260" xr:uid="{00000000-0005-0000-0000-000003010000}"/>
    <cellStyle name="Accent6 4" xfId="261" xr:uid="{00000000-0005-0000-0000-000004010000}"/>
    <cellStyle name="Accent6 4 2" xfId="262" xr:uid="{00000000-0005-0000-0000-000005010000}"/>
    <cellStyle name="Accent6 5" xfId="263" xr:uid="{00000000-0005-0000-0000-000006010000}"/>
    <cellStyle name="Accent6 5 2" xfId="264" xr:uid="{00000000-0005-0000-0000-000007010000}"/>
    <cellStyle name="Acctg" xfId="265" xr:uid="{00000000-0005-0000-0000-000008010000}"/>
    <cellStyle name="Actual data" xfId="266" xr:uid="{00000000-0005-0000-0000-000009010000}"/>
    <cellStyle name="Actual data 2" xfId="267" xr:uid="{00000000-0005-0000-0000-00000A010000}"/>
    <cellStyle name="Actual year" xfId="268" xr:uid="{00000000-0005-0000-0000-00000B010000}"/>
    <cellStyle name="Actual year 2" xfId="269" xr:uid="{00000000-0005-0000-0000-00000C010000}"/>
    <cellStyle name="Actuals Cells" xfId="270" xr:uid="{00000000-0005-0000-0000-00000D010000}"/>
    <cellStyle name="Actuals Cells 2" xfId="271" xr:uid="{00000000-0005-0000-0000-00000E010000}"/>
    <cellStyle name="Actuals Cells 3" xfId="272" xr:uid="{00000000-0005-0000-0000-00000F010000}"/>
    <cellStyle name="Actuals Cells 4" xfId="273" xr:uid="{00000000-0005-0000-0000-000010010000}"/>
    <cellStyle name="Actuals Cells 5" xfId="274" xr:uid="{00000000-0005-0000-0000-000011010000}"/>
    <cellStyle name="Actuals Cells 6" xfId="275" xr:uid="{00000000-0005-0000-0000-000012010000}"/>
    <cellStyle name="AFE" xfId="276" xr:uid="{00000000-0005-0000-0000-000013010000}"/>
    <cellStyle name="AFE 2" xfId="277" xr:uid="{00000000-0005-0000-0000-000014010000}"/>
    <cellStyle name="AFE 3" xfId="278" xr:uid="{00000000-0005-0000-0000-000015010000}"/>
    <cellStyle name="AFE 4" xfId="279" xr:uid="{00000000-0005-0000-0000-000016010000}"/>
    <cellStyle name="AFE 5" xfId="280" xr:uid="{00000000-0005-0000-0000-000017010000}"/>
    <cellStyle name="AFE 6" xfId="281" xr:uid="{00000000-0005-0000-0000-000018010000}"/>
    <cellStyle name="args.style" xfId="282" xr:uid="{00000000-0005-0000-0000-000019010000}"/>
    <cellStyle name="args.style 2" xfId="283" xr:uid="{00000000-0005-0000-0000-00001A010000}"/>
    <cellStyle name="ÄÞ¸¶ [0]_´Ü°èº° ±¸Ãà¾È" xfId="284" xr:uid="{00000000-0005-0000-0000-00001B010000}"/>
    <cellStyle name="ÄÞ¸¶_´Ü°èº° ±¸Ãà¾È" xfId="285" xr:uid="{00000000-0005-0000-0000-00001C010000}"/>
    <cellStyle name="B Table" xfId="286" xr:uid="{00000000-0005-0000-0000-00001D010000}"/>
    <cellStyle name="Bad 2" xfId="287" xr:uid="{00000000-0005-0000-0000-00001E010000}"/>
    <cellStyle name="Bad 2 2" xfId="288" xr:uid="{00000000-0005-0000-0000-00001F010000}"/>
    <cellStyle name="Bad 3" xfId="289" xr:uid="{00000000-0005-0000-0000-000020010000}"/>
    <cellStyle name="Bad 3 2" xfId="290" xr:uid="{00000000-0005-0000-0000-000021010000}"/>
    <cellStyle name="Bad 4" xfId="291" xr:uid="{00000000-0005-0000-0000-000022010000}"/>
    <cellStyle name="Bad 4 2" xfId="292" xr:uid="{00000000-0005-0000-0000-000023010000}"/>
    <cellStyle name="Bad 5" xfId="293" xr:uid="{00000000-0005-0000-0000-000024010000}"/>
    <cellStyle name="Bad 5 2" xfId="294" xr:uid="{00000000-0005-0000-0000-000025010000}"/>
    <cellStyle name="Band 2" xfId="295" xr:uid="{00000000-0005-0000-0000-000026010000}"/>
    <cellStyle name="Blank" xfId="296" xr:uid="{00000000-0005-0000-0000-000027010000}"/>
    <cellStyle name="Blue" xfId="297" xr:uid="{00000000-0005-0000-0000-000028010000}"/>
    <cellStyle name="Body_InputCellText" xfId="298" xr:uid="{00000000-0005-0000-0000-000029010000}"/>
    <cellStyle name="Bold/Border" xfId="299" xr:uid="{00000000-0005-0000-0000-00002A010000}"/>
    <cellStyle name="Box" xfId="300" xr:uid="{00000000-0005-0000-0000-00002B010000}"/>
    <cellStyle name="Bullet" xfId="301" xr:uid="{00000000-0005-0000-0000-00002C010000}"/>
    <cellStyle name="Bullet 2" xfId="302" xr:uid="{00000000-0005-0000-0000-00002D010000}"/>
    <cellStyle name="Bullet 3" xfId="303" xr:uid="{00000000-0005-0000-0000-00002E010000}"/>
    <cellStyle name="Bullet 4" xfId="304" xr:uid="{00000000-0005-0000-0000-00002F010000}"/>
    <cellStyle name="Bullet 5" xfId="305" xr:uid="{00000000-0005-0000-0000-000030010000}"/>
    <cellStyle name="Bullet 6" xfId="306" xr:uid="{00000000-0005-0000-0000-000031010000}"/>
    <cellStyle name="c" xfId="307" xr:uid="{00000000-0005-0000-0000-000032010000}"/>
    <cellStyle name="c 2" xfId="308" xr:uid="{00000000-0005-0000-0000-000033010000}"/>
    <cellStyle name="c 3" xfId="309" xr:uid="{00000000-0005-0000-0000-000034010000}"/>
    <cellStyle name="c 4" xfId="310" xr:uid="{00000000-0005-0000-0000-000035010000}"/>
    <cellStyle name="c 5" xfId="311" xr:uid="{00000000-0005-0000-0000-000036010000}"/>
    <cellStyle name="c 6" xfId="312" xr:uid="{00000000-0005-0000-0000-000037010000}"/>
    <cellStyle name="Ç¥ÁØ_´Ü°èº° ±¸Ãà¾È" xfId="313" xr:uid="{00000000-0005-0000-0000-000038010000}"/>
    <cellStyle name="C05_Style E Text" xfId="314" xr:uid="{00000000-0005-0000-0000-000039010000}"/>
    <cellStyle name="Calc Cells" xfId="315" xr:uid="{00000000-0005-0000-0000-00003A010000}"/>
    <cellStyle name="Calc Cells 2" xfId="316" xr:uid="{00000000-0005-0000-0000-00003B010000}"/>
    <cellStyle name="Calc Cells 3" xfId="317" xr:uid="{00000000-0005-0000-0000-00003C010000}"/>
    <cellStyle name="Calc Cells 4" xfId="318" xr:uid="{00000000-0005-0000-0000-00003D010000}"/>
    <cellStyle name="Calc Cells 5" xfId="319" xr:uid="{00000000-0005-0000-0000-00003E010000}"/>
    <cellStyle name="Calc Cells 6" xfId="320" xr:uid="{00000000-0005-0000-0000-00003F010000}"/>
    <cellStyle name="Calc Units (2)" xfId="321" xr:uid="{00000000-0005-0000-0000-000040010000}"/>
    <cellStyle name="Calc Units (2) 2" xfId="322" xr:uid="{00000000-0005-0000-0000-000041010000}"/>
    <cellStyle name="Calc Units (2) 3" xfId="323" xr:uid="{00000000-0005-0000-0000-000042010000}"/>
    <cellStyle name="Calc Units (2) 4" xfId="324" xr:uid="{00000000-0005-0000-0000-000043010000}"/>
    <cellStyle name="Calc Units (2) 5" xfId="325" xr:uid="{00000000-0005-0000-0000-000044010000}"/>
    <cellStyle name="Calc Units (2) 6" xfId="326" xr:uid="{00000000-0005-0000-0000-000045010000}"/>
    <cellStyle name="Calc Units (2) 7" xfId="327" xr:uid="{00000000-0005-0000-0000-000046010000}"/>
    <cellStyle name="Calc Units (2) 8" xfId="328" xr:uid="{00000000-0005-0000-0000-000047010000}"/>
    <cellStyle name="Calc Units (2)_Help" xfId="329" xr:uid="{00000000-0005-0000-0000-000048010000}"/>
    <cellStyle name="Calculation 2" xfId="330" xr:uid="{00000000-0005-0000-0000-000049010000}"/>
    <cellStyle name="Calculation 2 2" xfId="331" xr:uid="{00000000-0005-0000-0000-00004A010000}"/>
    <cellStyle name="Calculation 3" xfId="332" xr:uid="{00000000-0005-0000-0000-00004B010000}"/>
    <cellStyle name="Calculation 3 2" xfId="333" xr:uid="{00000000-0005-0000-0000-00004C010000}"/>
    <cellStyle name="Calculation 4" xfId="334" xr:uid="{00000000-0005-0000-0000-00004D010000}"/>
    <cellStyle name="Calculation 4 2" xfId="335" xr:uid="{00000000-0005-0000-0000-00004E010000}"/>
    <cellStyle name="Calculation 5" xfId="336" xr:uid="{00000000-0005-0000-0000-00004F010000}"/>
    <cellStyle name="Calculation 5 2" xfId="337" xr:uid="{00000000-0005-0000-0000-000050010000}"/>
    <cellStyle name="category" xfId="338" xr:uid="{00000000-0005-0000-0000-000051010000}"/>
    <cellStyle name="CENTER HEAD" xfId="339" xr:uid="{00000000-0005-0000-0000-000052010000}"/>
    <cellStyle name="CENTER HEAD 2" xfId="340" xr:uid="{00000000-0005-0000-0000-000053010000}"/>
    <cellStyle name="CENTER HEAD 8" xfId="341" xr:uid="{00000000-0005-0000-0000-000054010000}"/>
    <cellStyle name="CENTER HEAD 8 2" xfId="342" xr:uid="{00000000-0005-0000-0000-000055010000}"/>
    <cellStyle name="CENTER HEAD 9" xfId="343" xr:uid="{00000000-0005-0000-0000-000056010000}"/>
    <cellStyle name="CENTER HEAD 9 2" xfId="344" xr:uid="{00000000-0005-0000-0000-000057010000}"/>
    <cellStyle name="CENTER LABEL" xfId="345" xr:uid="{00000000-0005-0000-0000-000058010000}"/>
    <cellStyle name="CENTER LABEL 2" xfId="346" xr:uid="{00000000-0005-0000-0000-000059010000}"/>
    <cellStyle name="Cents" xfId="347" xr:uid="{00000000-0005-0000-0000-00005A010000}"/>
    <cellStyle name="Changeable" xfId="348" xr:uid="{00000000-0005-0000-0000-00005B010000}"/>
    <cellStyle name="Check Cell 2" xfId="349" xr:uid="{00000000-0005-0000-0000-00005C010000}"/>
    <cellStyle name="Check Cell 2 2" xfId="350" xr:uid="{00000000-0005-0000-0000-00005D010000}"/>
    <cellStyle name="Check Cell 3" xfId="351" xr:uid="{00000000-0005-0000-0000-00005E010000}"/>
    <cellStyle name="Check Cell 3 2" xfId="352" xr:uid="{00000000-0005-0000-0000-00005F010000}"/>
    <cellStyle name="Check Cell 4" xfId="353" xr:uid="{00000000-0005-0000-0000-000060010000}"/>
    <cellStyle name="Check Cell 4 2" xfId="354" xr:uid="{00000000-0005-0000-0000-000061010000}"/>
    <cellStyle name="Check Cell 5" xfId="355" xr:uid="{00000000-0005-0000-0000-000062010000}"/>
    <cellStyle name="Check Cell 5 2" xfId="356" xr:uid="{00000000-0005-0000-0000-000063010000}"/>
    <cellStyle name="COLUMN HEAD" xfId="357" xr:uid="{00000000-0005-0000-0000-000064010000}"/>
    <cellStyle name="COLUMN HEAD 2" xfId="358" xr:uid="{00000000-0005-0000-0000-000065010000}"/>
    <cellStyle name="COLUMN HEAD 9" xfId="359" xr:uid="{00000000-0005-0000-0000-000066010000}"/>
    <cellStyle name="COLUMN HEAD 9 2" xfId="360" xr:uid="{00000000-0005-0000-0000-000067010000}"/>
    <cellStyle name="column1" xfId="361" xr:uid="{00000000-0005-0000-0000-000068010000}"/>
    <cellStyle name="column1 2" xfId="362" xr:uid="{00000000-0005-0000-0000-000069010000}"/>
    <cellStyle name="column1 3" xfId="363" xr:uid="{00000000-0005-0000-0000-00006A010000}"/>
    <cellStyle name="column1 4" xfId="364" xr:uid="{00000000-0005-0000-0000-00006B010000}"/>
    <cellStyle name="column1 5" xfId="365" xr:uid="{00000000-0005-0000-0000-00006C010000}"/>
    <cellStyle name="column1 6" xfId="366" xr:uid="{00000000-0005-0000-0000-00006D010000}"/>
    <cellStyle name="column1Big" xfId="367" xr:uid="{00000000-0005-0000-0000-00006E010000}"/>
    <cellStyle name="column1Big 2" xfId="368" xr:uid="{00000000-0005-0000-0000-00006F010000}"/>
    <cellStyle name="column1Date" xfId="369" xr:uid="{00000000-0005-0000-0000-000070010000}"/>
    <cellStyle name="column1Date 2" xfId="370" xr:uid="{00000000-0005-0000-0000-000071010000}"/>
    <cellStyle name="column1Date 3" xfId="371" xr:uid="{00000000-0005-0000-0000-000072010000}"/>
    <cellStyle name="column1Date 4" xfId="372" xr:uid="{00000000-0005-0000-0000-000073010000}"/>
    <cellStyle name="column1Date 5" xfId="373" xr:uid="{00000000-0005-0000-0000-000074010000}"/>
    <cellStyle name="column1Date 6" xfId="374" xr:uid="{00000000-0005-0000-0000-000075010000}"/>
    <cellStyle name="ColumnHeadings" xfId="375" xr:uid="{00000000-0005-0000-0000-000076010000}"/>
    <cellStyle name="ColumnHeadings2" xfId="376" xr:uid="{00000000-0005-0000-0000-000077010000}"/>
    <cellStyle name="Comma  - Style1" xfId="378" xr:uid="{00000000-0005-0000-0000-000079010000}"/>
    <cellStyle name="Comma  - Style2" xfId="379" xr:uid="{00000000-0005-0000-0000-00007A010000}"/>
    <cellStyle name="Comma  - Style3" xfId="380" xr:uid="{00000000-0005-0000-0000-00007B010000}"/>
    <cellStyle name="Comma  - Style4" xfId="381" xr:uid="{00000000-0005-0000-0000-00007C010000}"/>
    <cellStyle name="Comma  - Style5" xfId="382" xr:uid="{00000000-0005-0000-0000-00007D010000}"/>
    <cellStyle name="Comma  - Style6" xfId="383" xr:uid="{00000000-0005-0000-0000-00007E010000}"/>
    <cellStyle name="Comma  - Style7" xfId="384" xr:uid="{00000000-0005-0000-0000-00007F010000}"/>
    <cellStyle name="Comma  - Style8" xfId="385" xr:uid="{00000000-0005-0000-0000-000080010000}"/>
    <cellStyle name="Comma (0)" xfId="386" xr:uid="{00000000-0005-0000-0000-000081010000}"/>
    <cellStyle name="Comma [00]" xfId="387" xr:uid="{00000000-0005-0000-0000-000082010000}"/>
    <cellStyle name="Comma [00] 2" xfId="388" xr:uid="{00000000-0005-0000-0000-000083010000}"/>
    <cellStyle name="Comma [00] 3" xfId="389" xr:uid="{00000000-0005-0000-0000-000084010000}"/>
    <cellStyle name="Comma [00] 4" xfId="390" xr:uid="{00000000-0005-0000-0000-000085010000}"/>
    <cellStyle name="Comma [00] 5" xfId="391" xr:uid="{00000000-0005-0000-0000-000086010000}"/>
    <cellStyle name="Comma [00] 6" xfId="392" xr:uid="{00000000-0005-0000-0000-000087010000}"/>
    <cellStyle name="Comma [00] 7" xfId="393" xr:uid="{00000000-0005-0000-0000-000088010000}"/>
    <cellStyle name="Comma [00] 8" xfId="394" xr:uid="{00000000-0005-0000-0000-000089010000}"/>
    <cellStyle name="Comma [2]" xfId="395" xr:uid="{00000000-0005-0000-0000-00008A010000}"/>
    <cellStyle name="Comma 0" xfId="396" xr:uid="{00000000-0005-0000-0000-00008B010000}"/>
    <cellStyle name="Comma 0*" xfId="397" xr:uid="{00000000-0005-0000-0000-00008C010000}"/>
    <cellStyle name="Comma 10" xfId="398" xr:uid="{00000000-0005-0000-0000-00008D010000}"/>
    <cellStyle name="Comma 11" xfId="399" xr:uid="{00000000-0005-0000-0000-00008E010000}"/>
    <cellStyle name="Comma 2" xfId="400" xr:uid="{00000000-0005-0000-0000-00008F010000}"/>
    <cellStyle name="Comma 2 2" xfId="401" xr:uid="{00000000-0005-0000-0000-000090010000}"/>
    <cellStyle name="Comma 2 3" xfId="402" xr:uid="{00000000-0005-0000-0000-000091010000}"/>
    <cellStyle name="Comma 2 4" xfId="403" xr:uid="{00000000-0005-0000-0000-000092010000}"/>
    <cellStyle name="Comma 2 5" xfId="404" xr:uid="{00000000-0005-0000-0000-000093010000}"/>
    <cellStyle name="Comma 2 6" xfId="405" xr:uid="{00000000-0005-0000-0000-000094010000}"/>
    <cellStyle name="Comma 2 7" xfId="406" xr:uid="{00000000-0005-0000-0000-000095010000}"/>
    <cellStyle name="Comma 3" xfId="1287" xr:uid="{00000000-0005-0000-0000-000096010000}"/>
    <cellStyle name="Comma 4" xfId="407" xr:uid="{00000000-0005-0000-0000-000097010000}"/>
    <cellStyle name="Comma 5" xfId="408" xr:uid="{00000000-0005-0000-0000-000098010000}"/>
    <cellStyle name="Comma 6" xfId="409" xr:uid="{00000000-0005-0000-0000-000099010000}"/>
    <cellStyle name="Comma 7" xfId="410" xr:uid="{00000000-0005-0000-0000-00009A010000}"/>
    <cellStyle name="Comma 8" xfId="411" xr:uid="{00000000-0005-0000-0000-00009B010000}"/>
    <cellStyle name="Comma 9" xfId="412" xr:uid="{00000000-0005-0000-0000-00009C010000}"/>
    <cellStyle name="Comma[2]" xfId="413" xr:uid="{00000000-0005-0000-0000-00009D010000}"/>
    <cellStyle name="Comma[2] 2" xfId="414" xr:uid="{00000000-0005-0000-0000-00009E010000}"/>
    <cellStyle name="Comma0" xfId="415" xr:uid="{00000000-0005-0000-0000-00009F010000}"/>
    <cellStyle name="Comma0 2" xfId="416" xr:uid="{00000000-0005-0000-0000-0000A0010000}"/>
    <cellStyle name="Comma0 3" xfId="417" xr:uid="{00000000-0005-0000-0000-0000A1010000}"/>
    <cellStyle name="Comma0 4" xfId="418" xr:uid="{00000000-0005-0000-0000-0000A2010000}"/>
    <cellStyle name="Comma0 5" xfId="419" xr:uid="{00000000-0005-0000-0000-0000A3010000}"/>
    <cellStyle name="Comma0 6" xfId="420" xr:uid="{00000000-0005-0000-0000-0000A4010000}"/>
    <cellStyle name="Comma0 7" xfId="421" xr:uid="{00000000-0005-0000-0000-0000A5010000}"/>
    <cellStyle name="Comma0 8" xfId="422" xr:uid="{00000000-0005-0000-0000-0000A6010000}"/>
    <cellStyle name="Comment" xfId="423" xr:uid="{00000000-0005-0000-0000-0000A7010000}"/>
    <cellStyle name="Comment 2" xfId="424" xr:uid="{00000000-0005-0000-0000-0000A8010000}"/>
    <cellStyle name="Company name" xfId="425" xr:uid="{00000000-0005-0000-0000-0000A9010000}"/>
    <cellStyle name="CompanyName" xfId="426" xr:uid="{00000000-0005-0000-0000-0000AA010000}"/>
    <cellStyle name="CompanyName 2" xfId="427" xr:uid="{00000000-0005-0000-0000-0000AB010000}"/>
    <cellStyle name="CompanyName 3" xfId="428" xr:uid="{00000000-0005-0000-0000-0000AC010000}"/>
    <cellStyle name="CompanyName 4" xfId="429" xr:uid="{00000000-0005-0000-0000-0000AD010000}"/>
    <cellStyle name="CompanyName 5" xfId="430" xr:uid="{00000000-0005-0000-0000-0000AE010000}"/>
    <cellStyle name="CompanyName 6" xfId="431" xr:uid="{00000000-0005-0000-0000-0000AF010000}"/>
    <cellStyle name="Currency $" xfId="432" xr:uid="{00000000-0005-0000-0000-0000B0010000}"/>
    <cellStyle name="Currency $ 2" xfId="433" xr:uid="{00000000-0005-0000-0000-0000B1010000}"/>
    <cellStyle name="Currency $ 3" xfId="434" xr:uid="{00000000-0005-0000-0000-0000B2010000}"/>
    <cellStyle name="Currency $ 4" xfId="435" xr:uid="{00000000-0005-0000-0000-0000B3010000}"/>
    <cellStyle name="Currency $ 5" xfId="436" xr:uid="{00000000-0005-0000-0000-0000B4010000}"/>
    <cellStyle name="Currency $ 6" xfId="437" xr:uid="{00000000-0005-0000-0000-0000B5010000}"/>
    <cellStyle name="Currency (3)" xfId="438" xr:uid="{00000000-0005-0000-0000-0000B6010000}"/>
    <cellStyle name="Currency [00]" xfId="439" xr:uid="{00000000-0005-0000-0000-0000B7010000}"/>
    <cellStyle name="Currency [00] 2" xfId="440" xr:uid="{00000000-0005-0000-0000-0000B8010000}"/>
    <cellStyle name="Currency [00] 3" xfId="441" xr:uid="{00000000-0005-0000-0000-0000B9010000}"/>
    <cellStyle name="Currency [00] 4" xfId="442" xr:uid="{00000000-0005-0000-0000-0000BA010000}"/>
    <cellStyle name="Currency [00] 5" xfId="443" xr:uid="{00000000-0005-0000-0000-0000BB010000}"/>
    <cellStyle name="Currency [00] 6" xfId="444" xr:uid="{00000000-0005-0000-0000-0000BC010000}"/>
    <cellStyle name="Currency [00] 7" xfId="445" xr:uid="{00000000-0005-0000-0000-0000BD010000}"/>
    <cellStyle name="Currency [00] 8" xfId="446" xr:uid="{00000000-0005-0000-0000-0000BE010000}"/>
    <cellStyle name="Currency 0" xfId="447" xr:uid="{00000000-0005-0000-0000-0000BF010000}"/>
    <cellStyle name="Currency 2 2" xfId="448" xr:uid="{00000000-0005-0000-0000-0000C0010000}"/>
    <cellStyle name="Currency 2 3" xfId="449" xr:uid="{00000000-0005-0000-0000-0000C1010000}"/>
    <cellStyle name="Currency 2 4" xfId="450" xr:uid="{00000000-0005-0000-0000-0000C2010000}"/>
    <cellStyle name="Currency 2 5" xfId="451" xr:uid="{00000000-0005-0000-0000-0000C3010000}"/>
    <cellStyle name="Currency 2 6" xfId="452" xr:uid="{00000000-0005-0000-0000-0000C4010000}"/>
    <cellStyle name="Currency[2]" xfId="453" xr:uid="{00000000-0005-0000-0000-0000C5010000}"/>
    <cellStyle name="Currency[2] 2" xfId="454" xr:uid="{00000000-0005-0000-0000-0000C6010000}"/>
    <cellStyle name="Currency[2] 3" xfId="455" xr:uid="{00000000-0005-0000-0000-0000C7010000}"/>
    <cellStyle name="Currency[2] 4" xfId="456" xr:uid="{00000000-0005-0000-0000-0000C8010000}"/>
    <cellStyle name="Currency[2] 5" xfId="457" xr:uid="{00000000-0005-0000-0000-0000C9010000}"/>
    <cellStyle name="Currency[2] 6" xfId="458" xr:uid="{00000000-0005-0000-0000-0000CA010000}"/>
    <cellStyle name="Currency[2] 7" xfId="459" xr:uid="{00000000-0005-0000-0000-0000CB010000}"/>
    <cellStyle name="Currency[2] 8" xfId="460" xr:uid="{00000000-0005-0000-0000-0000CC010000}"/>
    <cellStyle name="Currency0" xfId="461" xr:uid="{00000000-0005-0000-0000-0000CD010000}"/>
    <cellStyle name="Currency0 2" xfId="462" xr:uid="{00000000-0005-0000-0000-0000CE010000}"/>
    <cellStyle name="Currency0 3" xfId="463" xr:uid="{00000000-0005-0000-0000-0000CF010000}"/>
    <cellStyle name="Currency0 4" xfId="464" xr:uid="{00000000-0005-0000-0000-0000D0010000}"/>
    <cellStyle name="Currency0 5" xfId="465" xr:uid="{00000000-0005-0000-0000-0000D1010000}"/>
    <cellStyle name="Currency0 6" xfId="466" xr:uid="{00000000-0005-0000-0000-0000D2010000}"/>
    <cellStyle name="Currency0 7" xfId="467" xr:uid="{00000000-0005-0000-0000-0000D3010000}"/>
    <cellStyle name="Currency0 8" xfId="468" xr:uid="{00000000-0005-0000-0000-0000D4010000}"/>
    <cellStyle name="custom" xfId="469" xr:uid="{00000000-0005-0000-0000-0000D5010000}"/>
    <cellStyle name="custom 2" xfId="470" xr:uid="{00000000-0005-0000-0000-0000D6010000}"/>
    <cellStyle name="custom 3" xfId="471" xr:uid="{00000000-0005-0000-0000-0000D7010000}"/>
    <cellStyle name="custom 4" xfId="472" xr:uid="{00000000-0005-0000-0000-0000D8010000}"/>
    <cellStyle name="custom 5" xfId="473" xr:uid="{00000000-0005-0000-0000-0000D9010000}"/>
    <cellStyle name="custom 6" xfId="474" xr:uid="{00000000-0005-0000-0000-0000DA010000}"/>
    <cellStyle name="custom 7" xfId="475" xr:uid="{00000000-0005-0000-0000-0000DB010000}"/>
    <cellStyle name="custom 8" xfId="476" xr:uid="{00000000-0005-0000-0000-0000DC010000}"/>
    <cellStyle name="D Table" xfId="477" xr:uid="{00000000-0005-0000-0000-0000DD010000}"/>
    <cellStyle name="Dash" xfId="478" xr:uid="{00000000-0005-0000-0000-0000DE010000}"/>
    <cellStyle name="Dash 2" xfId="479" xr:uid="{00000000-0005-0000-0000-0000DF010000}"/>
    <cellStyle name="Dash 3" xfId="480" xr:uid="{00000000-0005-0000-0000-0000E0010000}"/>
    <cellStyle name="Dash 4" xfId="481" xr:uid="{00000000-0005-0000-0000-0000E1010000}"/>
    <cellStyle name="Dash 5" xfId="482" xr:uid="{00000000-0005-0000-0000-0000E2010000}"/>
    <cellStyle name="Dash 6" xfId="483" xr:uid="{00000000-0005-0000-0000-0000E3010000}"/>
    <cellStyle name="Date" xfId="484" xr:uid="{00000000-0005-0000-0000-0000E4010000}"/>
    <cellStyle name="Date 2" xfId="485" xr:uid="{00000000-0005-0000-0000-0000E5010000}"/>
    <cellStyle name="Date 3" xfId="486" xr:uid="{00000000-0005-0000-0000-0000E6010000}"/>
    <cellStyle name="Date 4" xfId="487" xr:uid="{00000000-0005-0000-0000-0000E7010000}"/>
    <cellStyle name="Date 5" xfId="488" xr:uid="{00000000-0005-0000-0000-0000E8010000}"/>
    <cellStyle name="Date 6" xfId="489" xr:uid="{00000000-0005-0000-0000-0000E9010000}"/>
    <cellStyle name="Date 7" xfId="490" xr:uid="{00000000-0005-0000-0000-0000EA010000}"/>
    <cellStyle name="Date 8" xfId="491" xr:uid="{00000000-0005-0000-0000-0000EB010000}"/>
    <cellStyle name="Date Aligned" xfId="492" xr:uid="{00000000-0005-0000-0000-0000EC010000}"/>
    <cellStyle name="Date E" xfId="493" xr:uid="{00000000-0005-0000-0000-0000ED010000}"/>
    <cellStyle name="Date Short" xfId="494" xr:uid="{00000000-0005-0000-0000-0000EE010000}"/>
    <cellStyle name="Date_bby n" xfId="495" xr:uid="{00000000-0005-0000-0000-0000EF010000}"/>
    <cellStyle name="Date2" xfId="496" xr:uid="{00000000-0005-0000-0000-0000F0010000}"/>
    <cellStyle name="DEC 7PT 1" xfId="497" xr:uid="{00000000-0005-0000-0000-0000F1010000}"/>
    <cellStyle name="DEC 7PT 1 2" xfId="498" xr:uid="{00000000-0005-0000-0000-0000F2010000}"/>
    <cellStyle name="DEC 7PT 2" xfId="499" xr:uid="{00000000-0005-0000-0000-0000F3010000}"/>
    <cellStyle name="DEC 7PT 2 2" xfId="500" xr:uid="{00000000-0005-0000-0000-0000F4010000}"/>
    <cellStyle name="DEC 7PT 4" xfId="501" xr:uid="{00000000-0005-0000-0000-0000F5010000}"/>
    <cellStyle name="DEC 7PT 4 2" xfId="502" xr:uid="{00000000-0005-0000-0000-0000F6010000}"/>
    <cellStyle name="DEC 7PT 4A" xfId="503" xr:uid="{00000000-0005-0000-0000-0000F7010000}"/>
    <cellStyle name="DEC 7PT 4A 2" xfId="504" xr:uid="{00000000-0005-0000-0000-0000F8010000}"/>
    <cellStyle name="DEC 9PT 1" xfId="505" xr:uid="{00000000-0005-0000-0000-0000F9010000}"/>
    <cellStyle name="DEC 9PT 1 2" xfId="506" xr:uid="{00000000-0005-0000-0000-0000FA010000}"/>
    <cellStyle name="DEC 9PT 3" xfId="507" xr:uid="{00000000-0005-0000-0000-0000FB010000}"/>
    <cellStyle name="DEC 9PT 3 2" xfId="508" xr:uid="{00000000-0005-0000-0000-0000FC010000}"/>
    <cellStyle name="DEC 9PT 5" xfId="509" xr:uid="{00000000-0005-0000-0000-0000FD010000}"/>
    <cellStyle name="DEC 9PT 5 2" xfId="510" xr:uid="{00000000-0005-0000-0000-0000FE010000}"/>
    <cellStyle name="Decimal" xfId="511" xr:uid="{00000000-0005-0000-0000-0000FF010000}"/>
    <cellStyle name="decimal 1" xfId="512" xr:uid="{00000000-0005-0000-0000-000000020000}"/>
    <cellStyle name="Decimal 2" xfId="513" xr:uid="{00000000-0005-0000-0000-000001020000}"/>
    <cellStyle name="Dollar" xfId="514" xr:uid="{00000000-0005-0000-0000-000002020000}"/>
    <cellStyle name="Dollar 2" xfId="515" xr:uid="{00000000-0005-0000-0000-000003020000}"/>
    <cellStyle name="Dollar 3" xfId="516" xr:uid="{00000000-0005-0000-0000-000004020000}"/>
    <cellStyle name="Dollar 4" xfId="517" xr:uid="{00000000-0005-0000-0000-000005020000}"/>
    <cellStyle name="Dollar 5" xfId="518" xr:uid="{00000000-0005-0000-0000-000006020000}"/>
    <cellStyle name="Dollar 6" xfId="519" xr:uid="{00000000-0005-0000-0000-000007020000}"/>
    <cellStyle name="Dollars" xfId="520" xr:uid="{00000000-0005-0000-0000-000008020000}"/>
    <cellStyle name="Dotted Line" xfId="521" xr:uid="{00000000-0005-0000-0000-000009020000}"/>
    <cellStyle name="Enter Currency (0)" xfId="522" xr:uid="{00000000-0005-0000-0000-00000A020000}"/>
    <cellStyle name="Enter Currency (0) 2" xfId="523" xr:uid="{00000000-0005-0000-0000-00000B020000}"/>
    <cellStyle name="Enter Currency (0) 3" xfId="524" xr:uid="{00000000-0005-0000-0000-00000C020000}"/>
    <cellStyle name="Enter Currency (0) 4" xfId="525" xr:uid="{00000000-0005-0000-0000-00000D020000}"/>
    <cellStyle name="Enter Currency (0) 5" xfId="526" xr:uid="{00000000-0005-0000-0000-00000E020000}"/>
    <cellStyle name="Enter Currency (0) 6" xfId="527" xr:uid="{00000000-0005-0000-0000-00000F020000}"/>
    <cellStyle name="Enter Currency (0) 7" xfId="528" xr:uid="{00000000-0005-0000-0000-000010020000}"/>
    <cellStyle name="Enter Currency (0) 8" xfId="529" xr:uid="{00000000-0005-0000-0000-000011020000}"/>
    <cellStyle name="Enter Currency (0)_Help" xfId="530" xr:uid="{00000000-0005-0000-0000-000012020000}"/>
    <cellStyle name="Enter Currency (2)" xfId="531" xr:uid="{00000000-0005-0000-0000-000013020000}"/>
    <cellStyle name="Enter Currency (2) 2" xfId="532" xr:uid="{00000000-0005-0000-0000-000014020000}"/>
    <cellStyle name="Enter Currency (2) 3" xfId="533" xr:uid="{00000000-0005-0000-0000-000015020000}"/>
    <cellStyle name="Enter Currency (2) 4" xfId="534" xr:uid="{00000000-0005-0000-0000-000016020000}"/>
    <cellStyle name="Enter Currency (2) 5" xfId="535" xr:uid="{00000000-0005-0000-0000-000017020000}"/>
    <cellStyle name="Enter Currency (2) 6" xfId="536" xr:uid="{00000000-0005-0000-0000-000018020000}"/>
    <cellStyle name="Enter Currency (2) 7" xfId="537" xr:uid="{00000000-0005-0000-0000-000019020000}"/>
    <cellStyle name="Enter Currency (2) 8" xfId="538" xr:uid="{00000000-0005-0000-0000-00001A020000}"/>
    <cellStyle name="Enter Currency (2)_Help" xfId="539" xr:uid="{00000000-0005-0000-0000-00001B020000}"/>
    <cellStyle name="Enter Units (0)" xfId="540" xr:uid="{00000000-0005-0000-0000-00001C020000}"/>
    <cellStyle name="Enter Units (0) 2" xfId="541" xr:uid="{00000000-0005-0000-0000-00001D020000}"/>
    <cellStyle name="Enter Units (0) 3" xfId="542" xr:uid="{00000000-0005-0000-0000-00001E020000}"/>
    <cellStyle name="Enter Units (0) 4" xfId="543" xr:uid="{00000000-0005-0000-0000-00001F020000}"/>
    <cellStyle name="Enter Units (0) 5" xfId="544" xr:uid="{00000000-0005-0000-0000-000020020000}"/>
    <cellStyle name="Enter Units (0) 6" xfId="545" xr:uid="{00000000-0005-0000-0000-000021020000}"/>
    <cellStyle name="Enter Units (0) 7" xfId="546" xr:uid="{00000000-0005-0000-0000-000022020000}"/>
    <cellStyle name="Enter Units (0) 8" xfId="547" xr:uid="{00000000-0005-0000-0000-000023020000}"/>
    <cellStyle name="Enter Units (0)_Help" xfId="548" xr:uid="{00000000-0005-0000-0000-000024020000}"/>
    <cellStyle name="Enter Units (1)" xfId="549" xr:uid="{00000000-0005-0000-0000-000025020000}"/>
    <cellStyle name="Enter Units (1) 2" xfId="550" xr:uid="{00000000-0005-0000-0000-000026020000}"/>
    <cellStyle name="Enter Units (1) 3" xfId="551" xr:uid="{00000000-0005-0000-0000-000027020000}"/>
    <cellStyle name="Enter Units (1) 4" xfId="552" xr:uid="{00000000-0005-0000-0000-000028020000}"/>
    <cellStyle name="Enter Units (1) 5" xfId="553" xr:uid="{00000000-0005-0000-0000-000029020000}"/>
    <cellStyle name="Enter Units (1) 6" xfId="554" xr:uid="{00000000-0005-0000-0000-00002A020000}"/>
    <cellStyle name="Enter Units (1) 7" xfId="555" xr:uid="{00000000-0005-0000-0000-00002B020000}"/>
    <cellStyle name="Enter Units (1) 8" xfId="556" xr:uid="{00000000-0005-0000-0000-00002C020000}"/>
    <cellStyle name="Enter Units (1)_Help" xfId="557" xr:uid="{00000000-0005-0000-0000-00002D020000}"/>
    <cellStyle name="Enter Units (2)" xfId="558" xr:uid="{00000000-0005-0000-0000-00002E020000}"/>
    <cellStyle name="Enter Units (2) 2" xfId="559" xr:uid="{00000000-0005-0000-0000-00002F020000}"/>
    <cellStyle name="Enter Units (2) 3" xfId="560" xr:uid="{00000000-0005-0000-0000-000030020000}"/>
    <cellStyle name="Enter Units (2) 4" xfId="561" xr:uid="{00000000-0005-0000-0000-000031020000}"/>
    <cellStyle name="Enter Units (2) 5" xfId="562" xr:uid="{00000000-0005-0000-0000-000032020000}"/>
    <cellStyle name="Enter Units (2) 6" xfId="563" xr:uid="{00000000-0005-0000-0000-000033020000}"/>
    <cellStyle name="Enter Units (2) 7" xfId="564" xr:uid="{00000000-0005-0000-0000-000034020000}"/>
    <cellStyle name="Enter Units (2) 8" xfId="565" xr:uid="{00000000-0005-0000-0000-000035020000}"/>
    <cellStyle name="Enter Units (2)_Help" xfId="566" xr:uid="{00000000-0005-0000-0000-000036020000}"/>
    <cellStyle name="Euro" xfId="567" xr:uid="{00000000-0005-0000-0000-000037020000}"/>
    <cellStyle name="Euro 2" xfId="568" xr:uid="{00000000-0005-0000-0000-000038020000}"/>
    <cellStyle name="Euro 3" xfId="569" xr:uid="{00000000-0005-0000-0000-000039020000}"/>
    <cellStyle name="Euro 4" xfId="570" xr:uid="{00000000-0005-0000-0000-00003A020000}"/>
    <cellStyle name="Euro 5" xfId="571" xr:uid="{00000000-0005-0000-0000-00003B020000}"/>
    <cellStyle name="Euro 6" xfId="572" xr:uid="{00000000-0005-0000-0000-00003C020000}"/>
    <cellStyle name="EXHIBIT #" xfId="573" xr:uid="{00000000-0005-0000-0000-00003D020000}"/>
    <cellStyle name="EXHIBIT # 2" xfId="574" xr:uid="{00000000-0005-0000-0000-00003E020000}"/>
    <cellStyle name="Explanatory Text 2" xfId="575" xr:uid="{00000000-0005-0000-0000-00003F020000}"/>
    <cellStyle name="Explanatory Text 2 2" xfId="576" xr:uid="{00000000-0005-0000-0000-000040020000}"/>
    <cellStyle name="Explanatory Text 3" xfId="577" xr:uid="{00000000-0005-0000-0000-000041020000}"/>
    <cellStyle name="Explanatory Text 3 2" xfId="578" xr:uid="{00000000-0005-0000-0000-000042020000}"/>
    <cellStyle name="Explanatory Text 4" xfId="579" xr:uid="{00000000-0005-0000-0000-000043020000}"/>
    <cellStyle name="Explanatory Text 4 2" xfId="580" xr:uid="{00000000-0005-0000-0000-000044020000}"/>
    <cellStyle name="Explanatory Text 5" xfId="581" xr:uid="{00000000-0005-0000-0000-000045020000}"/>
    <cellStyle name="Explanatory Text 5 2" xfId="582" xr:uid="{00000000-0005-0000-0000-000046020000}"/>
    <cellStyle name="External File Cells" xfId="583" xr:uid="{00000000-0005-0000-0000-000047020000}"/>
    <cellStyle name="External File Cells 2" xfId="584" xr:uid="{00000000-0005-0000-0000-000048020000}"/>
    <cellStyle name="External File Cells 3" xfId="585" xr:uid="{00000000-0005-0000-0000-000049020000}"/>
    <cellStyle name="External File Cells 4" xfId="586" xr:uid="{00000000-0005-0000-0000-00004A020000}"/>
    <cellStyle name="External File Cells 5" xfId="587" xr:uid="{00000000-0005-0000-0000-00004B020000}"/>
    <cellStyle name="External File Cells 6" xfId="588" xr:uid="{00000000-0005-0000-0000-00004C020000}"/>
    <cellStyle name="fbnumber" xfId="589" xr:uid="{00000000-0005-0000-0000-00004D020000}"/>
    <cellStyle name="fbnumber 2" xfId="590" xr:uid="{00000000-0005-0000-0000-00004E020000}"/>
    <cellStyle name="fbnumber 3" xfId="591" xr:uid="{00000000-0005-0000-0000-00004F020000}"/>
    <cellStyle name="fbnumber 4" xfId="592" xr:uid="{00000000-0005-0000-0000-000050020000}"/>
    <cellStyle name="fbnumber 5" xfId="593" xr:uid="{00000000-0005-0000-0000-000051020000}"/>
    <cellStyle name="fbnumber 6" xfId="594" xr:uid="{00000000-0005-0000-0000-000052020000}"/>
    <cellStyle name="FieldName" xfId="595" xr:uid="{00000000-0005-0000-0000-000053020000}"/>
    <cellStyle name="FieldName 2" xfId="596" xr:uid="{00000000-0005-0000-0000-000054020000}"/>
    <cellStyle name="Fixed" xfId="597" xr:uid="{00000000-0005-0000-0000-000055020000}"/>
    <cellStyle name="Fixed 2" xfId="598" xr:uid="{00000000-0005-0000-0000-000056020000}"/>
    <cellStyle name="Fixed 3" xfId="599" xr:uid="{00000000-0005-0000-0000-000057020000}"/>
    <cellStyle name="Fixed 4" xfId="600" xr:uid="{00000000-0005-0000-0000-000058020000}"/>
    <cellStyle name="Fixed 5" xfId="601" xr:uid="{00000000-0005-0000-0000-000059020000}"/>
    <cellStyle name="Fixed 6" xfId="602" xr:uid="{00000000-0005-0000-0000-00005A020000}"/>
    <cellStyle name="Fixed 7" xfId="603" xr:uid="{00000000-0005-0000-0000-00005B020000}"/>
    <cellStyle name="Fixed 8" xfId="604" xr:uid="{00000000-0005-0000-0000-00005C020000}"/>
    <cellStyle name="FOOTNOTE" xfId="605" xr:uid="{00000000-0005-0000-0000-00005D020000}"/>
    <cellStyle name="FOOTNOTE 2" xfId="606" xr:uid="{00000000-0005-0000-0000-00005E020000}"/>
    <cellStyle name="Forecast Cells" xfId="607" xr:uid="{00000000-0005-0000-0000-00005F020000}"/>
    <cellStyle name="Forecast Cells 2" xfId="608" xr:uid="{00000000-0005-0000-0000-000060020000}"/>
    <cellStyle name="Forecast Cells 3" xfId="609" xr:uid="{00000000-0005-0000-0000-000061020000}"/>
    <cellStyle name="Forecast Cells 4" xfId="610" xr:uid="{00000000-0005-0000-0000-000062020000}"/>
    <cellStyle name="Forecast Cells 5" xfId="611" xr:uid="{00000000-0005-0000-0000-000063020000}"/>
    <cellStyle name="Forecast Cells 6" xfId="612" xr:uid="{00000000-0005-0000-0000-000064020000}"/>
    <cellStyle name="G02 Table Text" xfId="613" xr:uid="{00000000-0005-0000-0000-000065020000}"/>
    <cellStyle name="G02 Table Text 2" xfId="614" xr:uid="{00000000-0005-0000-0000-000066020000}"/>
    <cellStyle name="G02 Table Text 3" xfId="615" xr:uid="{00000000-0005-0000-0000-000067020000}"/>
    <cellStyle name="G02 Table Text 4" xfId="616" xr:uid="{00000000-0005-0000-0000-000068020000}"/>
    <cellStyle name="G02 Table Text 5" xfId="617" xr:uid="{00000000-0005-0000-0000-000069020000}"/>
    <cellStyle name="G02 Table Text 6" xfId="618" xr:uid="{00000000-0005-0000-0000-00006A020000}"/>
    <cellStyle name="G04_Main head" xfId="619" xr:uid="{00000000-0005-0000-0000-00006B020000}"/>
    <cellStyle name="G05 Tab Head Bold" xfId="620" xr:uid="{00000000-0005-0000-0000-00006C020000}"/>
    <cellStyle name="G05 Tab Head Bold 2" xfId="621" xr:uid="{00000000-0005-0000-0000-00006D020000}"/>
    <cellStyle name="G05 Tab Head Bold 3" xfId="622" xr:uid="{00000000-0005-0000-0000-00006E020000}"/>
    <cellStyle name="G05 Tab Head Bold 4" xfId="623" xr:uid="{00000000-0005-0000-0000-00006F020000}"/>
    <cellStyle name="G05 Tab Head Bold 5" xfId="624" xr:uid="{00000000-0005-0000-0000-000070020000}"/>
    <cellStyle name="G05 Tab Head Bold 6" xfId="625" xr:uid="{00000000-0005-0000-0000-000071020000}"/>
    <cellStyle name="G05 Tab Head Bold 7" xfId="626" xr:uid="{00000000-0005-0000-0000-000072020000}"/>
    <cellStyle name="G05 Tab Head Bold 8" xfId="627" xr:uid="{00000000-0005-0000-0000-000073020000}"/>
    <cellStyle name="G05 Tab Head Bold_Help" xfId="628" xr:uid="{00000000-0005-0000-0000-000074020000}"/>
    <cellStyle name="G05 Tab Head Light" xfId="629" xr:uid="{00000000-0005-0000-0000-000075020000}"/>
    <cellStyle name="G05 Tab Head Light 2" xfId="630" xr:uid="{00000000-0005-0000-0000-000076020000}"/>
    <cellStyle name="G05 Tab Head Light 3" xfId="631" xr:uid="{00000000-0005-0000-0000-000077020000}"/>
    <cellStyle name="G05 Tab Head Light 4" xfId="632" xr:uid="{00000000-0005-0000-0000-000078020000}"/>
    <cellStyle name="G05 Tab Head Light 5" xfId="633" xr:uid="{00000000-0005-0000-0000-000079020000}"/>
    <cellStyle name="G05 Tab Head Light 6" xfId="634" xr:uid="{00000000-0005-0000-0000-00007A020000}"/>
    <cellStyle name="G05 Tab Head Light 7" xfId="635" xr:uid="{00000000-0005-0000-0000-00007B020000}"/>
    <cellStyle name="G05 Tab Head Light 8" xfId="636" xr:uid="{00000000-0005-0000-0000-00007C020000}"/>
    <cellStyle name="G05 Tab Head Light_Help" xfId="637" xr:uid="{00000000-0005-0000-0000-00007D020000}"/>
    <cellStyle name="G1_1999 figures" xfId="638" xr:uid="{00000000-0005-0000-0000-00007E020000}"/>
    <cellStyle name="Good 2" xfId="639" xr:uid="{00000000-0005-0000-0000-00007F020000}"/>
    <cellStyle name="Good 2 2" xfId="640" xr:uid="{00000000-0005-0000-0000-000080020000}"/>
    <cellStyle name="Good 3" xfId="641" xr:uid="{00000000-0005-0000-0000-000081020000}"/>
    <cellStyle name="Good 3 2" xfId="642" xr:uid="{00000000-0005-0000-0000-000082020000}"/>
    <cellStyle name="Good 4" xfId="643" xr:uid="{00000000-0005-0000-0000-000083020000}"/>
    <cellStyle name="Good 4 2" xfId="644" xr:uid="{00000000-0005-0000-0000-000084020000}"/>
    <cellStyle name="Good 5" xfId="645" xr:uid="{00000000-0005-0000-0000-000085020000}"/>
    <cellStyle name="Good 5 2" xfId="646" xr:uid="{00000000-0005-0000-0000-000086020000}"/>
    <cellStyle name="grayText2" xfId="647" xr:uid="{00000000-0005-0000-0000-000087020000}"/>
    <cellStyle name="grayText2 2" xfId="648" xr:uid="{00000000-0005-0000-0000-000088020000}"/>
    <cellStyle name="grayText2 3" xfId="649" xr:uid="{00000000-0005-0000-0000-000089020000}"/>
    <cellStyle name="grayText2 4" xfId="650" xr:uid="{00000000-0005-0000-0000-00008A020000}"/>
    <cellStyle name="grayText2 5" xfId="651" xr:uid="{00000000-0005-0000-0000-00008B020000}"/>
    <cellStyle name="grayText2 6" xfId="652" xr:uid="{00000000-0005-0000-0000-00008C020000}"/>
    <cellStyle name="grayText2Big" xfId="653" xr:uid="{00000000-0005-0000-0000-00008D020000}"/>
    <cellStyle name="grayText2Big 2" xfId="654" xr:uid="{00000000-0005-0000-0000-00008E020000}"/>
    <cellStyle name="Green" xfId="655" xr:uid="{00000000-0005-0000-0000-00008F020000}"/>
    <cellStyle name="Grey" xfId="656" xr:uid="{00000000-0005-0000-0000-000090020000}"/>
    <cellStyle name="H_1998_col_head" xfId="657" xr:uid="{00000000-0005-0000-0000-000091020000}"/>
    <cellStyle name="H_1998_col_head 2" xfId="658" xr:uid="{00000000-0005-0000-0000-000092020000}"/>
    <cellStyle name="H_1999_col_head" xfId="659" xr:uid="{00000000-0005-0000-0000-000093020000}"/>
    <cellStyle name="H1_1998 figures" xfId="660" xr:uid="{00000000-0005-0000-0000-000094020000}"/>
    <cellStyle name="hard no" xfId="661" xr:uid="{00000000-0005-0000-0000-000095020000}"/>
    <cellStyle name="hard no 2" xfId="662" xr:uid="{00000000-0005-0000-0000-000096020000}"/>
    <cellStyle name="hard no 3" xfId="663" xr:uid="{00000000-0005-0000-0000-000097020000}"/>
    <cellStyle name="hard no 4" xfId="664" xr:uid="{00000000-0005-0000-0000-000098020000}"/>
    <cellStyle name="hard no 5" xfId="665" xr:uid="{00000000-0005-0000-0000-000099020000}"/>
    <cellStyle name="hard no 6" xfId="666" xr:uid="{00000000-0005-0000-0000-00009A020000}"/>
    <cellStyle name="Hard Percent" xfId="667" xr:uid="{00000000-0005-0000-0000-00009B020000}"/>
    <cellStyle name="hardno" xfId="668" xr:uid="{00000000-0005-0000-0000-00009C020000}"/>
    <cellStyle name="HEADER" xfId="669" xr:uid="{00000000-0005-0000-0000-00009D020000}"/>
    <cellStyle name="Header1" xfId="670" xr:uid="{00000000-0005-0000-0000-00009E020000}"/>
    <cellStyle name="Header1 2" xfId="671" xr:uid="{00000000-0005-0000-0000-00009F020000}"/>
    <cellStyle name="Header1 3" xfId="672" xr:uid="{00000000-0005-0000-0000-0000A0020000}"/>
    <cellStyle name="Header1 4" xfId="673" xr:uid="{00000000-0005-0000-0000-0000A1020000}"/>
    <cellStyle name="Header1 5" xfId="674" xr:uid="{00000000-0005-0000-0000-0000A2020000}"/>
    <cellStyle name="Header1 6" xfId="675" xr:uid="{00000000-0005-0000-0000-0000A3020000}"/>
    <cellStyle name="Header2" xfId="676" xr:uid="{00000000-0005-0000-0000-0000A4020000}"/>
    <cellStyle name="Header2 2" xfId="677" xr:uid="{00000000-0005-0000-0000-0000A5020000}"/>
    <cellStyle name="Header2 3" xfId="678" xr:uid="{00000000-0005-0000-0000-0000A6020000}"/>
    <cellStyle name="Header2 4" xfId="679" xr:uid="{00000000-0005-0000-0000-0000A7020000}"/>
    <cellStyle name="Header2 5" xfId="680" xr:uid="{00000000-0005-0000-0000-0000A8020000}"/>
    <cellStyle name="Header2 6" xfId="681" xr:uid="{00000000-0005-0000-0000-0000A9020000}"/>
    <cellStyle name="Heading 1 2" xfId="682" xr:uid="{00000000-0005-0000-0000-0000AA020000}"/>
    <cellStyle name="Heading 1 2 2" xfId="683" xr:uid="{00000000-0005-0000-0000-0000AB020000}"/>
    <cellStyle name="Heading 1 2 2 2" xfId="684" xr:uid="{00000000-0005-0000-0000-0000AC020000}"/>
    <cellStyle name="Heading 1 2 2 3" xfId="685" xr:uid="{00000000-0005-0000-0000-0000AD020000}"/>
    <cellStyle name="Heading 1 2 3" xfId="686" xr:uid="{00000000-0005-0000-0000-0000AE020000}"/>
    <cellStyle name="Heading 1 2 4" xfId="687" xr:uid="{00000000-0005-0000-0000-0000AF020000}"/>
    <cellStyle name="Heading 1 2 5" xfId="688" xr:uid="{00000000-0005-0000-0000-0000B0020000}"/>
    <cellStyle name="Heading 1 2 6" xfId="689" xr:uid="{00000000-0005-0000-0000-0000B1020000}"/>
    <cellStyle name="Heading 1 2 7" xfId="690" xr:uid="{00000000-0005-0000-0000-0000B2020000}"/>
    <cellStyle name="Heading 1 2 8" xfId="691" xr:uid="{00000000-0005-0000-0000-0000B3020000}"/>
    <cellStyle name="Heading 1 3" xfId="692" xr:uid="{00000000-0005-0000-0000-0000B4020000}"/>
    <cellStyle name="Heading 1 3 2" xfId="693" xr:uid="{00000000-0005-0000-0000-0000B5020000}"/>
    <cellStyle name="Heading 1 3 3" xfId="694" xr:uid="{00000000-0005-0000-0000-0000B6020000}"/>
    <cellStyle name="Heading 1 3 4" xfId="695" xr:uid="{00000000-0005-0000-0000-0000B7020000}"/>
    <cellStyle name="Heading 1 4" xfId="696" xr:uid="{00000000-0005-0000-0000-0000B8020000}"/>
    <cellStyle name="Heading 1 4 2" xfId="697" xr:uid="{00000000-0005-0000-0000-0000B9020000}"/>
    <cellStyle name="Heading 1 4 3" xfId="698" xr:uid="{00000000-0005-0000-0000-0000BA020000}"/>
    <cellStyle name="Heading 1 4 4" xfId="699" xr:uid="{00000000-0005-0000-0000-0000BB020000}"/>
    <cellStyle name="Heading 1 5" xfId="700" xr:uid="{00000000-0005-0000-0000-0000BC020000}"/>
    <cellStyle name="Heading 1 5 2" xfId="701" xr:uid="{00000000-0005-0000-0000-0000BD020000}"/>
    <cellStyle name="Heading 1 5 3" xfId="702" xr:uid="{00000000-0005-0000-0000-0000BE020000}"/>
    <cellStyle name="Heading 1 5 4" xfId="703" xr:uid="{00000000-0005-0000-0000-0000BF020000}"/>
    <cellStyle name="Heading 1 6" xfId="704" xr:uid="{00000000-0005-0000-0000-0000C0020000}"/>
    <cellStyle name="Heading 2 2" xfId="705" xr:uid="{00000000-0005-0000-0000-0000C1020000}"/>
    <cellStyle name="Heading 2 2 2" xfId="706" xr:uid="{00000000-0005-0000-0000-0000C2020000}"/>
    <cellStyle name="Heading 2 2 2 2" xfId="707" xr:uid="{00000000-0005-0000-0000-0000C3020000}"/>
    <cellStyle name="Heading 2 2 2 3" xfId="708" xr:uid="{00000000-0005-0000-0000-0000C4020000}"/>
    <cellStyle name="Heading 2 2 3" xfId="709" xr:uid="{00000000-0005-0000-0000-0000C5020000}"/>
    <cellStyle name="Heading 2 2 4" xfId="710" xr:uid="{00000000-0005-0000-0000-0000C6020000}"/>
    <cellStyle name="Heading 2 2 5" xfId="711" xr:uid="{00000000-0005-0000-0000-0000C7020000}"/>
    <cellStyle name="Heading 2 2 6" xfId="712" xr:uid="{00000000-0005-0000-0000-0000C8020000}"/>
    <cellStyle name="Heading 2 2 7" xfId="713" xr:uid="{00000000-0005-0000-0000-0000C9020000}"/>
    <cellStyle name="Heading 2 2 8" xfId="714" xr:uid="{00000000-0005-0000-0000-0000CA020000}"/>
    <cellStyle name="Heading 2 3" xfId="715" xr:uid="{00000000-0005-0000-0000-0000CB020000}"/>
    <cellStyle name="Heading 2 3 2" xfId="716" xr:uid="{00000000-0005-0000-0000-0000CC020000}"/>
    <cellStyle name="Heading 2 3 3" xfId="717" xr:uid="{00000000-0005-0000-0000-0000CD020000}"/>
    <cellStyle name="Heading 2 3 4" xfId="718" xr:uid="{00000000-0005-0000-0000-0000CE020000}"/>
    <cellStyle name="Heading 2 4" xfId="719" xr:uid="{00000000-0005-0000-0000-0000CF020000}"/>
    <cellStyle name="Heading 2 4 2" xfId="720" xr:uid="{00000000-0005-0000-0000-0000D0020000}"/>
    <cellStyle name="Heading 2 4 3" xfId="721" xr:uid="{00000000-0005-0000-0000-0000D1020000}"/>
    <cellStyle name="Heading 2 4 4" xfId="722" xr:uid="{00000000-0005-0000-0000-0000D2020000}"/>
    <cellStyle name="Heading 2 5" xfId="723" xr:uid="{00000000-0005-0000-0000-0000D3020000}"/>
    <cellStyle name="Heading 2 5 2" xfId="724" xr:uid="{00000000-0005-0000-0000-0000D4020000}"/>
    <cellStyle name="Heading 2 5 3" xfId="725" xr:uid="{00000000-0005-0000-0000-0000D5020000}"/>
    <cellStyle name="Heading 2 5 4" xfId="726" xr:uid="{00000000-0005-0000-0000-0000D6020000}"/>
    <cellStyle name="Heading 2 6" xfId="727" xr:uid="{00000000-0005-0000-0000-0000D7020000}"/>
    <cellStyle name="Heading 3 2" xfId="728" xr:uid="{00000000-0005-0000-0000-0000D8020000}"/>
    <cellStyle name="Heading 3 2 2" xfId="729" xr:uid="{00000000-0005-0000-0000-0000D9020000}"/>
    <cellStyle name="Heading 3 2 3" xfId="730" xr:uid="{00000000-0005-0000-0000-0000DA020000}"/>
    <cellStyle name="Heading 3 2 4" xfId="731" xr:uid="{00000000-0005-0000-0000-0000DB020000}"/>
    <cellStyle name="Heading 3 3" xfId="732" xr:uid="{00000000-0005-0000-0000-0000DC020000}"/>
    <cellStyle name="Heading 3 3 2" xfId="733" xr:uid="{00000000-0005-0000-0000-0000DD020000}"/>
    <cellStyle name="Heading 3 3 3" xfId="734" xr:uid="{00000000-0005-0000-0000-0000DE020000}"/>
    <cellStyle name="Heading 3 3 4" xfId="735" xr:uid="{00000000-0005-0000-0000-0000DF020000}"/>
    <cellStyle name="Heading 3 4" xfId="736" xr:uid="{00000000-0005-0000-0000-0000E0020000}"/>
    <cellStyle name="Heading 3 4 2" xfId="737" xr:uid="{00000000-0005-0000-0000-0000E1020000}"/>
    <cellStyle name="Heading 3 4 3" xfId="738" xr:uid="{00000000-0005-0000-0000-0000E2020000}"/>
    <cellStyle name="Heading 3 4 4" xfId="739" xr:uid="{00000000-0005-0000-0000-0000E3020000}"/>
    <cellStyle name="Heading 3 5" xfId="740" xr:uid="{00000000-0005-0000-0000-0000E4020000}"/>
    <cellStyle name="Heading 3 5 2" xfId="741" xr:uid="{00000000-0005-0000-0000-0000E5020000}"/>
    <cellStyle name="Heading 3 5 3" xfId="742" xr:uid="{00000000-0005-0000-0000-0000E6020000}"/>
    <cellStyle name="Heading 3 5 4" xfId="743" xr:uid="{00000000-0005-0000-0000-0000E7020000}"/>
    <cellStyle name="Heading 3 6" xfId="744" xr:uid="{00000000-0005-0000-0000-0000E8020000}"/>
    <cellStyle name="Heading 4 2" xfId="745" xr:uid="{00000000-0005-0000-0000-0000E9020000}"/>
    <cellStyle name="Heading 4 2 2" xfId="746" xr:uid="{00000000-0005-0000-0000-0000EA020000}"/>
    <cellStyle name="Heading 4 3" xfId="747" xr:uid="{00000000-0005-0000-0000-0000EB020000}"/>
    <cellStyle name="Heading 4 3 2" xfId="748" xr:uid="{00000000-0005-0000-0000-0000EC020000}"/>
    <cellStyle name="Heading 4 4" xfId="749" xr:uid="{00000000-0005-0000-0000-0000ED020000}"/>
    <cellStyle name="Heading 4 4 2" xfId="750" xr:uid="{00000000-0005-0000-0000-0000EE020000}"/>
    <cellStyle name="Heading 4 5" xfId="751" xr:uid="{00000000-0005-0000-0000-0000EF020000}"/>
    <cellStyle name="Heading 4 5 2" xfId="752" xr:uid="{00000000-0005-0000-0000-0000F0020000}"/>
    <cellStyle name="Heading1" xfId="753" xr:uid="{00000000-0005-0000-0000-0000F1020000}"/>
    <cellStyle name="Heading1 2" xfId="754" xr:uid="{00000000-0005-0000-0000-0000F2020000}"/>
    <cellStyle name="Heading1 3" xfId="755" xr:uid="{00000000-0005-0000-0000-0000F3020000}"/>
    <cellStyle name="Heading1 4" xfId="756" xr:uid="{00000000-0005-0000-0000-0000F4020000}"/>
    <cellStyle name="Heading1 5" xfId="757" xr:uid="{00000000-0005-0000-0000-0000F5020000}"/>
    <cellStyle name="Heading1 6" xfId="758" xr:uid="{00000000-0005-0000-0000-0000F6020000}"/>
    <cellStyle name="Input [yellow]" xfId="760" xr:uid="{00000000-0005-0000-0000-0000F8020000}"/>
    <cellStyle name="Input 2" xfId="761" xr:uid="{00000000-0005-0000-0000-0000F9020000}"/>
    <cellStyle name="Input 2 2" xfId="762" xr:uid="{00000000-0005-0000-0000-0000FA020000}"/>
    <cellStyle name="Input 2 3" xfId="763" xr:uid="{00000000-0005-0000-0000-0000FB020000}"/>
    <cellStyle name="Input 2 4" xfId="764" xr:uid="{00000000-0005-0000-0000-0000FC020000}"/>
    <cellStyle name="Input 3" xfId="765" xr:uid="{00000000-0005-0000-0000-0000FD020000}"/>
    <cellStyle name="Input 3 2" xfId="766" xr:uid="{00000000-0005-0000-0000-0000FE020000}"/>
    <cellStyle name="Input 3 3" xfId="767" xr:uid="{00000000-0005-0000-0000-0000FF020000}"/>
    <cellStyle name="Input 3 4" xfId="768" xr:uid="{00000000-0005-0000-0000-000000030000}"/>
    <cellStyle name="Input 4" xfId="769" xr:uid="{00000000-0005-0000-0000-000001030000}"/>
    <cellStyle name="Input 4 2" xfId="770" xr:uid="{00000000-0005-0000-0000-000002030000}"/>
    <cellStyle name="Input 4 3" xfId="771" xr:uid="{00000000-0005-0000-0000-000003030000}"/>
    <cellStyle name="Input 4 4" xfId="772" xr:uid="{00000000-0005-0000-0000-000004030000}"/>
    <cellStyle name="Input 5" xfId="773" xr:uid="{00000000-0005-0000-0000-000005030000}"/>
    <cellStyle name="Input 5 2" xfId="774" xr:uid="{00000000-0005-0000-0000-000006030000}"/>
    <cellStyle name="Input 5 3" xfId="775" xr:uid="{00000000-0005-0000-0000-000007030000}"/>
    <cellStyle name="Input 5 4" xfId="776" xr:uid="{00000000-0005-0000-0000-000008030000}"/>
    <cellStyle name="Input 6" xfId="777" xr:uid="{00000000-0005-0000-0000-000009030000}"/>
    <cellStyle name="Input Cells" xfId="778" xr:uid="{00000000-0005-0000-0000-00000A030000}"/>
    <cellStyle name="Input Cells 2" xfId="779" xr:uid="{00000000-0005-0000-0000-00000B030000}"/>
    <cellStyle name="InputBlueFont" xfId="780" xr:uid="{00000000-0005-0000-0000-00000C030000}"/>
    <cellStyle name="Integer" xfId="781" xr:uid="{00000000-0005-0000-0000-00000D030000}"/>
    <cellStyle name="Komma" xfId="377" builtinId="3"/>
    <cellStyle name="LEFT 7" xfId="782" xr:uid="{00000000-0005-0000-0000-00000E030000}"/>
    <cellStyle name="LEFT 7 2" xfId="783" xr:uid="{00000000-0005-0000-0000-00000F030000}"/>
    <cellStyle name="LEFT 7 SPACE2" xfId="784" xr:uid="{00000000-0005-0000-0000-000010030000}"/>
    <cellStyle name="LEFT 7 SPACE2 2" xfId="785" xr:uid="{00000000-0005-0000-0000-000011030000}"/>
    <cellStyle name="LEFT 7 SPACEA" xfId="786" xr:uid="{00000000-0005-0000-0000-000012030000}"/>
    <cellStyle name="LEFT 7 SPACEA 2" xfId="787" xr:uid="{00000000-0005-0000-0000-000013030000}"/>
    <cellStyle name="LEFT 7 SPACER" xfId="788" xr:uid="{00000000-0005-0000-0000-000014030000}"/>
    <cellStyle name="LEFT 7 SPACER 2" xfId="789" xr:uid="{00000000-0005-0000-0000-000015030000}"/>
    <cellStyle name="LEFT 7A" xfId="790" xr:uid="{00000000-0005-0000-0000-000016030000}"/>
    <cellStyle name="LEFT 7A 2" xfId="791" xr:uid="{00000000-0005-0000-0000-000017030000}"/>
    <cellStyle name="LEFT 9" xfId="792" xr:uid="{00000000-0005-0000-0000-000018030000}"/>
    <cellStyle name="LEFT 9 2" xfId="793" xr:uid="{00000000-0005-0000-0000-000019030000}"/>
    <cellStyle name="LEFT 9 SPACER" xfId="794" xr:uid="{00000000-0005-0000-0000-00001A030000}"/>
    <cellStyle name="LEFT 9 SPACER 2" xfId="795" xr:uid="{00000000-0005-0000-0000-00001B030000}"/>
    <cellStyle name="Link" xfId="759" builtinId="8"/>
    <cellStyle name="Link Currency (0)" xfId="796" xr:uid="{00000000-0005-0000-0000-00001C030000}"/>
    <cellStyle name="Link Currency (0) 2" xfId="797" xr:uid="{00000000-0005-0000-0000-00001D030000}"/>
    <cellStyle name="Link Currency (0) 3" xfId="798" xr:uid="{00000000-0005-0000-0000-00001E030000}"/>
    <cellStyle name="Link Currency (0) 4" xfId="799" xr:uid="{00000000-0005-0000-0000-00001F030000}"/>
    <cellStyle name="Link Currency (0) 5" xfId="800" xr:uid="{00000000-0005-0000-0000-000020030000}"/>
    <cellStyle name="Link Currency (0) 6" xfId="801" xr:uid="{00000000-0005-0000-0000-000021030000}"/>
    <cellStyle name="Link Currency (0) 7" xfId="802" xr:uid="{00000000-0005-0000-0000-000022030000}"/>
    <cellStyle name="Link Currency (0) 8" xfId="803" xr:uid="{00000000-0005-0000-0000-000023030000}"/>
    <cellStyle name="Link Currency (0)_Help" xfId="804" xr:uid="{00000000-0005-0000-0000-000024030000}"/>
    <cellStyle name="Link Currency (2)" xfId="805" xr:uid="{00000000-0005-0000-0000-000025030000}"/>
    <cellStyle name="Link Currency (2) 2" xfId="806" xr:uid="{00000000-0005-0000-0000-000026030000}"/>
    <cellStyle name="Link Currency (2) 3" xfId="807" xr:uid="{00000000-0005-0000-0000-000027030000}"/>
    <cellStyle name="Link Currency (2) 4" xfId="808" xr:uid="{00000000-0005-0000-0000-000028030000}"/>
    <cellStyle name="Link Currency (2) 5" xfId="809" xr:uid="{00000000-0005-0000-0000-000029030000}"/>
    <cellStyle name="Link Currency (2) 6" xfId="810" xr:uid="{00000000-0005-0000-0000-00002A030000}"/>
    <cellStyle name="Link Currency (2) 7" xfId="811" xr:uid="{00000000-0005-0000-0000-00002B030000}"/>
    <cellStyle name="Link Currency (2) 8" xfId="812" xr:uid="{00000000-0005-0000-0000-00002C030000}"/>
    <cellStyle name="Link Currency (2)_Help" xfId="813" xr:uid="{00000000-0005-0000-0000-00002D030000}"/>
    <cellStyle name="Link Units (0)" xfId="814" xr:uid="{00000000-0005-0000-0000-00002E030000}"/>
    <cellStyle name="Link Units (0) 2" xfId="815" xr:uid="{00000000-0005-0000-0000-00002F030000}"/>
    <cellStyle name="Link Units (0) 3" xfId="816" xr:uid="{00000000-0005-0000-0000-000030030000}"/>
    <cellStyle name="Link Units (0) 4" xfId="817" xr:uid="{00000000-0005-0000-0000-000031030000}"/>
    <cellStyle name="Link Units (0) 5" xfId="818" xr:uid="{00000000-0005-0000-0000-000032030000}"/>
    <cellStyle name="Link Units (0) 6" xfId="819" xr:uid="{00000000-0005-0000-0000-000033030000}"/>
    <cellStyle name="Link Units (0) 7" xfId="820" xr:uid="{00000000-0005-0000-0000-000034030000}"/>
    <cellStyle name="Link Units (0) 8" xfId="821" xr:uid="{00000000-0005-0000-0000-000035030000}"/>
    <cellStyle name="Link Units (0)_Help" xfId="822" xr:uid="{00000000-0005-0000-0000-000036030000}"/>
    <cellStyle name="Link Units (1)" xfId="823" xr:uid="{00000000-0005-0000-0000-000037030000}"/>
    <cellStyle name="Link Units (1) 2" xfId="824" xr:uid="{00000000-0005-0000-0000-000038030000}"/>
    <cellStyle name="Link Units (1) 3" xfId="825" xr:uid="{00000000-0005-0000-0000-000039030000}"/>
    <cellStyle name="Link Units (1) 4" xfId="826" xr:uid="{00000000-0005-0000-0000-00003A030000}"/>
    <cellStyle name="Link Units (1) 5" xfId="827" xr:uid="{00000000-0005-0000-0000-00003B030000}"/>
    <cellStyle name="Link Units (1) 6" xfId="828" xr:uid="{00000000-0005-0000-0000-00003C030000}"/>
    <cellStyle name="Link Units (1) 7" xfId="829" xr:uid="{00000000-0005-0000-0000-00003D030000}"/>
    <cellStyle name="Link Units (1) 8" xfId="830" xr:uid="{00000000-0005-0000-0000-00003E030000}"/>
    <cellStyle name="Link Units (1)_Help" xfId="831" xr:uid="{00000000-0005-0000-0000-00003F030000}"/>
    <cellStyle name="Link Units (2)" xfId="832" xr:uid="{00000000-0005-0000-0000-000040030000}"/>
    <cellStyle name="Link Units (2) 2" xfId="833" xr:uid="{00000000-0005-0000-0000-000041030000}"/>
    <cellStyle name="Link Units (2) 3" xfId="834" xr:uid="{00000000-0005-0000-0000-000042030000}"/>
    <cellStyle name="Link Units (2) 4" xfId="835" xr:uid="{00000000-0005-0000-0000-000043030000}"/>
    <cellStyle name="Link Units (2) 5" xfId="836" xr:uid="{00000000-0005-0000-0000-000044030000}"/>
    <cellStyle name="Link Units (2) 6" xfId="837" xr:uid="{00000000-0005-0000-0000-000045030000}"/>
    <cellStyle name="Link Units (2) 7" xfId="838" xr:uid="{00000000-0005-0000-0000-000046030000}"/>
    <cellStyle name="Link Units (2) 8" xfId="839" xr:uid="{00000000-0005-0000-0000-000047030000}"/>
    <cellStyle name="Link Units (2)_Help" xfId="840" xr:uid="{00000000-0005-0000-0000-000048030000}"/>
    <cellStyle name="Linked Cell 2" xfId="841" xr:uid="{00000000-0005-0000-0000-000049030000}"/>
    <cellStyle name="Linked Cell 2 2" xfId="842" xr:uid="{00000000-0005-0000-0000-00004A030000}"/>
    <cellStyle name="Linked Cell 3" xfId="843" xr:uid="{00000000-0005-0000-0000-00004B030000}"/>
    <cellStyle name="Linked Cell 3 2" xfId="844" xr:uid="{00000000-0005-0000-0000-00004C030000}"/>
    <cellStyle name="Linked Cell 4" xfId="845" xr:uid="{00000000-0005-0000-0000-00004D030000}"/>
    <cellStyle name="Linked Cell 4 2" xfId="846" xr:uid="{00000000-0005-0000-0000-00004E030000}"/>
    <cellStyle name="Linked Cell 5" xfId="847" xr:uid="{00000000-0005-0000-0000-00004F030000}"/>
    <cellStyle name="Linked Cell 5 2" xfId="848" xr:uid="{00000000-0005-0000-0000-000050030000}"/>
    <cellStyle name="Mainhead" xfId="849" xr:uid="{00000000-0005-0000-0000-000051030000}"/>
    <cellStyle name="Milliers [0]_!!!GO" xfId="850" xr:uid="{00000000-0005-0000-0000-000052030000}"/>
    <cellStyle name="Milliers_!!!GO" xfId="851" xr:uid="{00000000-0005-0000-0000-000053030000}"/>
    <cellStyle name="Model" xfId="852" xr:uid="{00000000-0005-0000-0000-000054030000}"/>
    <cellStyle name="Monétaire [0]_!!!GO" xfId="853" xr:uid="{00000000-0005-0000-0000-000055030000}"/>
    <cellStyle name="Monétaire_!!!GO" xfId="854" xr:uid="{00000000-0005-0000-0000-000056030000}"/>
    <cellStyle name="MonthYears" xfId="855" xr:uid="{00000000-0005-0000-0000-000057030000}"/>
    <cellStyle name="Multiple" xfId="856" xr:uid="{00000000-0005-0000-0000-000058030000}"/>
    <cellStyle name="Multiple 2" xfId="857" xr:uid="{00000000-0005-0000-0000-000059030000}"/>
    <cellStyle name="Multiple 3" xfId="858" xr:uid="{00000000-0005-0000-0000-00005A030000}"/>
    <cellStyle name="Multiple 4" xfId="859" xr:uid="{00000000-0005-0000-0000-00005B030000}"/>
    <cellStyle name="Multiple 5" xfId="860" xr:uid="{00000000-0005-0000-0000-00005C030000}"/>
    <cellStyle name="Multiple 6" xfId="861" xr:uid="{00000000-0005-0000-0000-00005D030000}"/>
    <cellStyle name="Multiple 7" xfId="862" xr:uid="{00000000-0005-0000-0000-00005E030000}"/>
    <cellStyle name="Multiple 8" xfId="863" xr:uid="{00000000-0005-0000-0000-00005F030000}"/>
    <cellStyle name="Neutral 2" xfId="864" xr:uid="{00000000-0005-0000-0000-000060030000}"/>
    <cellStyle name="Neutral 2 2" xfId="865" xr:uid="{00000000-0005-0000-0000-000061030000}"/>
    <cellStyle name="Neutral 3" xfId="866" xr:uid="{00000000-0005-0000-0000-000062030000}"/>
    <cellStyle name="Neutral 3 2" xfId="867" xr:uid="{00000000-0005-0000-0000-000063030000}"/>
    <cellStyle name="Neutral 4" xfId="868" xr:uid="{00000000-0005-0000-0000-000064030000}"/>
    <cellStyle name="Neutral 4 2" xfId="869" xr:uid="{00000000-0005-0000-0000-000065030000}"/>
    <cellStyle name="Neutral 5" xfId="870" xr:uid="{00000000-0005-0000-0000-000066030000}"/>
    <cellStyle name="Neutral 5 2" xfId="871" xr:uid="{00000000-0005-0000-0000-000067030000}"/>
    <cellStyle name="no dec" xfId="872" xr:uid="{00000000-0005-0000-0000-000068030000}"/>
    <cellStyle name="no dec 2" xfId="873" xr:uid="{00000000-0005-0000-0000-000069030000}"/>
    <cellStyle name="Normal - Style1" xfId="874" xr:uid="{00000000-0005-0000-0000-00006B030000}"/>
    <cellStyle name="Normal 10" xfId="875" xr:uid="{00000000-0005-0000-0000-00006C030000}"/>
    <cellStyle name="Normal 11" xfId="876" xr:uid="{00000000-0005-0000-0000-00006D030000}"/>
    <cellStyle name="Normal 12" xfId="877" xr:uid="{00000000-0005-0000-0000-00006E030000}"/>
    <cellStyle name="Normal 13" xfId="878" xr:uid="{00000000-0005-0000-0000-00006F030000}"/>
    <cellStyle name="Normal 13 2" xfId="879" xr:uid="{00000000-0005-0000-0000-000070030000}"/>
    <cellStyle name="Normal 13 3" xfId="880" xr:uid="{00000000-0005-0000-0000-000071030000}"/>
    <cellStyle name="Normal 15" xfId="881" xr:uid="{00000000-0005-0000-0000-000072030000}"/>
    <cellStyle name="Normal 2 2" xfId="882" xr:uid="{00000000-0005-0000-0000-000073030000}"/>
    <cellStyle name="Normal 2 3" xfId="883" xr:uid="{00000000-0005-0000-0000-000074030000}"/>
    <cellStyle name="Normal 2 4" xfId="884" xr:uid="{00000000-0005-0000-0000-000075030000}"/>
    <cellStyle name="Normal 2 5" xfId="885" xr:uid="{00000000-0005-0000-0000-000076030000}"/>
    <cellStyle name="Normal 2 6" xfId="886" xr:uid="{00000000-0005-0000-0000-000077030000}"/>
    <cellStyle name="Normal 2 7" xfId="887" xr:uid="{00000000-0005-0000-0000-000078030000}"/>
    <cellStyle name="Normal 3" xfId="888" xr:uid="{00000000-0005-0000-0000-000079030000}"/>
    <cellStyle name="Normal 3 2" xfId="889" xr:uid="{00000000-0005-0000-0000-00007A030000}"/>
    <cellStyle name="Normal 4" xfId="890" xr:uid="{00000000-0005-0000-0000-00007B030000}"/>
    <cellStyle name="Normal 4 2" xfId="891" xr:uid="{00000000-0005-0000-0000-00007C030000}"/>
    <cellStyle name="Normal 4 3" xfId="892" xr:uid="{00000000-0005-0000-0000-00007D030000}"/>
    <cellStyle name="Normal 5 2" xfId="893" xr:uid="{00000000-0005-0000-0000-00007E030000}"/>
    <cellStyle name="Normal 6 2" xfId="894" xr:uid="{00000000-0005-0000-0000-00007F030000}"/>
    <cellStyle name="Normal 7 2" xfId="895" xr:uid="{00000000-0005-0000-0000-000080030000}"/>
    <cellStyle name="Normal 8" xfId="896" xr:uid="{00000000-0005-0000-0000-000081030000}"/>
    <cellStyle name="Normal 8 2" xfId="897" xr:uid="{00000000-0005-0000-0000-000082030000}"/>
    <cellStyle name="Normal 8 2 2" xfId="898" xr:uid="{00000000-0005-0000-0000-000083030000}"/>
    <cellStyle name="Normal 8 3" xfId="899" xr:uid="{00000000-0005-0000-0000-000084030000}"/>
    <cellStyle name="Normal 8_Calc Data" xfId="900" xr:uid="{00000000-0005-0000-0000-000085030000}"/>
    <cellStyle name="Normal 9" xfId="901" xr:uid="{00000000-0005-0000-0000-000086030000}"/>
    <cellStyle name="Normal 9 2" xfId="902" xr:uid="{00000000-0005-0000-0000-000087030000}"/>
    <cellStyle name="Normal Bold" xfId="903" xr:uid="{00000000-0005-0000-0000-000088030000}"/>
    <cellStyle name="Normal Cells" xfId="904" xr:uid="{00000000-0005-0000-0000-000089030000}"/>
    <cellStyle name="Normal Cells 2" xfId="905" xr:uid="{00000000-0005-0000-0000-00008A030000}"/>
    <cellStyle name="Normal- Enter (1)" xfId="906" xr:uid="{00000000-0005-0000-0000-00008B030000}"/>
    <cellStyle name="Normal- Enter (1) 2" xfId="907" xr:uid="{00000000-0005-0000-0000-00008C030000}"/>
    <cellStyle name="Normal- Enter (1) 3" xfId="908" xr:uid="{00000000-0005-0000-0000-00008D030000}"/>
    <cellStyle name="Normal- Enter (1) 4" xfId="909" xr:uid="{00000000-0005-0000-0000-00008E030000}"/>
    <cellStyle name="Normal- Enter (1) 5" xfId="910" xr:uid="{00000000-0005-0000-0000-00008F030000}"/>
    <cellStyle name="Normal- Enter (1) 6" xfId="911" xr:uid="{00000000-0005-0000-0000-000090030000}"/>
    <cellStyle name="Normal_7JZT01__9zdq01_" xfId="912" xr:uid="{00000000-0005-0000-0000-000091030000}"/>
    <cellStyle name="Normal_grid4" xfId="913" xr:uid="{00000000-0005-0000-0000-000092030000}"/>
    <cellStyle name="Normal-Entry" xfId="914" xr:uid="{00000000-0005-0000-0000-000093030000}"/>
    <cellStyle name="NormalGB" xfId="915" xr:uid="{00000000-0005-0000-0000-000094030000}"/>
    <cellStyle name="Normal-Input(1)" xfId="916" xr:uid="{00000000-0005-0000-0000-000095030000}"/>
    <cellStyle name="Note 2" xfId="917" xr:uid="{00000000-0005-0000-0000-000096030000}"/>
    <cellStyle name="Note 2 2" xfId="918" xr:uid="{00000000-0005-0000-0000-000097030000}"/>
    <cellStyle name="Note 2 3" xfId="919" xr:uid="{00000000-0005-0000-0000-000098030000}"/>
    <cellStyle name="Note 2 4" xfId="920" xr:uid="{00000000-0005-0000-0000-000099030000}"/>
    <cellStyle name="Note 3" xfId="921" xr:uid="{00000000-0005-0000-0000-00009A030000}"/>
    <cellStyle name="Note 3 2" xfId="922" xr:uid="{00000000-0005-0000-0000-00009B030000}"/>
    <cellStyle name="Note 4" xfId="923" xr:uid="{00000000-0005-0000-0000-00009C030000}"/>
    <cellStyle name="Note 4 2" xfId="924" xr:uid="{00000000-0005-0000-0000-00009D030000}"/>
    <cellStyle name="Note 5" xfId="925" xr:uid="{00000000-0005-0000-0000-00009E030000}"/>
    <cellStyle name="Note 5 2" xfId="926" xr:uid="{00000000-0005-0000-0000-00009F030000}"/>
    <cellStyle name="num1Style" xfId="927" xr:uid="{00000000-0005-0000-0000-0000A0030000}"/>
    <cellStyle name="num1Style 2" xfId="928" xr:uid="{00000000-0005-0000-0000-0000A1030000}"/>
    <cellStyle name="num1Style 3" xfId="929" xr:uid="{00000000-0005-0000-0000-0000A2030000}"/>
    <cellStyle name="num1Style 4" xfId="930" xr:uid="{00000000-0005-0000-0000-0000A3030000}"/>
    <cellStyle name="num1Style 5" xfId="931" xr:uid="{00000000-0005-0000-0000-0000A4030000}"/>
    <cellStyle name="num1Style 6" xfId="932" xr:uid="{00000000-0005-0000-0000-0000A5030000}"/>
    <cellStyle name="num1Styleb" xfId="933" xr:uid="{00000000-0005-0000-0000-0000A6030000}"/>
    <cellStyle name="num1Styleb 2" xfId="934" xr:uid="{00000000-0005-0000-0000-0000A7030000}"/>
    <cellStyle name="num1Styleb 3" xfId="935" xr:uid="{00000000-0005-0000-0000-0000A8030000}"/>
    <cellStyle name="num1Styleb 4" xfId="936" xr:uid="{00000000-0005-0000-0000-0000A9030000}"/>
    <cellStyle name="num1Styleb 5" xfId="937" xr:uid="{00000000-0005-0000-0000-0000AA030000}"/>
    <cellStyle name="num1Styleb 6" xfId="938" xr:uid="{00000000-0005-0000-0000-0000AB030000}"/>
    <cellStyle name="num4Style" xfId="939" xr:uid="{00000000-0005-0000-0000-0000AC030000}"/>
    <cellStyle name="num4Style 2" xfId="940" xr:uid="{00000000-0005-0000-0000-0000AD030000}"/>
    <cellStyle name="num4Style 3" xfId="941" xr:uid="{00000000-0005-0000-0000-0000AE030000}"/>
    <cellStyle name="num4Style 4" xfId="942" xr:uid="{00000000-0005-0000-0000-0000AF030000}"/>
    <cellStyle name="num4Style 5" xfId="943" xr:uid="{00000000-0005-0000-0000-0000B0030000}"/>
    <cellStyle name="num4Style 6" xfId="944" xr:uid="{00000000-0005-0000-0000-0000B1030000}"/>
    <cellStyle name="num4Styleb" xfId="945" xr:uid="{00000000-0005-0000-0000-0000B2030000}"/>
    <cellStyle name="num4Styleb 2" xfId="946" xr:uid="{00000000-0005-0000-0000-0000B3030000}"/>
    <cellStyle name="num4Styleb 3" xfId="947" xr:uid="{00000000-0005-0000-0000-0000B4030000}"/>
    <cellStyle name="num4Styleb 4" xfId="948" xr:uid="{00000000-0005-0000-0000-0000B5030000}"/>
    <cellStyle name="num4Styleb 5" xfId="949" xr:uid="{00000000-0005-0000-0000-0000B6030000}"/>
    <cellStyle name="num4Styleb 6" xfId="950" xr:uid="{00000000-0005-0000-0000-0000B7030000}"/>
    <cellStyle name="number" xfId="951" xr:uid="{00000000-0005-0000-0000-0000B8030000}"/>
    <cellStyle name="numPStyle" xfId="952" xr:uid="{00000000-0005-0000-0000-0000B9030000}"/>
    <cellStyle name="numPStyle 2" xfId="953" xr:uid="{00000000-0005-0000-0000-0000BA030000}"/>
    <cellStyle name="numPStyle 3" xfId="954" xr:uid="{00000000-0005-0000-0000-0000BB030000}"/>
    <cellStyle name="numPStyle 4" xfId="955" xr:uid="{00000000-0005-0000-0000-0000BC030000}"/>
    <cellStyle name="numPStyle 5" xfId="956" xr:uid="{00000000-0005-0000-0000-0000BD030000}"/>
    <cellStyle name="numPStyle 6" xfId="957" xr:uid="{00000000-0005-0000-0000-0000BE030000}"/>
    <cellStyle name="numPStyleb" xfId="958" xr:uid="{00000000-0005-0000-0000-0000BF030000}"/>
    <cellStyle name="numPStyleb 2" xfId="959" xr:uid="{00000000-0005-0000-0000-0000C0030000}"/>
    <cellStyle name="numPStyleb 3" xfId="960" xr:uid="{00000000-0005-0000-0000-0000C1030000}"/>
    <cellStyle name="numPStyleb 4" xfId="961" xr:uid="{00000000-0005-0000-0000-0000C2030000}"/>
    <cellStyle name="numPStyleb 5" xfId="962" xr:uid="{00000000-0005-0000-0000-0000C3030000}"/>
    <cellStyle name="numPStyleb 6" xfId="963" xr:uid="{00000000-0005-0000-0000-0000C4030000}"/>
    <cellStyle name="numXStyle" xfId="964" xr:uid="{00000000-0005-0000-0000-0000C5030000}"/>
    <cellStyle name="numXStyle 2" xfId="965" xr:uid="{00000000-0005-0000-0000-0000C6030000}"/>
    <cellStyle name="numXStyle 3" xfId="966" xr:uid="{00000000-0005-0000-0000-0000C7030000}"/>
    <cellStyle name="numXStyle 4" xfId="967" xr:uid="{00000000-0005-0000-0000-0000C8030000}"/>
    <cellStyle name="numXStyle 5" xfId="968" xr:uid="{00000000-0005-0000-0000-0000C9030000}"/>
    <cellStyle name="numXStyle 6" xfId="969" xr:uid="{00000000-0005-0000-0000-0000CA030000}"/>
    <cellStyle name="numXStyleb" xfId="970" xr:uid="{00000000-0005-0000-0000-0000CB030000}"/>
    <cellStyle name="numXStyleb 2" xfId="971" xr:uid="{00000000-0005-0000-0000-0000CC030000}"/>
    <cellStyle name="numXStyleb 3" xfId="972" xr:uid="{00000000-0005-0000-0000-0000CD030000}"/>
    <cellStyle name="numXStyleb 4" xfId="973" xr:uid="{00000000-0005-0000-0000-0000CE030000}"/>
    <cellStyle name="numXStyleb 5" xfId="974" xr:uid="{00000000-0005-0000-0000-0000CF030000}"/>
    <cellStyle name="numXStyleb 6" xfId="975" xr:uid="{00000000-0005-0000-0000-0000D0030000}"/>
    <cellStyle name="Œ…‹æØ‚è [0.00]_!!!GO" xfId="976" xr:uid="{00000000-0005-0000-0000-0000D1030000}"/>
    <cellStyle name="Œ…‹æØ‚è_!!!GO" xfId="977" xr:uid="{00000000-0005-0000-0000-0000D2030000}"/>
    <cellStyle name="outh America" xfId="978" xr:uid="{00000000-0005-0000-0000-0000D3030000}"/>
    <cellStyle name="outh America 2" xfId="979" xr:uid="{00000000-0005-0000-0000-0000D4030000}"/>
    <cellStyle name="Output 2" xfId="980" xr:uid="{00000000-0005-0000-0000-0000D5030000}"/>
    <cellStyle name="Output 2 2" xfId="981" xr:uid="{00000000-0005-0000-0000-0000D6030000}"/>
    <cellStyle name="Output 3" xfId="982" xr:uid="{00000000-0005-0000-0000-0000D7030000}"/>
    <cellStyle name="Output 3 2" xfId="983" xr:uid="{00000000-0005-0000-0000-0000D8030000}"/>
    <cellStyle name="Output 4" xfId="984" xr:uid="{00000000-0005-0000-0000-0000D9030000}"/>
    <cellStyle name="Output 4 2" xfId="985" xr:uid="{00000000-0005-0000-0000-0000DA030000}"/>
    <cellStyle name="Output 5" xfId="986" xr:uid="{00000000-0005-0000-0000-0000DB030000}"/>
    <cellStyle name="Output 5 2" xfId="987" xr:uid="{00000000-0005-0000-0000-0000DC030000}"/>
    <cellStyle name="Page header" xfId="988" xr:uid="{00000000-0005-0000-0000-0000DD030000}"/>
    <cellStyle name="Page header 2" xfId="989" xr:uid="{00000000-0005-0000-0000-0000DE030000}"/>
    <cellStyle name="Page Number" xfId="990" xr:uid="{00000000-0005-0000-0000-0000DF030000}"/>
    <cellStyle name="Parens (1)" xfId="991" xr:uid="{00000000-0005-0000-0000-0000E0030000}"/>
    <cellStyle name="per.style" xfId="992" xr:uid="{00000000-0005-0000-0000-0000E1030000}"/>
    <cellStyle name="per.style 2" xfId="993" xr:uid="{00000000-0005-0000-0000-0000E2030000}"/>
    <cellStyle name="Percent [0]" xfId="995" xr:uid="{00000000-0005-0000-0000-0000E4030000}"/>
    <cellStyle name="Percent [0] 2" xfId="996" xr:uid="{00000000-0005-0000-0000-0000E5030000}"/>
    <cellStyle name="Percent [0] 3" xfId="997" xr:uid="{00000000-0005-0000-0000-0000E6030000}"/>
    <cellStyle name="Percent [0] 4" xfId="998" xr:uid="{00000000-0005-0000-0000-0000E7030000}"/>
    <cellStyle name="Percent [0] 5" xfId="999" xr:uid="{00000000-0005-0000-0000-0000E8030000}"/>
    <cellStyle name="Percent [0] 6" xfId="1000" xr:uid="{00000000-0005-0000-0000-0000E9030000}"/>
    <cellStyle name="Percent [0] 7" xfId="1001" xr:uid="{00000000-0005-0000-0000-0000EA030000}"/>
    <cellStyle name="Percent [0] 8" xfId="1002" xr:uid="{00000000-0005-0000-0000-0000EB030000}"/>
    <cellStyle name="Percent [00]" xfId="1003" xr:uid="{00000000-0005-0000-0000-0000EC030000}"/>
    <cellStyle name="Percent [00] 2" xfId="1004" xr:uid="{00000000-0005-0000-0000-0000ED030000}"/>
    <cellStyle name="Percent [00] 3" xfId="1005" xr:uid="{00000000-0005-0000-0000-0000EE030000}"/>
    <cellStyle name="Percent [00] 4" xfId="1006" xr:uid="{00000000-0005-0000-0000-0000EF030000}"/>
    <cellStyle name="Percent [00] 5" xfId="1007" xr:uid="{00000000-0005-0000-0000-0000F0030000}"/>
    <cellStyle name="Percent [00] 6" xfId="1008" xr:uid="{00000000-0005-0000-0000-0000F1030000}"/>
    <cellStyle name="Percent [00] 7" xfId="1009" xr:uid="{00000000-0005-0000-0000-0000F2030000}"/>
    <cellStyle name="Percent [00] 8" xfId="1010" xr:uid="{00000000-0005-0000-0000-0000F3030000}"/>
    <cellStyle name="Percent [2]" xfId="1011" xr:uid="{00000000-0005-0000-0000-0000F4030000}"/>
    <cellStyle name="Percent [2] 2" xfId="1012" xr:uid="{00000000-0005-0000-0000-0000F5030000}"/>
    <cellStyle name="Percent [2] 3" xfId="1013" xr:uid="{00000000-0005-0000-0000-0000F6030000}"/>
    <cellStyle name="Percent [2] 4" xfId="1014" xr:uid="{00000000-0005-0000-0000-0000F7030000}"/>
    <cellStyle name="Percent [2] 5" xfId="1015" xr:uid="{00000000-0005-0000-0000-0000F8030000}"/>
    <cellStyle name="Percent [2] 6" xfId="1016" xr:uid="{00000000-0005-0000-0000-0000F9030000}"/>
    <cellStyle name="Percent [2] 7" xfId="1017" xr:uid="{00000000-0005-0000-0000-0000FA030000}"/>
    <cellStyle name="Percent [2] 8" xfId="1018" xr:uid="{00000000-0005-0000-0000-0000FB030000}"/>
    <cellStyle name="Percent 10" xfId="1019" xr:uid="{00000000-0005-0000-0000-0000FC030000}"/>
    <cellStyle name="Percent 11" xfId="1020" xr:uid="{00000000-0005-0000-0000-0000FD030000}"/>
    <cellStyle name="Percent 12" xfId="1021" xr:uid="{00000000-0005-0000-0000-0000FE030000}"/>
    <cellStyle name="Percent 13" xfId="1022" xr:uid="{00000000-0005-0000-0000-0000FF030000}"/>
    <cellStyle name="Percent 14" xfId="1023" xr:uid="{00000000-0005-0000-0000-000000040000}"/>
    <cellStyle name="Percent 15" xfId="1024" xr:uid="{00000000-0005-0000-0000-000001040000}"/>
    <cellStyle name="Percent 2" xfId="1288" xr:uid="{00000000-0005-0000-0000-000002040000}"/>
    <cellStyle name="Percent 5 2" xfId="1025" xr:uid="{00000000-0005-0000-0000-000003040000}"/>
    <cellStyle name="Percent 7" xfId="1026" xr:uid="{00000000-0005-0000-0000-000004040000}"/>
    <cellStyle name="Percent 8" xfId="1027" xr:uid="{00000000-0005-0000-0000-000005040000}"/>
    <cellStyle name="Percent 9" xfId="1028" xr:uid="{00000000-0005-0000-0000-000006040000}"/>
    <cellStyle name="Percent[0]" xfId="1029" xr:uid="{00000000-0005-0000-0000-000007040000}"/>
    <cellStyle name="Percent[0] 2" xfId="1030" xr:uid="{00000000-0005-0000-0000-000008040000}"/>
    <cellStyle name="Percent[2]" xfId="1031" xr:uid="{00000000-0005-0000-0000-000009040000}"/>
    <cellStyle name="Percent[2] 2" xfId="1032" xr:uid="{00000000-0005-0000-0000-00000A040000}"/>
    <cellStyle name="PlainDollarBoldwBorders" xfId="1033" xr:uid="{00000000-0005-0000-0000-00000B040000}"/>
    <cellStyle name="PlainDollarBoldwBorders 2" xfId="1034" xr:uid="{00000000-0005-0000-0000-00000C040000}"/>
    <cellStyle name="PrePop Currency (0)" xfId="1035" xr:uid="{00000000-0005-0000-0000-00000D040000}"/>
    <cellStyle name="PrePop Currency (0) 2" xfId="1036" xr:uid="{00000000-0005-0000-0000-00000E040000}"/>
    <cellStyle name="PrePop Currency (0) 3" xfId="1037" xr:uid="{00000000-0005-0000-0000-00000F040000}"/>
    <cellStyle name="PrePop Currency (0) 4" xfId="1038" xr:uid="{00000000-0005-0000-0000-000010040000}"/>
    <cellStyle name="PrePop Currency (0) 5" xfId="1039" xr:uid="{00000000-0005-0000-0000-000011040000}"/>
    <cellStyle name="PrePop Currency (0) 6" xfId="1040" xr:uid="{00000000-0005-0000-0000-000012040000}"/>
    <cellStyle name="PrePop Currency (0) 7" xfId="1041" xr:uid="{00000000-0005-0000-0000-000013040000}"/>
    <cellStyle name="PrePop Currency (0) 8" xfId="1042" xr:uid="{00000000-0005-0000-0000-000014040000}"/>
    <cellStyle name="PrePop Currency (0)_Help" xfId="1043" xr:uid="{00000000-0005-0000-0000-000015040000}"/>
    <cellStyle name="PrePop Currency (2)" xfId="1044" xr:uid="{00000000-0005-0000-0000-000016040000}"/>
    <cellStyle name="PrePop Currency (2) 2" xfId="1045" xr:uid="{00000000-0005-0000-0000-000017040000}"/>
    <cellStyle name="PrePop Currency (2) 3" xfId="1046" xr:uid="{00000000-0005-0000-0000-000018040000}"/>
    <cellStyle name="PrePop Currency (2) 4" xfId="1047" xr:uid="{00000000-0005-0000-0000-000019040000}"/>
    <cellStyle name="PrePop Currency (2) 5" xfId="1048" xr:uid="{00000000-0005-0000-0000-00001A040000}"/>
    <cellStyle name="PrePop Currency (2) 6" xfId="1049" xr:uid="{00000000-0005-0000-0000-00001B040000}"/>
    <cellStyle name="PrePop Currency (2) 7" xfId="1050" xr:uid="{00000000-0005-0000-0000-00001C040000}"/>
    <cellStyle name="PrePop Currency (2) 8" xfId="1051" xr:uid="{00000000-0005-0000-0000-00001D040000}"/>
    <cellStyle name="PrePop Currency (2)_Help" xfId="1052" xr:uid="{00000000-0005-0000-0000-00001E040000}"/>
    <cellStyle name="PrePop Units (0)" xfId="1053" xr:uid="{00000000-0005-0000-0000-00001F040000}"/>
    <cellStyle name="PrePop Units (0) 2" xfId="1054" xr:uid="{00000000-0005-0000-0000-000020040000}"/>
    <cellStyle name="PrePop Units (0) 3" xfId="1055" xr:uid="{00000000-0005-0000-0000-000021040000}"/>
    <cellStyle name="PrePop Units (0) 4" xfId="1056" xr:uid="{00000000-0005-0000-0000-000022040000}"/>
    <cellStyle name="PrePop Units (0) 5" xfId="1057" xr:uid="{00000000-0005-0000-0000-000023040000}"/>
    <cellStyle name="PrePop Units (0) 6" xfId="1058" xr:uid="{00000000-0005-0000-0000-000024040000}"/>
    <cellStyle name="PrePop Units (0) 7" xfId="1059" xr:uid="{00000000-0005-0000-0000-000025040000}"/>
    <cellStyle name="PrePop Units (0) 8" xfId="1060" xr:uid="{00000000-0005-0000-0000-000026040000}"/>
    <cellStyle name="PrePop Units (0)_Help" xfId="1061" xr:uid="{00000000-0005-0000-0000-000027040000}"/>
    <cellStyle name="PrePop Units (1)" xfId="1062" xr:uid="{00000000-0005-0000-0000-000028040000}"/>
    <cellStyle name="PrePop Units (1) 2" xfId="1063" xr:uid="{00000000-0005-0000-0000-000029040000}"/>
    <cellStyle name="PrePop Units (1) 3" xfId="1064" xr:uid="{00000000-0005-0000-0000-00002A040000}"/>
    <cellStyle name="PrePop Units (1) 4" xfId="1065" xr:uid="{00000000-0005-0000-0000-00002B040000}"/>
    <cellStyle name="PrePop Units (1) 5" xfId="1066" xr:uid="{00000000-0005-0000-0000-00002C040000}"/>
    <cellStyle name="PrePop Units (1) 6" xfId="1067" xr:uid="{00000000-0005-0000-0000-00002D040000}"/>
    <cellStyle name="PrePop Units (1) 7" xfId="1068" xr:uid="{00000000-0005-0000-0000-00002E040000}"/>
    <cellStyle name="PrePop Units (1) 8" xfId="1069" xr:uid="{00000000-0005-0000-0000-00002F040000}"/>
    <cellStyle name="PrePop Units (1)_Help" xfId="1070" xr:uid="{00000000-0005-0000-0000-000030040000}"/>
    <cellStyle name="PrePop Units (2)" xfId="1071" xr:uid="{00000000-0005-0000-0000-000031040000}"/>
    <cellStyle name="PrePop Units (2) 2" xfId="1072" xr:uid="{00000000-0005-0000-0000-000032040000}"/>
    <cellStyle name="PrePop Units (2) 3" xfId="1073" xr:uid="{00000000-0005-0000-0000-000033040000}"/>
    <cellStyle name="PrePop Units (2) 4" xfId="1074" xr:uid="{00000000-0005-0000-0000-000034040000}"/>
    <cellStyle name="PrePop Units (2) 5" xfId="1075" xr:uid="{00000000-0005-0000-0000-000035040000}"/>
    <cellStyle name="PrePop Units (2) 6" xfId="1076" xr:uid="{00000000-0005-0000-0000-000036040000}"/>
    <cellStyle name="PrePop Units (2) 7" xfId="1077" xr:uid="{00000000-0005-0000-0000-000037040000}"/>
    <cellStyle name="PrePop Units (2) 8" xfId="1078" xr:uid="{00000000-0005-0000-0000-000038040000}"/>
    <cellStyle name="PrePop Units (2)_Help" xfId="1079" xr:uid="{00000000-0005-0000-0000-000039040000}"/>
    <cellStyle name="Price" xfId="1080" xr:uid="{00000000-0005-0000-0000-00003A040000}"/>
    <cellStyle name="ProtectedDates" xfId="1081" xr:uid="{00000000-0005-0000-0000-00003B040000}"/>
    <cellStyle name="Prozent" xfId="994" builtinId="5"/>
    <cellStyle name="PSChar" xfId="1082" xr:uid="{00000000-0005-0000-0000-00003C040000}"/>
    <cellStyle name="PSChar 2" xfId="1083" xr:uid="{00000000-0005-0000-0000-00003D040000}"/>
    <cellStyle name="PSDate" xfId="1084" xr:uid="{00000000-0005-0000-0000-00003E040000}"/>
    <cellStyle name="PSDate 2" xfId="1085" xr:uid="{00000000-0005-0000-0000-00003F040000}"/>
    <cellStyle name="PSDec" xfId="1086" xr:uid="{00000000-0005-0000-0000-000040040000}"/>
    <cellStyle name="PSDec 2" xfId="1087" xr:uid="{00000000-0005-0000-0000-000041040000}"/>
    <cellStyle name="PSHeading" xfId="1088" xr:uid="{00000000-0005-0000-0000-000042040000}"/>
    <cellStyle name="PSHeading 2" xfId="1089" xr:uid="{00000000-0005-0000-0000-000043040000}"/>
    <cellStyle name="PSInt" xfId="1090" xr:uid="{00000000-0005-0000-0000-000044040000}"/>
    <cellStyle name="PSInt 2" xfId="1091" xr:uid="{00000000-0005-0000-0000-000045040000}"/>
    <cellStyle name="PSSpacer" xfId="1092" xr:uid="{00000000-0005-0000-0000-000046040000}"/>
    <cellStyle name="PSSpacer 2" xfId="1093" xr:uid="{00000000-0005-0000-0000-000047040000}"/>
    <cellStyle name="RED" xfId="1094" xr:uid="{00000000-0005-0000-0000-000048040000}"/>
    <cellStyle name="RED 2" xfId="1095" xr:uid="{00000000-0005-0000-0000-000049040000}"/>
    <cellStyle name="RED 3" xfId="1096" xr:uid="{00000000-0005-0000-0000-00004A040000}"/>
    <cellStyle name="RED 4" xfId="1097" xr:uid="{00000000-0005-0000-0000-00004B040000}"/>
    <cellStyle name="RED 5" xfId="1098" xr:uid="{00000000-0005-0000-0000-00004C040000}"/>
    <cellStyle name="RED 6" xfId="1099" xr:uid="{00000000-0005-0000-0000-00004D040000}"/>
    <cellStyle name="Restruct" xfId="1100" xr:uid="{00000000-0005-0000-0000-00004E040000}"/>
    <cellStyle name="Reuters Cells" xfId="1101" xr:uid="{00000000-0005-0000-0000-00004F040000}"/>
    <cellStyle name="Reuters Cells 2" xfId="1102" xr:uid="{00000000-0005-0000-0000-000050040000}"/>
    <cellStyle name="Salomon Logo" xfId="1103" xr:uid="{00000000-0005-0000-0000-000051040000}"/>
    <cellStyle name="ShadedCells_Database" xfId="1104" xr:uid="{00000000-0005-0000-0000-000052040000}"/>
    <cellStyle name="Standard" xfId="0" builtinId="0"/>
    <cellStyle name="STANDARD 2" xfId="1106" xr:uid="{00000000-0005-0000-0000-000054040000}"/>
    <cellStyle name="STANDARD 3" xfId="1107" xr:uid="{00000000-0005-0000-0000-000055040000}"/>
    <cellStyle name="STANDARD 4" xfId="1108" xr:uid="{00000000-0005-0000-0000-000056040000}"/>
    <cellStyle name="STANDARD 5" xfId="1109" xr:uid="{00000000-0005-0000-0000-000057040000}"/>
    <cellStyle name="STANDARD 6" xfId="1110" xr:uid="{00000000-0005-0000-0000-000058040000}"/>
    <cellStyle name="STANDARD 7" xfId="1111" xr:uid="{00000000-0005-0000-0000-000059040000}"/>
    <cellStyle name="STANDARD 8" xfId="1112" xr:uid="{00000000-0005-0000-0000-00005A040000}"/>
    <cellStyle name="STANDARD 9" xfId="1105" xr:uid="{00000000-0005-0000-0000-000053040000}"/>
    <cellStyle name="Style 1" xfId="1113" xr:uid="{00000000-0005-0000-0000-00005C040000}"/>
    <cellStyle name="Style 1 2" xfId="1114" xr:uid="{00000000-0005-0000-0000-00005D040000}"/>
    <cellStyle name="Style 1 3" xfId="1115" xr:uid="{00000000-0005-0000-0000-00005E040000}"/>
    <cellStyle name="Style 2" xfId="1116" xr:uid="{00000000-0005-0000-0000-00005F040000}"/>
    <cellStyle name="Style 21" xfId="1117" xr:uid="{00000000-0005-0000-0000-000060040000}"/>
    <cellStyle name="Style 21 2" xfId="1118" xr:uid="{00000000-0005-0000-0000-000061040000}"/>
    <cellStyle name="Style 21 3" xfId="1119" xr:uid="{00000000-0005-0000-0000-000062040000}"/>
    <cellStyle name="Style 21 4" xfId="1120" xr:uid="{00000000-0005-0000-0000-000063040000}"/>
    <cellStyle name="Style 21 5" xfId="1121" xr:uid="{00000000-0005-0000-0000-000064040000}"/>
    <cellStyle name="Style 21 6" xfId="1122" xr:uid="{00000000-0005-0000-0000-000065040000}"/>
    <cellStyle name="Style 22" xfId="1123" xr:uid="{00000000-0005-0000-0000-000066040000}"/>
    <cellStyle name="Style 22 2" xfId="1124" xr:uid="{00000000-0005-0000-0000-000067040000}"/>
    <cellStyle name="Style 22 3" xfId="1125" xr:uid="{00000000-0005-0000-0000-000068040000}"/>
    <cellStyle name="Style 22 4" xfId="1126" xr:uid="{00000000-0005-0000-0000-000069040000}"/>
    <cellStyle name="Style 22 5" xfId="1127" xr:uid="{00000000-0005-0000-0000-00006A040000}"/>
    <cellStyle name="Style 22 6" xfId="1128" xr:uid="{00000000-0005-0000-0000-00006B040000}"/>
    <cellStyle name="Style 23" xfId="1129" xr:uid="{00000000-0005-0000-0000-00006C040000}"/>
    <cellStyle name="Style 23 2" xfId="1130" xr:uid="{00000000-0005-0000-0000-00006D040000}"/>
    <cellStyle name="Style 23 3" xfId="1131" xr:uid="{00000000-0005-0000-0000-00006E040000}"/>
    <cellStyle name="Style 23 4" xfId="1132" xr:uid="{00000000-0005-0000-0000-00006F040000}"/>
    <cellStyle name="Style 23 5" xfId="1133" xr:uid="{00000000-0005-0000-0000-000070040000}"/>
    <cellStyle name="Style 23 6" xfId="1134" xr:uid="{00000000-0005-0000-0000-000071040000}"/>
    <cellStyle name="Style 24" xfId="1135" xr:uid="{00000000-0005-0000-0000-000072040000}"/>
    <cellStyle name="Style 24 2" xfId="1136" xr:uid="{00000000-0005-0000-0000-000073040000}"/>
    <cellStyle name="Style 24 3" xfId="1137" xr:uid="{00000000-0005-0000-0000-000074040000}"/>
    <cellStyle name="Style 24 4" xfId="1138" xr:uid="{00000000-0005-0000-0000-000075040000}"/>
    <cellStyle name="Style 24 5" xfId="1139" xr:uid="{00000000-0005-0000-0000-000076040000}"/>
    <cellStyle name="Style 24 6" xfId="1140" xr:uid="{00000000-0005-0000-0000-000077040000}"/>
    <cellStyle name="Style D green" xfId="1141" xr:uid="{00000000-0005-0000-0000-000078040000}"/>
    <cellStyle name="Style E" xfId="1142" xr:uid="{00000000-0005-0000-0000-000079040000}"/>
    <cellStyle name="Style H" xfId="1143" xr:uid="{00000000-0005-0000-0000-00007A040000}"/>
    <cellStyle name="Sub total" xfId="1144" xr:uid="{00000000-0005-0000-0000-00007B040000}"/>
    <cellStyle name="Sub total 2" xfId="1145" xr:uid="{00000000-0005-0000-0000-00007C040000}"/>
    <cellStyle name="subhead" xfId="1146" xr:uid="{00000000-0005-0000-0000-00007D040000}"/>
    <cellStyle name="TAB FTNOTE 9" xfId="1147" xr:uid="{00000000-0005-0000-0000-00007E040000}"/>
    <cellStyle name="TAB FTNOTE 9 2" xfId="1148" xr:uid="{00000000-0005-0000-0000-00007F040000}"/>
    <cellStyle name="TAB FTNOTE9A" xfId="1149" xr:uid="{00000000-0005-0000-0000-000080040000}"/>
    <cellStyle name="TAB FTNOTE9A 2" xfId="1150" xr:uid="{00000000-0005-0000-0000-000081040000}"/>
    <cellStyle name="TAB FTNOTE9B" xfId="1151" xr:uid="{00000000-0005-0000-0000-000082040000}"/>
    <cellStyle name="TAB FTNOTE9B 2" xfId="1152" xr:uid="{00000000-0005-0000-0000-000083040000}"/>
    <cellStyle name="TAB FTNT 9 SP" xfId="1153" xr:uid="{00000000-0005-0000-0000-000084040000}"/>
    <cellStyle name="TAB FTNT 9 SP 2" xfId="1154" xr:uid="{00000000-0005-0000-0000-000085040000}"/>
    <cellStyle name="Table end" xfId="1155" xr:uid="{00000000-0005-0000-0000-000086040000}"/>
    <cellStyle name="Table end 2" xfId="1156" xr:uid="{00000000-0005-0000-0000-000087040000}"/>
    <cellStyle name="TABLE FTNOTE" xfId="1157" xr:uid="{00000000-0005-0000-0000-000088040000}"/>
    <cellStyle name="TABLE FTNOTE 2" xfId="1158" xr:uid="{00000000-0005-0000-0000-000089040000}"/>
    <cellStyle name="Table head" xfId="1159" xr:uid="{00000000-0005-0000-0000-00008A040000}"/>
    <cellStyle name="Table head 2" xfId="1160" xr:uid="{00000000-0005-0000-0000-00008B040000}"/>
    <cellStyle name="Table head 3" xfId="1161" xr:uid="{00000000-0005-0000-0000-00008C040000}"/>
    <cellStyle name="Table head 4" xfId="1162" xr:uid="{00000000-0005-0000-0000-00008D040000}"/>
    <cellStyle name="Table head 5" xfId="1163" xr:uid="{00000000-0005-0000-0000-00008E040000}"/>
    <cellStyle name="Table head 6" xfId="1164" xr:uid="{00000000-0005-0000-0000-00008F040000}"/>
    <cellStyle name="Table Head Aligned" xfId="1165" xr:uid="{00000000-0005-0000-0000-000090040000}"/>
    <cellStyle name="Table Head Blue" xfId="1166" xr:uid="{00000000-0005-0000-0000-000091040000}"/>
    <cellStyle name="Table Head Green" xfId="1167" xr:uid="{00000000-0005-0000-0000-000092040000}"/>
    <cellStyle name="Table Head_Dual Charts Template" xfId="1168" xr:uid="{00000000-0005-0000-0000-000093040000}"/>
    <cellStyle name="TABLE SOURCE" xfId="1169" xr:uid="{00000000-0005-0000-0000-000094040000}"/>
    <cellStyle name="TABLE SOURCE 2" xfId="1170" xr:uid="{00000000-0005-0000-0000-000095040000}"/>
    <cellStyle name="TABLE SOURCEA" xfId="1171" xr:uid="{00000000-0005-0000-0000-000096040000}"/>
    <cellStyle name="TABLE SOURCEA 2" xfId="1172" xr:uid="{00000000-0005-0000-0000-000097040000}"/>
    <cellStyle name="TABLE SOURCEB" xfId="1173" xr:uid="{00000000-0005-0000-0000-000098040000}"/>
    <cellStyle name="TABLE SOURCEB 2" xfId="1174" xr:uid="{00000000-0005-0000-0000-000099040000}"/>
    <cellStyle name="TABLE TEXT" xfId="1175" xr:uid="{00000000-0005-0000-0000-00009A040000}"/>
    <cellStyle name="TABLE TEXT 1" xfId="1176" xr:uid="{00000000-0005-0000-0000-00009B040000}"/>
    <cellStyle name="TABLE TEXT 1 2" xfId="1177" xr:uid="{00000000-0005-0000-0000-00009C040000}"/>
    <cellStyle name="TABLE TEXT 2" xfId="1178" xr:uid="{00000000-0005-0000-0000-00009D040000}"/>
    <cellStyle name="TABLE TEXT 2 2" xfId="1179" xr:uid="{00000000-0005-0000-0000-00009E040000}"/>
    <cellStyle name="TABLE TEXT 3" xfId="1180" xr:uid="{00000000-0005-0000-0000-00009F040000}"/>
    <cellStyle name="TABLE TEXT 8" xfId="1181" xr:uid="{00000000-0005-0000-0000-0000A0040000}"/>
    <cellStyle name="TABLE TEXT 8 2" xfId="1182" xr:uid="{00000000-0005-0000-0000-0000A1040000}"/>
    <cellStyle name="table text bold" xfId="1183" xr:uid="{00000000-0005-0000-0000-0000A2040000}"/>
    <cellStyle name="table text bold 2" xfId="1184" xr:uid="{00000000-0005-0000-0000-0000A3040000}"/>
    <cellStyle name="table text bold green" xfId="1185" xr:uid="{00000000-0005-0000-0000-0000A4040000}"/>
    <cellStyle name="table text bold green 2" xfId="1186" xr:uid="{00000000-0005-0000-0000-0000A5040000}"/>
    <cellStyle name="table text bold green 3" xfId="1187" xr:uid="{00000000-0005-0000-0000-0000A6040000}"/>
    <cellStyle name="table text bold green 4" xfId="1188" xr:uid="{00000000-0005-0000-0000-0000A7040000}"/>
    <cellStyle name="table text bold green 5" xfId="1189" xr:uid="{00000000-0005-0000-0000-0000A8040000}"/>
    <cellStyle name="table text bold green 6" xfId="1190" xr:uid="{00000000-0005-0000-0000-0000A9040000}"/>
    <cellStyle name="table text light" xfId="1191" xr:uid="{00000000-0005-0000-0000-0000AA040000}"/>
    <cellStyle name="table text light 2" xfId="1192" xr:uid="{00000000-0005-0000-0000-0000AB040000}"/>
    <cellStyle name="Table Text_Dual Charts Template" xfId="1193" xr:uid="{00000000-0005-0000-0000-0000AC040000}"/>
    <cellStyle name="Table Title" xfId="1194" xr:uid="{00000000-0005-0000-0000-0000AD040000}"/>
    <cellStyle name="Table Units" xfId="1195" xr:uid="{00000000-0005-0000-0000-0000AE040000}"/>
    <cellStyle name="Table_Header" xfId="1196" xr:uid="{00000000-0005-0000-0000-0000AF040000}"/>
    <cellStyle name="TableBody" xfId="1197" xr:uid="{00000000-0005-0000-0000-0000B0040000}"/>
    <cellStyle name="TEXT #.#%" xfId="1198" xr:uid="{00000000-0005-0000-0000-0000B1040000}"/>
    <cellStyle name="TEXT #.#% 2" xfId="1199" xr:uid="{00000000-0005-0000-0000-0000B2040000}"/>
    <cellStyle name="Text 1" xfId="1200" xr:uid="{00000000-0005-0000-0000-0000B3040000}"/>
    <cellStyle name="Text Head 1" xfId="1201" xr:uid="{00000000-0005-0000-0000-0000B4040000}"/>
    <cellStyle name="Text Indent A" xfId="1202" xr:uid="{00000000-0005-0000-0000-0000B5040000}"/>
    <cellStyle name="Text Indent B" xfId="1203" xr:uid="{00000000-0005-0000-0000-0000B6040000}"/>
    <cellStyle name="Text Indent B 2" xfId="1204" xr:uid="{00000000-0005-0000-0000-0000B7040000}"/>
    <cellStyle name="Text Indent B 3" xfId="1205" xr:uid="{00000000-0005-0000-0000-0000B8040000}"/>
    <cellStyle name="Text Indent B 4" xfId="1206" xr:uid="{00000000-0005-0000-0000-0000B9040000}"/>
    <cellStyle name="Text Indent B 5" xfId="1207" xr:uid="{00000000-0005-0000-0000-0000BA040000}"/>
    <cellStyle name="Text Indent B 6" xfId="1208" xr:uid="{00000000-0005-0000-0000-0000BB040000}"/>
    <cellStyle name="Text Indent B 7" xfId="1209" xr:uid="{00000000-0005-0000-0000-0000BC040000}"/>
    <cellStyle name="Text Indent B 8" xfId="1210" xr:uid="{00000000-0005-0000-0000-0000BD040000}"/>
    <cellStyle name="Text Indent B_Help" xfId="1211" xr:uid="{00000000-0005-0000-0000-0000BE040000}"/>
    <cellStyle name="Text Indent C" xfId="1212" xr:uid="{00000000-0005-0000-0000-0000BF040000}"/>
    <cellStyle name="Text Indent C 2" xfId="1213" xr:uid="{00000000-0005-0000-0000-0000C0040000}"/>
    <cellStyle name="Text Indent C 3" xfId="1214" xr:uid="{00000000-0005-0000-0000-0000C1040000}"/>
    <cellStyle name="Text Indent C 4" xfId="1215" xr:uid="{00000000-0005-0000-0000-0000C2040000}"/>
    <cellStyle name="Text Indent C 5" xfId="1216" xr:uid="{00000000-0005-0000-0000-0000C3040000}"/>
    <cellStyle name="Text Indent C 6" xfId="1217" xr:uid="{00000000-0005-0000-0000-0000C4040000}"/>
    <cellStyle name="Text Indent C 7" xfId="1218" xr:uid="{00000000-0005-0000-0000-0000C5040000}"/>
    <cellStyle name="Text Indent C 8" xfId="1219" xr:uid="{00000000-0005-0000-0000-0000C6040000}"/>
    <cellStyle name="Text Indent C_Help" xfId="1220" xr:uid="{00000000-0005-0000-0000-0000C7040000}"/>
    <cellStyle name="textbold" xfId="1221" xr:uid="{00000000-0005-0000-0000-0000C8040000}"/>
    <cellStyle name="textbold 2" xfId="1222" xr:uid="{00000000-0005-0000-0000-0000C9040000}"/>
    <cellStyle name="textbold 3" xfId="1223" xr:uid="{00000000-0005-0000-0000-0000CA040000}"/>
    <cellStyle name="textbold 4" xfId="1224" xr:uid="{00000000-0005-0000-0000-0000CB040000}"/>
    <cellStyle name="textbold 5" xfId="1225" xr:uid="{00000000-0005-0000-0000-0000CC040000}"/>
    <cellStyle name="textbold 6" xfId="1226" xr:uid="{00000000-0005-0000-0000-0000CD040000}"/>
    <cellStyle name="Times New Roman" xfId="1227" xr:uid="{00000000-0005-0000-0000-0000CE040000}"/>
    <cellStyle name="Tina" xfId="1228" xr:uid="{00000000-0005-0000-0000-0000CF040000}"/>
    <cellStyle name="Title 2" xfId="1229" xr:uid="{00000000-0005-0000-0000-0000D0040000}"/>
    <cellStyle name="Title 2 2" xfId="1230" xr:uid="{00000000-0005-0000-0000-0000D1040000}"/>
    <cellStyle name="Title 3" xfId="1231" xr:uid="{00000000-0005-0000-0000-0000D2040000}"/>
    <cellStyle name="Title 3 2" xfId="1232" xr:uid="{00000000-0005-0000-0000-0000D3040000}"/>
    <cellStyle name="Title 4" xfId="1233" xr:uid="{00000000-0005-0000-0000-0000D4040000}"/>
    <cellStyle name="Title 4 2" xfId="1234" xr:uid="{00000000-0005-0000-0000-0000D5040000}"/>
    <cellStyle name="Title 5" xfId="1235" xr:uid="{00000000-0005-0000-0000-0000D6040000}"/>
    <cellStyle name="Title 5 2" xfId="1236" xr:uid="{00000000-0005-0000-0000-0000D7040000}"/>
    <cellStyle name="Titles" xfId="1237" xr:uid="{00000000-0005-0000-0000-0000D8040000}"/>
    <cellStyle name="Total 10" xfId="1238" xr:uid="{00000000-0005-0000-0000-0000D9040000}"/>
    <cellStyle name="Total 2" xfId="1239" xr:uid="{00000000-0005-0000-0000-0000DA040000}"/>
    <cellStyle name="Total 2 2" xfId="1240" xr:uid="{00000000-0005-0000-0000-0000DB040000}"/>
    <cellStyle name="Total 2 2 2" xfId="1241" xr:uid="{00000000-0005-0000-0000-0000DC040000}"/>
    <cellStyle name="Total 2 2 3" xfId="1242" xr:uid="{00000000-0005-0000-0000-0000DD040000}"/>
    <cellStyle name="Total 2 3" xfId="1243" xr:uid="{00000000-0005-0000-0000-0000DE040000}"/>
    <cellStyle name="Total 2 4" xfId="1244" xr:uid="{00000000-0005-0000-0000-0000DF040000}"/>
    <cellStyle name="Total 2 5" xfId="1245" xr:uid="{00000000-0005-0000-0000-0000E0040000}"/>
    <cellStyle name="Total 2 6" xfId="1246" xr:uid="{00000000-0005-0000-0000-0000E1040000}"/>
    <cellStyle name="Total 2 7" xfId="1247" xr:uid="{00000000-0005-0000-0000-0000E2040000}"/>
    <cellStyle name="Total 2 8" xfId="1248" xr:uid="{00000000-0005-0000-0000-0000E3040000}"/>
    <cellStyle name="Total 3" xfId="1249" xr:uid="{00000000-0005-0000-0000-0000E4040000}"/>
    <cellStyle name="Total 3 2" xfId="1250" xr:uid="{00000000-0005-0000-0000-0000E5040000}"/>
    <cellStyle name="Total 3 3" xfId="1251" xr:uid="{00000000-0005-0000-0000-0000E6040000}"/>
    <cellStyle name="Total 3 4" xfId="1252" xr:uid="{00000000-0005-0000-0000-0000E7040000}"/>
    <cellStyle name="Total 4" xfId="1253" xr:uid="{00000000-0005-0000-0000-0000E8040000}"/>
    <cellStyle name="Total 4 2" xfId="1254" xr:uid="{00000000-0005-0000-0000-0000E9040000}"/>
    <cellStyle name="Total 4 3" xfId="1255" xr:uid="{00000000-0005-0000-0000-0000EA040000}"/>
    <cellStyle name="Total 4 4" xfId="1256" xr:uid="{00000000-0005-0000-0000-0000EB040000}"/>
    <cellStyle name="Total 5" xfId="1257" xr:uid="{00000000-0005-0000-0000-0000EC040000}"/>
    <cellStyle name="Total 5 2" xfId="1258" xr:uid="{00000000-0005-0000-0000-0000ED040000}"/>
    <cellStyle name="Total 5 3" xfId="1259" xr:uid="{00000000-0005-0000-0000-0000EE040000}"/>
    <cellStyle name="Total 5 4" xfId="1260" xr:uid="{00000000-0005-0000-0000-0000EF040000}"/>
    <cellStyle name="Total 6" xfId="1261" xr:uid="{00000000-0005-0000-0000-0000F0040000}"/>
    <cellStyle name="Total 7" xfId="1262" xr:uid="{00000000-0005-0000-0000-0000F1040000}"/>
    <cellStyle name="Total 8" xfId="1263" xr:uid="{00000000-0005-0000-0000-0000F2040000}"/>
    <cellStyle name="Total 9" xfId="1264" xr:uid="{00000000-0005-0000-0000-0000F3040000}"/>
    <cellStyle name="Totals" xfId="1265" xr:uid="{00000000-0005-0000-0000-0000F4040000}"/>
    <cellStyle name="underline 1 decimal" xfId="1266" xr:uid="{00000000-0005-0000-0000-0000F5040000}"/>
    <cellStyle name="Underline_Single" xfId="1267" xr:uid="{00000000-0005-0000-0000-0000F6040000}"/>
    <cellStyle name="UnProtectedCalc" xfId="1268" xr:uid="{00000000-0005-0000-0000-0000F7040000}"/>
    <cellStyle name="Upload Only" xfId="1269" xr:uid="{00000000-0005-0000-0000-0000F8040000}"/>
    <cellStyle name="upper border" xfId="1270" xr:uid="{00000000-0005-0000-0000-0000F9040000}"/>
    <cellStyle name="upper border2" xfId="1271" xr:uid="{00000000-0005-0000-0000-0000FA040000}"/>
    <cellStyle name="Warning Text 2" xfId="1272" xr:uid="{00000000-0005-0000-0000-0000FB040000}"/>
    <cellStyle name="Warning Text 2 2" xfId="1273" xr:uid="{00000000-0005-0000-0000-0000FC040000}"/>
    <cellStyle name="Warning Text 3" xfId="1274" xr:uid="{00000000-0005-0000-0000-0000FD040000}"/>
    <cellStyle name="Warning Text 3 2" xfId="1275" xr:uid="{00000000-0005-0000-0000-0000FE040000}"/>
    <cellStyle name="Warning Text 4" xfId="1276" xr:uid="{00000000-0005-0000-0000-0000FF040000}"/>
    <cellStyle name="Warning Text 4 2" xfId="1277" xr:uid="{00000000-0005-0000-0000-000000050000}"/>
    <cellStyle name="Warning Text 5" xfId="1278" xr:uid="{00000000-0005-0000-0000-000001050000}"/>
    <cellStyle name="Warning Text 5 2" xfId="1279" xr:uid="{00000000-0005-0000-0000-000002050000}"/>
    <cellStyle name="weekly" xfId="1280" xr:uid="{00000000-0005-0000-0000-000003050000}"/>
    <cellStyle name="Year" xfId="1281" xr:uid="{00000000-0005-0000-0000-000004050000}"/>
    <cellStyle name="Year 2" xfId="1282" xr:uid="{00000000-0005-0000-0000-000005050000}"/>
    <cellStyle name="Year 3" xfId="1283" xr:uid="{00000000-0005-0000-0000-000006050000}"/>
    <cellStyle name="Year 4" xfId="1284" xr:uid="{00000000-0005-0000-0000-000007050000}"/>
    <cellStyle name="Year 5" xfId="1285" xr:uid="{00000000-0005-0000-0000-000008050000}"/>
    <cellStyle name="Year 6" xfId="1286" xr:uid="{00000000-0005-0000-0000-000009050000}"/>
  </cellStyles>
  <dxfs count="14">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17791411042947E-2"/>
          <c:y val="5.498300238604216E-2"/>
          <c:w val="0.89447852760736202"/>
          <c:h val="0.85910941228190874"/>
        </c:manualLayout>
      </c:layout>
      <c:barChart>
        <c:barDir val="col"/>
        <c:grouping val="clustered"/>
        <c:varyColors val="0"/>
        <c:ser>
          <c:idx val="1"/>
          <c:order val="1"/>
          <c:tx>
            <c:v>Volume</c:v>
          </c:tx>
          <c:spPr>
            <a:solidFill>
              <a:srgbClr val="7D7D7D"/>
            </a:solidFill>
            <a:ln w="25400">
              <a:noFill/>
            </a:ln>
          </c:spPr>
          <c:invertIfNegative val="0"/>
          <c:cat>
            <c:strLit>
              <c:ptCount val="1"/>
              <c:pt idx="0">
                <c:v>Price_Vol_Chart_Date</c:v>
              </c:pt>
            </c:strLit>
          </c:cat>
          <c:val>
            <c:numRef>
              <c:f>[0]!Price_Vol_Chart_Vol</c:f>
              <c:numCache>
                <c:formatCode>General</c:formatCode>
                <c:ptCount val="549"/>
                <c:pt idx="0">
                  <c:v>0</c:v>
                </c:pt>
                <c:pt idx="1">
                  <c:v>37043</c:v>
                </c:pt>
                <c:pt idx="2">
                  <c:v>111226</c:v>
                </c:pt>
                <c:pt idx="3">
                  <c:v>58227</c:v>
                </c:pt>
                <c:pt idx="4">
                  <c:v>58227</c:v>
                </c:pt>
                <c:pt idx="5">
                  <c:v>58227</c:v>
                </c:pt>
                <c:pt idx="6">
                  <c:v>93800</c:v>
                </c:pt>
                <c:pt idx="7">
                  <c:v>149331</c:v>
                </c:pt>
                <c:pt idx="8">
                  <c:v>85325</c:v>
                </c:pt>
                <c:pt idx="9">
                  <c:v>66154</c:v>
                </c:pt>
                <c:pt idx="10">
                  <c:v>447365</c:v>
                </c:pt>
                <c:pt idx="11">
                  <c:v>447365</c:v>
                </c:pt>
                <c:pt idx="12">
                  <c:v>447365</c:v>
                </c:pt>
                <c:pt idx="13">
                  <c:v>151091</c:v>
                </c:pt>
                <c:pt idx="14">
                  <c:v>233854</c:v>
                </c:pt>
                <c:pt idx="15">
                  <c:v>172813</c:v>
                </c:pt>
                <c:pt idx="16">
                  <c:v>160352</c:v>
                </c:pt>
                <c:pt idx="17">
                  <c:v>160030</c:v>
                </c:pt>
                <c:pt idx="18">
                  <c:v>160030</c:v>
                </c:pt>
                <c:pt idx="19">
                  <c:v>160030</c:v>
                </c:pt>
                <c:pt idx="20">
                  <c:v>214747</c:v>
                </c:pt>
                <c:pt idx="21">
                  <c:v>126066</c:v>
                </c:pt>
                <c:pt idx="22">
                  <c:v>249946</c:v>
                </c:pt>
                <c:pt idx="23">
                  <c:v>106320</c:v>
                </c:pt>
                <c:pt idx="24">
                  <c:v>78364</c:v>
                </c:pt>
                <c:pt idx="25">
                  <c:v>78364</c:v>
                </c:pt>
                <c:pt idx="26">
                  <c:v>78364</c:v>
                </c:pt>
                <c:pt idx="27">
                  <c:v>100007</c:v>
                </c:pt>
                <c:pt idx="28">
                  <c:v>86564</c:v>
                </c:pt>
                <c:pt idx="29">
                  <c:v>249716</c:v>
                </c:pt>
                <c:pt idx="30">
                  <c:v>124342</c:v>
                </c:pt>
                <c:pt idx="31">
                  <c:v>94221</c:v>
                </c:pt>
                <c:pt idx="32">
                  <c:v>94221</c:v>
                </c:pt>
                <c:pt idx="33">
                  <c:v>94221</c:v>
                </c:pt>
                <c:pt idx="34">
                  <c:v>200899</c:v>
                </c:pt>
                <c:pt idx="35">
                  <c:v>81371</c:v>
                </c:pt>
                <c:pt idx="36">
                  <c:v>68543</c:v>
                </c:pt>
                <c:pt idx="37">
                  <c:v>132702</c:v>
                </c:pt>
                <c:pt idx="38">
                  <c:v>207751</c:v>
                </c:pt>
                <c:pt idx="39">
                  <c:v>207751</c:v>
                </c:pt>
                <c:pt idx="40">
                  <c:v>207751</c:v>
                </c:pt>
                <c:pt idx="41">
                  <c:v>86821</c:v>
                </c:pt>
                <c:pt idx="42">
                  <c:v>76004</c:v>
                </c:pt>
                <c:pt idx="43">
                  <c:v>107000</c:v>
                </c:pt>
                <c:pt idx="44">
                  <c:v>284684</c:v>
                </c:pt>
                <c:pt idx="45">
                  <c:v>235941</c:v>
                </c:pt>
                <c:pt idx="46">
                  <c:v>235941</c:v>
                </c:pt>
                <c:pt idx="47">
                  <c:v>235941</c:v>
                </c:pt>
                <c:pt idx="48">
                  <c:v>322353</c:v>
                </c:pt>
                <c:pt idx="49">
                  <c:v>347308</c:v>
                </c:pt>
                <c:pt idx="50">
                  <c:v>259959</c:v>
                </c:pt>
                <c:pt idx="51">
                  <c:v>166042</c:v>
                </c:pt>
                <c:pt idx="52">
                  <c:v>71516</c:v>
                </c:pt>
                <c:pt idx="53">
                  <c:v>71516</c:v>
                </c:pt>
                <c:pt idx="54">
                  <c:v>71516</c:v>
                </c:pt>
                <c:pt idx="55">
                  <c:v>142389</c:v>
                </c:pt>
                <c:pt idx="56">
                  <c:v>237425</c:v>
                </c:pt>
                <c:pt idx="57">
                  <c:v>420944</c:v>
                </c:pt>
                <c:pt idx="58">
                  <c:v>215037</c:v>
                </c:pt>
                <c:pt idx="59">
                  <c:v>177406</c:v>
                </c:pt>
                <c:pt idx="60">
                  <c:v>177406</c:v>
                </c:pt>
                <c:pt idx="61">
                  <c:v>177406</c:v>
                </c:pt>
                <c:pt idx="62">
                  <c:v>277777</c:v>
                </c:pt>
                <c:pt idx="63">
                  <c:v>234973</c:v>
                </c:pt>
                <c:pt idx="64">
                  <c:v>693813</c:v>
                </c:pt>
                <c:pt idx="65">
                  <c:v>583329</c:v>
                </c:pt>
                <c:pt idx="66">
                  <c:v>330679</c:v>
                </c:pt>
                <c:pt idx="67">
                  <c:v>330679</c:v>
                </c:pt>
                <c:pt idx="68">
                  <c:v>330679</c:v>
                </c:pt>
                <c:pt idx="69">
                  <c:v>482546</c:v>
                </c:pt>
                <c:pt idx="70">
                  <c:v>609796</c:v>
                </c:pt>
                <c:pt idx="71">
                  <c:v>425674</c:v>
                </c:pt>
                <c:pt idx="72">
                  <c:v>555486</c:v>
                </c:pt>
                <c:pt idx="73">
                  <c:v>302183</c:v>
                </c:pt>
                <c:pt idx="74">
                  <c:v>302183</c:v>
                </c:pt>
                <c:pt idx="75">
                  <c:v>302183</c:v>
                </c:pt>
                <c:pt idx="76">
                  <c:v>157256</c:v>
                </c:pt>
                <c:pt idx="77">
                  <c:v>181927</c:v>
                </c:pt>
                <c:pt idx="78">
                  <c:v>1189207</c:v>
                </c:pt>
                <c:pt idx="79">
                  <c:v>796916</c:v>
                </c:pt>
                <c:pt idx="80">
                  <c:v>799720</c:v>
                </c:pt>
                <c:pt idx="81">
                  <c:v>799720</c:v>
                </c:pt>
                <c:pt idx="82">
                  <c:v>799720</c:v>
                </c:pt>
                <c:pt idx="83">
                  <c:v>458540</c:v>
                </c:pt>
                <c:pt idx="84">
                  <c:v>308091</c:v>
                </c:pt>
                <c:pt idx="85">
                  <c:v>252609</c:v>
                </c:pt>
                <c:pt idx="86">
                  <c:v>165412</c:v>
                </c:pt>
                <c:pt idx="87">
                  <c:v>155976</c:v>
                </c:pt>
                <c:pt idx="88">
                  <c:v>155976</c:v>
                </c:pt>
                <c:pt idx="89">
                  <c:v>155976</c:v>
                </c:pt>
                <c:pt idx="90">
                  <c:v>304035</c:v>
                </c:pt>
                <c:pt idx="91">
                  <c:v>205842</c:v>
                </c:pt>
                <c:pt idx="92">
                  <c:v>147528</c:v>
                </c:pt>
                <c:pt idx="93">
                  <c:v>379386</c:v>
                </c:pt>
                <c:pt idx="94">
                  <c:v>365109</c:v>
                </c:pt>
                <c:pt idx="95">
                  <c:v>365109</c:v>
                </c:pt>
                <c:pt idx="96">
                  <c:v>365109</c:v>
                </c:pt>
                <c:pt idx="97">
                  <c:v>442155</c:v>
                </c:pt>
                <c:pt idx="98">
                  <c:v>546794</c:v>
                </c:pt>
                <c:pt idx="99">
                  <c:v>682820</c:v>
                </c:pt>
                <c:pt idx="100">
                  <c:v>655056</c:v>
                </c:pt>
                <c:pt idx="101">
                  <c:v>357561</c:v>
                </c:pt>
                <c:pt idx="102">
                  <c:v>357561</c:v>
                </c:pt>
                <c:pt idx="103">
                  <c:v>357561</c:v>
                </c:pt>
                <c:pt idx="104">
                  <c:v>239560</c:v>
                </c:pt>
                <c:pt idx="105">
                  <c:v>207585</c:v>
                </c:pt>
                <c:pt idx="106">
                  <c:v>207219</c:v>
                </c:pt>
                <c:pt idx="107">
                  <c:v>236391</c:v>
                </c:pt>
                <c:pt idx="108">
                  <c:v>236391</c:v>
                </c:pt>
                <c:pt idx="109">
                  <c:v>236391</c:v>
                </c:pt>
                <c:pt idx="110">
                  <c:v>236391</c:v>
                </c:pt>
                <c:pt idx="111">
                  <c:v>236391</c:v>
                </c:pt>
                <c:pt idx="112">
                  <c:v>190298</c:v>
                </c:pt>
                <c:pt idx="113">
                  <c:v>306811</c:v>
                </c:pt>
                <c:pt idx="114">
                  <c:v>280307</c:v>
                </c:pt>
                <c:pt idx="115">
                  <c:v>301456</c:v>
                </c:pt>
                <c:pt idx="116">
                  <c:v>301456</c:v>
                </c:pt>
                <c:pt idx="117">
                  <c:v>301456</c:v>
                </c:pt>
                <c:pt idx="118">
                  <c:v>582626</c:v>
                </c:pt>
                <c:pt idx="119">
                  <c:v>432462</c:v>
                </c:pt>
                <c:pt idx="120">
                  <c:v>210657</c:v>
                </c:pt>
                <c:pt idx="121">
                  <c:v>210657</c:v>
                </c:pt>
                <c:pt idx="122">
                  <c:v>327739</c:v>
                </c:pt>
                <c:pt idx="123">
                  <c:v>327739</c:v>
                </c:pt>
                <c:pt idx="124">
                  <c:v>327739</c:v>
                </c:pt>
                <c:pt idx="125">
                  <c:v>230735</c:v>
                </c:pt>
                <c:pt idx="126">
                  <c:v>383690</c:v>
                </c:pt>
                <c:pt idx="127">
                  <c:v>228427</c:v>
                </c:pt>
                <c:pt idx="128">
                  <c:v>207110</c:v>
                </c:pt>
                <c:pt idx="129">
                  <c:v>490920</c:v>
                </c:pt>
                <c:pt idx="130">
                  <c:v>490920</c:v>
                </c:pt>
                <c:pt idx="131">
                  <c:v>490920</c:v>
                </c:pt>
                <c:pt idx="132">
                  <c:v>519300</c:v>
                </c:pt>
                <c:pt idx="133">
                  <c:v>390691</c:v>
                </c:pt>
                <c:pt idx="134">
                  <c:v>324115</c:v>
                </c:pt>
                <c:pt idx="135">
                  <c:v>471786</c:v>
                </c:pt>
                <c:pt idx="136">
                  <c:v>293092</c:v>
                </c:pt>
                <c:pt idx="137">
                  <c:v>293092</c:v>
                </c:pt>
                <c:pt idx="138">
                  <c:v>293092</c:v>
                </c:pt>
                <c:pt idx="139">
                  <c:v>241249</c:v>
                </c:pt>
                <c:pt idx="140">
                  <c:v>270337</c:v>
                </c:pt>
                <c:pt idx="141">
                  <c:v>121860</c:v>
                </c:pt>
                <c:pt idx="142">
                  <c:v>130532</c:v>
                </c:pt>
                <c:pt idx="143">
                  <c:v>402219</c:v>
                </c:pt>
                <c:pt idx="144">
                  <c:v>402219</c:v>
                </c:pt>
                <c:pt idx="145">
                  <c:v>402219</c:v>
                </c:pt>
                <c:pt idx="146">
                  <c:v>100064</c:v>
                </c:pt>
                <c:pt idx="147">
                  <c:v>143864</c:v>
                </c:pt>
                <c:pt idx="148">
                  <c:v>109985</c:v>
                </c:pt>
                <c:pt idx="149">
                  <c:v>297512</c:v>
                </c:pt>
                <c:pt idx="150">
                  <c:v>136988</c:v>
                </c:pt>
                <c:pt idx="151">
                  <c:v>136988</c:v>
                </c:pt>
                <c:pt idx="152">
                  <c:v>136988</c:v>
                </c:pt>
                <c:pt idx="153">
                  <c:v>384633</c:v>
                </c:pt>
                <c:pt idx="154">
                  <c:v>120892</c:v>
                </c:pt>
                <c:pt idx="155">
                  <c:v>202443</c:v>
                </c:pt>
                <c:pt idx="156">
                  <c:v>273149</c:v>
                </c:pt>
                <c:pt idx="157">
                  <c:v>102057</c:v>
                </c:pt>
                <c:pt idx="158">
                  <c:v>102057</c:v>
                </c:pt>
                <c:pt idx="159">
                  <c:v>102057</c:v>
                </c:pt>
                <c:pt idx="160">
                  <c:v>121716</c:v>
                </c:pt>
                <c:pt idx="161">
                  <c:v>120266</c:v>
                </c:pt>
                <c:pt idx="162">
                  <c:v>111419</c:v>
                </c:pt>
                <c:pt idx="163">
                  <c:v>153925</c:v>
                </c:pt>
                <c:pt idx="164">
                  <c:v>210762</c:v>
                </c:pt>
                <c:pt idx="165">
                  <c:v>210762</c:v>
                </c:pt>
                <c:pt idx="166">
                  <c:v>210762</c:v>
                </c:pt>
                <c:pt idx="167">
                  <c:v>155226</c:v>
                </c:pt>
                <c:pt idx="168">
                  <c:v>113619</c:v>
                </c:pt>
                <c:pt idx="169">
                  <c:v>290578</c:v>
                </c:pt>
                <c:pt idx="170">
                  <c:v>199728</c:v>
                </c:pt>
                <c:pt idx="171">
                  <c:v>636101</c:v>
                </c:pt>
                <c:pt idx="172">
                  <c:v>636101</c:v>
                </c:pt>
                <c:pt idx="173">
                  <c:v>636101</c:v>
                </c:pt>
                <c:pt idx="174">
                  <c:v>184528</c:v>
                </c:pt>
                <c:pt idx="175">
                  <c:v>308258</c:v>
                </c:pt>
                <c:pt idx="176">
                  <c:v>136050</c:v>
                </c:pt>
                <c:pt idx="177">
                  <c:v>544803</c:v>
                </c:pt>
                <c:pt idx="178">
                  <c:v>242136</c:v>
                </c:pt>
                <c:pt idx="179">
                  <c:v>242136</c:v>
                </c:pt>
                <c:pt idx="180">
                  <c:v>242136</c:v>
                </c:pt>
                <c:pt idx="181">
                  <c:v>202371</c:v>
                </c:pt>
                <c:pt idx="182">
                  <c:v>168989</c:v>
                </c:pt>
                <c:pt idx="183">
                  <c:v>372857</c:v>
                </c:pt>
                <c:pt idx="184">
                  <c:v>146985</c:v>
                </c:pt>
                <c:pt idx="185">
                  <c:v>111408</c:v>
                </c:pt>
                <c:pt idx="186">
                  <c:v>111408</c:v>
                </c:pt>
                <c:pt idx="187">
                  <c:v>111408</c:v>
                </c:pt>
                <c:pt idx="188">
                  <c:v>123277</c:v>
                </c:pt>
                <c:pt idx="189">
                  <c:v>301598</c:v>
                </c:pt>
                <c:pt idx="190">
                  <c:v>353052</c:v>
                </c:pt>
                <c:pt idx="191">
                  <c:v>221178</c:v>
                </c:pt>
                <c:pt idx="192">
                  <c:v>99450</c:v>
                </c:pt>
                <c:pt idx="193">
                  <c:v>99450</c:v>
                </c:pt>
                <c:pt idx="194">
                  <c:v>99450</c:v>
                </c:pt>
                <c:pt idx="195">
                  <c:v>110168</c:v>
                </c:pt>
                <c:pt idx="196">
                  <c:v>224589</c:v>
                </c:pt>
                <c:pt idx="197">
                  <c:v>115752</c:v>
                </c:pt>
                <c:pt idx="198">
                  <c:v>95390</c:v>
                </c:pt>
                <c:pt idx="199">
                  <c:v>151237</c:v>
                </c:pt>
                <c:pt idx="200">
                  <c:v>151237</c:v>
                </c:pt>
                <c:pt idx="201">
                  <c:v>151237</c:v>
                </c:pt>
                <c:pt idx="202">
                  <c:v>141538</c:v>
                </c:pt>
                <c:pt idx="203">
                  <c:v>127904</c:v>
                </c:pt>
                <c:pt idx="204">
                  <c:v>430190</c:v>
                </c:pt>
                <c:pt idx="205">
                  <c:v>353643</c:v>
                </c:pt>
                <c:pt idx="206">
                  <c:v>680380</c:v>
                </c:pt>
                <c:pt idx="207">
                  <c:v>680380</c:v>
                </c:pt>
                <c:pt idx="208">
                  <c:v>680380</c:v>
                </c:pt>
                <c:pt idx="209">
                  <c:v>328139</c:v>
                </c:pt>
                <c:pt idx="210">
                  <c:v>168529</c:v>
                </c:pt>
                <c:pt idx="211">
                  <c:v>141494</c:v>
                </c:pt>
                <c:pt idx="212">
                  <c:v>132827</c:v>
                </c:pt>
                <c:pt idx="213">
                  <c:v>269376</c:v>
                </c:pt>
                <c:pt idx="214">
                  <c:v>269376</c:v>
                </c:pt>
                <c:pt idx="215">
                  <c:v>269376</c:v>
                </c:pt>
                <c:pt idx="216">
                  <c:v>110077</c:v>
                </c:pt>
                <c:pt idx="217">
                  <c:v>102978</c:v>
                </c:pt>
                <c:pt idx="218">
                  <c:v>74459</c:v>
                </c:pt>
                <c:pt idx="219">
                  <c:v>170392</c:v>
                </c:pt>
                <c:pt idx="220">
                  <c:v>119948</c:v>
                </c:pt>
                <c:pt idx="221">
                  <c:v>119948</c:v>
                </c:pt>
                <c:pt idx="222">
                  <c:v>119948</c:v>
                </c:pt>
                <c:pt idx="223">
                  <c:v>65333</c:v>
                </c:pt>
                <c:pt idx="224">
                  <c:v>131993</c:v>
                </c:pt>
                <c:pt idx="225">
                  <c:v>112250</c:v>
                </c:pt>
                <c:pt idx="226">
                  <c:v>124756</c:v>
                </c:pt>
                <c:pt idx="227">
                  <c:v>76420</c:v>
                </c:pt>
                <c:pt idx="228">
                  <c:v>76420</c:v>
                </c:pt>
                <c:pt idx="229">
                  <c:v>76420</c:v>
                </c:pt>
                <c:pt idx="230">
                  <c:v>55936</c:v>
                </c:pt>
                <c:pt idx="231">
                  <c:v>65143</c:v>
                </c:pt>
                <c:pt idx="232">
                  <c:v>61239</c:v>
                </c:pt>
                <c:pt idx="233">
                  <c:v>67095</c:v>
                </c:pt>
                <c:pt idx="234">
                  <c:v>120661</c:v>
                </c:pt>
                <c:pt idx="235">
                  <c:v>120661</c:v>
                </c:pt>
                <c:pt idx="236">
                  <c:v>120661</c:v>
                </c:pt>
                <c:pt idx="237">
                  <c:v>113995</c:v>
                </c:pt>
                <c:pt idx="238">
                  <c:v>115659</c:v>
                </c:pt>
                <c:pt idx="239">
                  <c:v>71790</c:v>
                </c:pt>
                <c:pt idx="240">
                  <c:v>69933</c:v>
                </c:pt>
                <c:pt idx="241">
                  <c:v>60339</c:v>
                </c:pt>
                <c:pt idx="242">
                  <c:v>60339</c:v>
                </c:pt>
                <c:pt idx="243">
                  <c:v>60339</c:v>
                </c:pt>
                <c:pt idx="244">
                  <c:v>39004</c:v>
                </c:pt>
                <c:pt idx="245">
                  <c:v>153163</c:v>
                </c:pt>
                <c:pt idx="246">
                  <c:v>170661</c:v>
                </c:pt>
                <c:pt idx="247">
                  <c:v>286387</c:v>
                </c:pt>
                <c:pt idx="248">
                  <c:v>190670</c:v>
                </c:pt>
                <c:pt idx="249">
                  <c:v>190670</c:v>
                </c:pt>
                <c:pt idx="250">
                  <c:v>190670</c:v>
                </c:pt>
                <c:pt idx="251">
                  <c:v>108065</c:v>
                </c:pt>
                <c:pt idx="252">
                  <c:v>80018</c:v>
                </c:pt>
                <c:pt idx="253">
                  <c:v>177349</c:v>
                </c:pt>
                <c:pt idx="254">
                  <c:v>169673</c:v>
                </c:pt>
                <c:pt idx="255">
                  <c:v>74496</c:v>
                </c:pt>
                <c:pt idx="256">
                  <c:v>74496</c:v>
                </c:pt>
                <c:pt idx="257">
                  <c:v>74496</c:v>
                </c:pt>
                <c:pt idx="258">
                  <c:v>81029</c:v>
                </c:pt>
                <c:pt idx="259">
                  <c:v>136254</c:v>
                </c:pt>
                <c:pt idx="260">
                  <c:v>83302</c:v>
                </c:pt>
                <c:pt idx="261">
                  <c:v>83304</c:v>
                </c:pt>
                <c:pt idx="262">
                  <c:v>373348</c:v>
                </c:pt>
                <c:pt idx="263">
                  <c:v>373348</c:v>
                </c:pt>
                <c:pt idx="264">
                  <c:v>373348</c:v>
                </c:pt>
                <c:pt idx="265">
                  <c:v>215798</c:v>
                </c:pt>
                <c:pt idx="266">
                  <c:v>236995</c:v>
                </c:pt>
                <c:pt idx="267">
                  <c:v>290545</c:v>
                </c:pt>
                <c:pt idx="268">
                  <c:v>189225</c:v>
                </c:pt>
                <c:pt idx="269">
                  <c:v>440169</c:v>
                </c:pt>
                <c:pt idx="270">
                  <c:v>440169</c:v>
                </c:pt>
                <c:pt idx="271">
                  <c:v>440169</c:v>
                </c:pt>
                <c:pt idx="272">
                  <c:v>164535</c:v>
                </c:pt>
                <c:pt idx="273">
                  <c:v>148747</c:v>
                </c:pt>
                <c:pt idx="274">
                  <c:v>148640</c:v>
                </c:pt>
                <c:pt idx="275">
                  <c:v>128630</c:v>
                </c:pt>
                <c:pt idx="276">
                  <c:v>159774</c:v>
                </c:pt>
                <c:pt idx="277">
                  <c:v>159774</c:v>
                </c:pt>
                <c:pt idx="278">
                  <c:v>159774</c:v>
                </c:pt>
                <c:pt idx="279">
                  <c:v>108611</c:v>
                </c:pt>
                <c:pt idx="280">
                  <c:v>326279</c:v>
                </c:pt>
                <c:pt idx="281">
                  <c:v>153274</c:v>
                </c:pt>
                <c:pt idx="282">
                  <c:v>188333</c:v>
                </c:pt>
                <c:pt idx="283">
                  <c:v>195053</c:v>
                </c:pt>
                <c:pt idx="284">
                  <c:v>195053</c:v>
                </c:pt>
                <c:pt idx="285">
                  <c:v>195053</c:v>
                </c:pt>
                <c:pt idx="286">
                  <c:v>141760</c:v>
                </c:pt>
                <c:pt idx="287">
                  <c:v>185420</c:v>
                </c:pt>
                <c:pt idx="288">
                  <c:v>184100</c:v>
                </c:pt>
                <c:pt idx="289">
                  <c:v>119628</c:v>
                </c:pt>
                <c:pt idx="290">
                  <c:v>250863</c:v>
                </c:pt>
                <c:pt idx="291">
                  <c:v>250863</c:v>
                </c:pt>
                <c:pt idx="292">
                  <c:v>250863</c:v>
                </c:pt>
                <c:pt idx="293">
                  <c:v>161888</c:v>
                </c:pt>
                <c:pt idx="294">
                  <c:v>185287</c:v>
                </c:pt>
                <c:pt idx="295">
                  <c:v>581649</c:v>
                </c:pt>
                <c:pt idx="296">
                  <c:v>276642</c:v>
                </c:pt>
                <c:pt idx="297">
                  <c:v>167781</c:v>
                </c:pt>
                <c:pt idx="298">
                  <c:v>167781</c:v>
                </c:pt>
                <c:pt idx="299">
                  <c:v>167781</c:v>
                </c:pt>
                <c:pt idx="300">
                  <c:v>256491</c:v>
                </c:pt>
                <c:pt idx="301">
                  <c:v>238041</c:v>
                </c:pt>
                <c:pt idx="302">
                  <c:v>365946</c:v>
                </c:pt>
                <c:pt idx="303">
                  <c:v>200861</c:v>
                </c:pt>
                <c:pt idx="304">
                  <c:v>256996</c:v>
                </c:pt>
                <c:pt idx="305">
                  <c:v>256996</c:v>
                </c:pt>
                <c:pt idx="306">
                  <c:v>256996</c:v>
                </c:pt>
                <c:pt idx="307">
                  <c:v>203618</c:v>
                </c:pt>
                <c:pt idx="308">
                  <c:v>199204</c:v>
                </c:pt>
                <c:pt idx="309">
                  <c:v>191838</c:v>
                </c:pt>
                <c:pt idx="310">
                  <c:v>115958</c:v>
                </c:pt>
                <c:pt idx="311">
                  <c:v>115377</c:v>
                </c:pt>
                <c:pt idx="312">
                  <c:v>115377</c:v>
                </c:pt>
                <c:pt idx="313">
                  <c:v>115377</c:v>
                </c:pt>
                <c:pt idx="314">
                  <c:v>102549</c:v>
                </c:pt>
                <c:pt idx="315">
                  <c:v>108273</c:v>
                </c:pt>
                <c:pt idx="316">
                  <c:v>142425</c:v>
                </c:pt>
                <c:pt idx="317">
                  <c:v>123764</c:v>
                </c:pt>
                <c:pt idx="318">
                  <c:v>237701</c:v>
                </c:pt>
                <c:pt idx="319">
                  <c:v>237701</c:v>
                </c:pt>
                <c:pt idx="320">
                  <c:v>237701</c:v>
                </c:pt>
                <c:pt idx="321">
                  <c:v>89534</c:v>
                </c:pt>
                <c:pt idx="322">
                  <c:v>133170</c:v>
                </c:pt>
                <c:pt idx="323">
                  <c:v>155959</c:v>
                </c:pt>
                <c:pt idx="324">
                  <c:v>112347</c:v>
                </c:pt>
                <c:pt idx="325">
                  <c:v>146877</c:v>
                </c:pt>
                <c:pt idx="326">
                  <c:v>146877</c:v>
                </c:pt>
                <c:pt idx="327">
                  <c:v>146877</c:v>
                </c:pt>
                <c:pt idx="328">
                  <c:v>210305</c:v>
                </c:pt>
                <c:pt idx="329">
                  <c:v>138453</c:v>
                </c:pt>
                <c:pt idx="330">
                  <c:v>89815</c:v>
                </c:pt>
                <c:pt idx="331">
                  <c:v>71332</c:v>
                </c:pt>
                <c:pt idx="332">
                  <c:v>96161</c:v>
                </c:pt>
                <c:pt idx="333">
                  <c:v>96161</c:v>
                </c:pt>
                <c:pt idx="334">
                  <c:v>96161</c:v>
                </c:pt>
                <c:pt idx="335">
                  <c:v>95860</c:v>
                </c:pt>
                <c:pt idx="336">
                  <c:v>177005</c:v>
                </c:pt>
                <c:pt idx="337">
                  <c:v>96188</c:v>
                </c:pt>
                <c:pt idx="338">
                  <c:v>121231</c:v>
                </c:pt>
                <c:pt idx="339">
                  <c:v>179934</c:v>
                </c:pt>
                <c:pt idx="340">
                  <c:v>179934</c:v>
                </c:pt>
                <c:pt idx="341">
                  <c:v>179934</c:v>
                </c:pt>
                <c:pt idx="342">
                  <c:v>93468</c:v>
                </c:pt>
                <c:pt idx="343">
                  <c:v>122817</c:v>
                </c:pt>
                <c:pt idx="344">
                  <c:v>87032</c:v>
                </c:pt>
                <c:pt idx="345">
                  <c:v>220229</c:v>
                </c:pt>
                <c:pt idx="346">
                  <c:v>139606</c:v>
                </c:pt>
                <c:pt idx="347">
                  <c:v>139606</c:v>
                </c:pt>
                <c:pt idx="348">
                  <c:v>139606</c:v>
                </c:pt>
                <c:pt idx="349">
                  <c:v>152447</c:v>
                </c:pt>
                <c:pt idx="350">
                  <c:v>159462</c:v>
                </c:pt>
                <c:pt idx="351">
                  <c:v>137596</c:v>
                </c:pt>
                <c:pt idx="352">
                  <c:v>195144</c:v>
                </c:pt>
                <c:pt idx="353">
                  <c:v>177931</c:v>
                </c:pt>
                <c:pt idx="354">
                  <c:v>177931</c:v>
                </c:pt>
                <c:pt idx="355">
                  <c:v>177931</c:v>
                </c:pt>
                <c:pt idx="356">
                  <c:v>98389</c:v>
                </c:pt>
                <c:pt idx="357">
                  <c:v>57804</c:v>
                </c:pt>
                <c:pt idx="358">
                  <c:v>57804</c:v>
                </c:pt>
                <c:pt idx="359">
                  <c:v>57804</c:v>
                </c:pt>
                <c:pt idx="360">
                  <c:v>57804</c:v>
                </c:pt>
                <c:pt idx="361">
                  <c:v>57804</c:v>
                </c:pt>
                <c:pt idx="362">
                  <c:v>57804</c:v>
                </c:pt>
                <c:pt idx="363">
                  <c:v>85334</c:v>
                </c:pt>
                <c:pt idx="364">
                  <c:v>104661</c:v>
                </c:pt>
                <c:pt idx="365">
                  <c:v>104661</c:v>
                </c:pt>
                <c:pt idx="366">
                  <c:v>104661</c:v>
                </c:pt>
                <c:pt idx="367">
                  <c:v>127006</c:v>
                </c:pt>
                <c:pt idx="368">
                  <c:v>127006</c:v>
                </c:pt>
                <c:pt idx="369">
                  <c:v>127006</c:v>
                </c:pt>
                <c:pt idx="370">
                  <c:v>95029</c:v>
                </c:pt>
                <c:pt idx="371">
                  <c:v>134401</c:v>
                </c:pt>
                <c:pt idx="372">
                  <c:v>151535</c:v>
                </c:pt>
                <c:pt idx="373">
                  <c:v>114077</c:v>
                </c:pt>
                <c:pt idx="374">
                  <c:v>181592</c:v>
                </c:pt>
                <c:pt idx="375">
                  <c:v>181592</c:v>
                </c:pt>
                <c:pt idx="376">
                  <c:v>181592</c:v>
                </c:pt>
                <c:pt idx="377">
                  <c:v>85085</c:v>
                </c:pt>
                <c:pt idx="378">
                  <c:v>157885</c:v>
                </c:pt>
                <c:pt idx="379">
                  <c:v>129260</c:v>
                </c:pt>
                <c:pt idx="380">
                  <c:v>119501</c:v>
                </c:pt>
                <c:pt idx="381">
                  <c:v>103478</c:v>
                </c:pt>
                <c:pt idx="382">
                  <c:v>103478</c:v>
                </c:pt>
                <c:pt idx="383">
                  <c:v>103478</c:v>
                </c:pt>
                <c:pt idx="384">
                  <c:v>132457</c:v>
                </c:pt>
                <c:pt idx="385">
                  <c:v>281320</c:v>
                </c:pt>
                <c:pt idx="386">
                  <c:v>475859</c:v>
                </c:pt>
                <c:pt idx="387">
                  <c:v>185997</c:v>
                </c:pt>
                <c:pt idx="388">
                  <c:v>112435</c:v>
                </c:pt>
                <c:pt idx="389">
                  <c:v>112435</c:v>
                </c:pt>
                <c:pt idx="390">
                  <c:v>112435</c:v>
                </c:pt>
                <c:pt idx="391">
                  <c:v>98102</c:v>
                </c:pt>
                <c:pt idx="392">
                  <c:v>124855</c:v>
                </c:pt>
                <c:pt idx="393">
                  <c:v>272215</c:v>
                </c:pt>
                <c:pt idx="394">
                  <c:v>256057</c:v>
                </c:pt>
                <c:pt idx="395">
                  <c:v>108451</c:v>
                </c:pt>
                <c:pt idx="396">
                  <c:v>108451</c:v>
                </c:pt>
                <c:pt idx="397">
                  <c:v>108451</c:v>
                </c:pt>
                <c:pt idx="398">
                  <c:v>96176</c:v>
                </c:pt>
                <c:pt idx="399">
                  <c:v>223775</c:v>
                </c:pt>
                <c:pt idx="400">
                  <c:v>349392</c:v>
                </c:pt>
                <c:pt idx="401">
                  <c:v>137833</c:v>
                </c:pt>
                <c:pt idx="402">
                  <c:v>206017</c:v>
                </c:pt>
                <c:pt idx="403">
                  <c:v>206017</c:v>
                </c:pt>
                <c:pt idx="404">
                  <c:v>206017</c:v>
                </c:pt>
                <c:pt idx="405">
                  <c:v>231370</c:v>
                </c:pt>
                <c:pt idx="406">
                  <c:v>325093</c:v>
                </c:pt>
                <c:pt idx="407">
                  <c:v>145566</c:v>
                </c:pt>
                <c:pt idx="408">
                  <c:v>336818</c:v>
                </c:pt>
                <c:pt idx="409">
                  <c:v>128431</c:v>
                </c:pt>
                <c:pt idx="410">
                  <c:v>128431</c:v>
                </c:pt>
                <c:pt idx="411">
                  <c:v>128431</c:v>
                </c:pt>
                <c:pt idx="412">
                  <c:v>91067</c:v>
                </c:pt>
                <c:pt idx="413">
                  <c:v>85161</c:v>
                </c:pt>
                <c:pt idx="414">
                  <c:v>123320</c:v>
                </c:pt>
                <c:pt idx="415">
                  <c:v>66006</c:v>
                </c:pt>
                <c:pt idx="416">
                  <c:v>92162</c:v>
                </c:pt>
                <c:pt idx="417">
                  <c:v>92162</c:v>
                </c:pt>
                <c:pt idx="418">
                  <c:v>92162</c:v>
                </c:pt>
                <c:pt idx="419">
                  <c:v>66962</c:v>
                </c:pt>
                <c:pt idx="420">
                  <c:v>123476</c:v>
                </c:pt>
                <c:pt idx="421">
                  <c:v>192849</c:v>
                </c:pt>
                <c:pt idx="422">
                  <c:v>100101</c:v>
                </c:pt>
                <c:pt idx="423">
                  <c:v>175099</c:v>
                </c:pt>
                <c:pt idx="424">
                  <c:v>175099</c:v>
                </c:pt>
                <c:pt idx="425">
                  <c:v>175099</c:v>
                </c:pt>
                <c:pt idx="426">
                  <c:v>239870</c:v>
                </c:pt>
                <c:pt idx="427">
                  <c:v>393363</c:v>
                </c:pt>
                <c:pt idx="428">
                  <c:v>669313</c:v>
                </c:pt>
                <c:pt idx="429">
                  <c:v>347695</c:v>
                </c:pt>
                <c:pt idx="430">
                  <c:v>283508</c:v>
                </c:pt>
                <c:pt idx="431">
                  <c:v>283508</c:v>
                </c:pt>
                <c:pt idx="432">
                  <c:v>283508</c:v>
                </c:pt>
                <c:pt idx="433">
                  <c:v>427946</c:v>
                </c:pt>
                <c:pt idx="434">
                  <c:v>223903</c:v>
                </c:pt>
                <c:pt idx="435">
                  <c:v>147407</c:v>
                </c:pt>
                <c:pt idx="436">
                  <c:v>305337</c:v>
                </c:pt>
                <c:pt idx="437">
                  <c:v>393893</c:v>
                </c:pt>
                <c:pt idx="438">
                  <c:v>393893</c:v>
                </c:pt>
                <c:pt idx="439">
                  <c:v>393893</c:v>
                </c:pt>
                <c:pt idx="440">
                  <c:v>265130</c:v>
                </c:pt>
                <c:pt idx="441">
                  <c:v>115596</c:v>
                </c:pt>
                <c:pt idx="442">
                  <c:v>143851</c:v>
                </c:pt>
                <c:pt idx="443">
                  <c:v>258333</c:v>
                </c:pt>
                <c:pt idx="444">
                  <c:v>343561</c:v>
                </c:pt>
                <c:pt idx="445">
                  <c:v>343561</c:v>
                </c:pt>
                <c:pt idx="446">
                  <c:v>343561</c:v>
                </c:pt>
                <c:pt idx="447">
                  <c:v>330940</c:v>
                </c:pt>
                <c:pt idx="448">
                  <c:v>161604</c:v>
                </c:pt>
                <c:pt idx="449">
                  <c:v>177954</c:v>
                </c:pt>
                <c:pt idx="450">
                  <c:v>145491</c:v>
                </c:pt>
                <c:pt idx="451">
                  <c:v>138692</c:v>
                </c:pt>
                <c:pt idx="452">
                  <c:v>138692</c:v>
                </c:pt>
                <c:pt idx="453">
                  <c:v>138692</c:v>
                </c:pt>
                <c:pt idx="454">
                  <c:v>149774</c:v>
                </c:pt>
                <c:pt idx="455">
                  <c:v>260749</c:v>
                </c:pt>
                <c:pt idx="456">
                  <c:v>213815</c:v>
                </c:pt>
                <c:pt idx="457">
                  <c:v>180240</c:v>
                </c:pt>
                <c:pt idx="458">
                  <c:v>180240</c:v>
                </c:pt>
                <c:pt idx="459">
                  <c:v>180240</c:v>
                </c:pt>
                <c:pt idx="460">
                  <c:v>180240</c:v>
                </c:pt>
                <c:pt idx="461">
                  <c:v>180240</c:v>
                </c:pt>
                <c:pt idx="462">
                  <c:v>224970</c:v>
                </c:pt>
                <c:pt idx="463">
                  <c:v>307393</c:v>
                </c:pt>
                <c:pt idx="464">
                  <c:v>192373</c:v>
                </c:pt>
                <c:pt idx="465">
                  <c:v>165238</c:v>
                </c:pt>
                <c:pt idx="466">
                  <c:v>165238</c:v>
                </c:pt>
                <c:pt idx="467">
                  <c:v>165238</c:v>
                </c:pt>
                <c:pt idx="468">
                  <c:v>111295</c:v>
                </c:pt>
                <c:pt idx="469">
                  <c:v>130920</c:v>
                </c:pt>
                <c:pt idx="470">
                  <c:v>156538</c:v>
                </c:pt>
                <c:pt idx="471">
                  <c:v>151380</c:v>
                </c:pt>
                <c:pt idx="472">
                  <c:v>134506</c:v>
                </c:pt>
                <c:pt idx="473">
                  <c:v>134506</c:v>
                </c:pt>
                <c:pt idx="474">
                  <c:v>134506</c:v>
                </c:pt>
                <c:pt idx="475">
                  <c:v>125330</c:v>
                </c:pt>
                <c:pt idx="476">
                  <c:v>149948</c:v>
                </c:pt>
                <c:pt idx="477">
                  <c:v>203175</c:v>
                </c:pt>
                <c:pt idx="478">
                  <c:v>120806</c:v>
                </c:pt>
                <c:pt idx="479">
                  <c:v>156642</c:v>
                </c:pt>
                <c:pt idx="480">
                  <c:v>156642</c:v>
                </c:pt>
                <c:pt idx="481">
                  <c:v>156642</c:v>
                </c:pt>
                <c:pt idx="482">
                  <c:v>101629</c:v>
                </c:pt>
                <c:pt idx="483">
                  <c:v>154681</c:v>
                </c:pt>
                <c:pt idx="484">
                  <c:v>362611</c:v>
                </c:pt>
                <c:pt idx="485">
                  <c:v>260690</c:v>
                </c:pt>
                <c:pt idx="486">
                  <c:v>260690</c:v>
                </c:pt>
                <c:pt idx="487">
                  <c:v>260690</c:v>
                </c:pt>
                <c:pt idx="488">
                  <c:v>260690</c:v>
                </c:pt>
                <c:pt idx="489">
                  <c:v>305198</c:v>
                </c:pt>
                <c:pt idx="490">
                  <c:v>140919</c:v>
                </c:pt>
                <c:pt idx="491">
                  <c:v>237396</c:v>
                </c:pt>
                <c:pt idx="492">
                  <c:v>154357</c:v>
                </c:pt>
                <c:pt idx="493">
                  <c:v>145921</c:v>
                </c:pt>
                <c:pt idx="494">
                  <c:v>145921</c:v>
                </c:pt>
                <c:pt idx="495">
                  <c:v>145921</c:v>
                </c:pt>
                <c:pt idx="496">
                  <c:v>225013</c:v>
                </c:pt>
                <c:pt idx="497">
                  <c:v>231215</c:v>
                </c:pt>
                <c:pt idx="498">
                  <c:v>148333</c:v>
                </c:pt>
                <c:pt idx="499">
                  <c:v>86978</c:v>
                </c:pt>
                <c:pt idx="500">
                  <c:v>178523</c:v>
                </c:pt>
                <c:pt idx="501">
                  <c:v>178523</c:v>
                </c:pt>
                <c:pt idx="502">
                  <c:v>178523</c:v>
                </c:pt>
                <c:pt idx="503">
                  <c:v>102041</c:v>
                </c:pt>
                <c:pt idx="504">
                  <c:v>185767</c:v>
                </c:pt>
                <c:pt idx="505">
                  <c:v>100736</c:v>
                </c:pt>
                <c:pt idx="506">
                  <c:v>113049</c:v>
                </c:pt>
                <c:pt idx="507">
                  <c:v>101651</c:v>
                </c:pt>
                <c:pt idx="508">
                  <c:v>101651</c:v>
                </c:pt>
                <c:pt idx="509">
                  <c:v>101651</c:v>
                </c:pt>
                <c:pt idx="510">
                  <c:v>66207</c:v>
                </c:pt>
                <c:pt idx="511">
                  <c:v>94203</c:v>
                </c:pt>
                <c:pt idx="512">
                  <c:v>107294</c:v>
                </c:pt>
                <c:pt idx="513">
                  <c:v>67730</c:v>
                </c:pt>
                <c:pt idx="514">
                  <c:v>136161</c:v>
                </c:pt>
                <c:pt idx="515">
                  <c:v>136161</c:v>
                </c:pt>
                <c:pt idx="516">
                  <c:v>136161</c:v>
                </c:pt>
                <c:pt idx="517">
                  <c:v>162755</c:v>
                </c:pt>
                <c:pt idx="518">
                  <c:v>66641</c:v>
                </c:pt>
                <c:pt idx="519">
                  <c:v>108393</c:v>
                </c:pt>
                <c:pt idx="520">
                  <c:v>105760</c:v>
                </c:pt>
                <c:pt idx="521">
                  <c:v>105051</c:v>
                </c:pt>
                <c:pt idx="522">
                  <c:v>105051</c:v>
                </c:pt>
                <c:pt idx="523">
                  <c:v>105051</c:v>
                </c:pt>
                <c:pt idx="524">
                  <c:v>103656</c:v>
                </c:pt>
                <c:pt idx="525">
                  <c:v>79876</c:v>
                </c:pt>
                <c:pt idx="526">
                  <c:v>67499</c:v>
                </c:pt>
                <c:pt idx="527">
                  <c:v>99010</c:v>
                </c:pt>
                <c:pt idx="528">
                  <c:v>80205</c:v>
                </c:pt>
                <c:pt idx="529">
                  <c:v>80205</c:v>
                </c:pt>
                <c:pt idx="530">
                  <c:v>80205</c:v>
                </c:pt>
                <c:pt idx="531">
                  <c:v>116736</c:v>
                </c:pt>
                <c:pt idx="532">
                  <c:v>94177</c:v>
                </c:pt>
                <c:pt idx="533">
                  <c:v>194066</c:v>
                </c:pt>
                <c:pt idx="534">
                  <c:v>256337</c:v>
                </c:pt>
                <c:pt idx="535">
                  <c:v>159734</c:v>
                </c:pt>
                <c:pt idx="536">
                  <c:v>159734</c:v>
                </c:pt>
                <c:pt idx="537">
                  <c:v>159734</c:v>
                </c:pt>
                <c:pt idx="538">
                  <c:v>244916</c:v>
                </c:pt>
                <c:pt idx="539">
                  <c:v>104072</c:v>
                </c:pt>
                <c:pt idx="540">
                  <c:v>139271</c:v>
                </c:pt>
                <c:pt idx="541">
                  <c:v>98145</c:v>
                </c:pt>
                <c:pt idx="542">
                  <c:v>285381</c:v>
                </c:pt>
                <c:pt idx="543">
                  <c:v>285381</c:v>
                </c:pt>
                <c:pt idx="544">
                  <c:v>285381</c:v>
                </c:pt>
                <c:pt idx="545">
                  <c:v>191899</c:v>
                </c:pt>
                <c:pt idx="546">
                  <c:v>162807</c:v>
                </c:pt>
                <c:pt idx="547">
                  <c:v>177312</c:v>
                </c:pt>
                <c:pt idx="548">
                  <c:v>18895</c:v>
                </c:pt>
              </c:numCache>
            </c:numRef>
          </c:val>
          <c:extLst>
            <c:ext xmlns:c16="http://schemas.microsoft.com/office/drawing/2014/chart" uri="{C3380CC4-5D6E-409C-BE32-E72D297353CC}">
              <c16:uniqueId val="{00000000-6BDE-4F8D-A642-0633AAF337B2}"/>
            </c:ext>
          </c:extLst>
        </c:ser>
        <c:dLbls>
          <c:showLegendKey val="0"/>
          <c:showVal val="0"/>
          <c:showCatName val="0"/>
          <c:showSerName val="0"/>
          <c:showPercent val="0"/>
          <c:showBubbleSize val="0"/>
        </c:dLbls>
        <c:gapWidth val="130"/>
        <c:axId val="452774144"/>
        <c:axId val="373440512"/>
      </c:barChart>
      <c:lineChart>
        <c:grouping val="standard"/>
        <c:varyColors val="0"/>
        <c:ser>
          <c:idx val="0"/>
          <c:order val="0"/>
          <c:tx>
            <c:v>Price</c:v>
          </c:tx>
          <c:spPr>
            <a:ln w="25400">
              <a:solidFill>
                <a:srgbClr val="477AB7"/>
              </a:solidFill>
              <a:prstDash val="solid"/>
            </a:ln>
          </c:spPr>
          <c:marker>
            <c:symbol val="none"/>
          </c:marker>
          <c:cat>
            <c:numRef>
              <c:f>[0]!Price_Vol_Chart_Date</c:f>
              <c:numCache>
                <c:formatCode>m/d/yyyy</c:formatCode>
                <c:ptCount val="549"/>
                <c:pt idx="0">
                  <c:v>0</c:v>
                </c:pt>
                <c:pt idx="1">
                  <c:v>45658</c:v>
                </c:pt>
                <c:pt idx="2">
                  <c:v>45659</c:v>
                </c:pt>
                <c:pt idx="3">
                  <c:v>45660</c:v>
                </c:pt>
                <c:pt idx="4">
                  <c:v>45661</c:v>
                </c:pt>
                <c:pt idx="5">
                  <c:v>45662</c:v>
                </c:pt>
                <c:pt idx="6">
                  <c:v>45663</c:v>
                </c:pt>
                <c:pt idx="7">
                  <c:v>45664</c:v>
                </c:pt>
                <c:pt idx="8">
                  <c:v>45665</c:v>
                </c:pt>
                <c:pt idx="9">
                  <c:v>45666</c:v>
                </c:pt>
                <c:pt idx="10">
                  <c:v>45667</c:v>
                </c:pt>
                <c:pt idx="11">
                  <c:v>45668</c:v>
                </c:pt>
                <c:pt idx="12">
                  <c:v>45669</c:v>
                </c:pt>
                <c:pt idx="13">
                  <c:v>45670</c:v>
                </c:pt>
                <c:pt idx="14">
                  <c:v>45671</c:v>
                </c:pt>
                <c:pt idx="15">
                  <c:v>45672</c:v>
                </c:pt>
                <c:pt idx="16">
                  <c:v>45673</c:v>
                </c:pt>
                <c:pt idx="17">
                  <c:v>45674</c:v>
                </c:pt>
                <c:pt idx="18">
                  <c:v>45675</c:v>
                </c:pt>
                <c:pt idx="19">
                  <c:v>45676</c:v>
                </c:pt>
                <c:pt idx="20">
                  <c:v>45677</c:v>
                </c:pt>
                <c:pt idx="21">
                  <c:v>45678</c:v>
                </c:pt>
                <c:pt idx="22">
                  <c:v>45679</c:v>
                </c:pt>
                <c:pt idx="23">
                  <c:v>45680</c:v>
                </c:pt>
                <c:pt idx="24">
                  <c:v>45681</c:v>
                </c:pt>
                <c:pt idx="25">
                  <c:v>45682</c:v>
                </c:pt>
                <c:pt idx="26">
                  <c:v>45683</c:v>
                </c:pt>
                <c:pt idx="27">
                  <c:v>45684</c:v>
                </c:pt>
                <c:pt idx="28">
                  <c:v>45685</c:v>
                </c:pt>
                <c:pt idx="29">
                  <c:v>45686</c:v>
                </c:pt>
                <c:pt idx="30">
                  <c:v>45687</c:v>
                </c:pt>
                <c:pt idx="31">
                  <c:v>45688</c:v>
                </c:pt>
                <c:pt idx="32">
                  <c:v>45689</c:v>
                </c:pt>
                <c:pt idx="33">
                  <c:v>45690</c:v>
                </c:pt>
                <c:pt idx="34">
                  <c:v>45691</c:v>
                </c:pt>
                <c:pt idx="35">
                  <c:v>45692</c:v>
                </c:pt>
                <c:pt idx="36">
                  <c:v>45693</c:v>
                </c:pt>
                <c:pt idx="37">
                  <c:v>45694</c:v>
                </c:pt>
                <c:pt idx="38">
                  <c:v>45695</c:v>
                </c:pt>
                <c:pt idx="39">
                  <c:v>45696</c:v>
                </c:pt>
                <c:pt idx="40">
                  <c:v>45697</c:v>
                </c:pt>
                <c:pt idx="41">
                  <c:v>45698</c:v>
                </c:pt>
                <c:pt idx="42">
                  <c:v>45699</c:v>
                </c:pt>
                <c:pt idx="43">
                  <c:v>45700</c:v>
                </c:pt>
                <c:pt idx="44">
                  <c:v>45701</c:v>
                </c:pt>
                <c:pt idx="45">
                  <c:v>45702</c:v>
                </c:pt>
                <c:pt idx="46">
                  <c:v>45703</c:v>
                </c:pt>
                <c:pt idx="47">
                  <c:v>45704</c:v>
                </c:pt>
                <c:pt idx="48">
                  <c:v>45705</c:v>
                </c:pt>
                <c:pt idx="49">
                  <c:v>45706</c:v>
                </c:pt>
                <c:pt idx="50">
                  <c:v>45707</c:v>
                </c:pt>
                <c:pt idx="51">
                  <c:v>45708</c:v>
                </c:pt>
                <c:pt idx="52">
                  <c:v>45709</c:v>
                </c:pt>
                <c:pt idx="53">
                  <c:v>45710</c:v>
                </c:pt>
                <c:pt idx="54">
                  <c:v>45711</c:v>
                </c:pt>
                <c:pt idx="55">
                  <c:v>45712</c:v>
                </c:pt>
                <c:pt idx="56">
                  <c:v>45713</c:v>
                </c:pt>
                <c:pt idx="57">
                  <c:v>45714</c:v>
                </c:pt>
                <c:pt idx="58">
                  <c:v>45715</c:v>
                </c:pt>
                <c:pt idx="59">
                  <c:v>45716</c:v>
                </c:pt>
                <c:pt idx="60">
                  <c:v>45717</c:v>
                </c:pt>
                <c:pt idx="61">
                  <c:v>45718</c:v>
                </c:pt>
                <c:pt idx="62">
                  <c:v>45719</c:v>
                </c:pt>
                <c:pt idx="63">
                  <c:v>45720</c:v>
                </c:pt>
                <c:pt idx="64">
                  <c:v>45721</c:v>
                </c:pt>
                <c:pt idx="65">
                  <c:v>45722</c:v>
                </c:pt>
                <c:pt idx="66">
                  <c:v>45723</c:v>
                </c:pt>
                <c:pt idx="67">
                  <c:v>45724</c:v>
                </c:pt>
                <c:pt idx="68">
                  <c:v>45725</c:v>
                </c:pt>
                <c:pt idx="69">
                  <c:v>45726</c:v>
                </c:pt>
                <c:pt idx="70">
                  <c:v>45727</c:v>
                </c:pt>
                <c:pt idx="71">
                  <c:v>45728</c:v>
                </c:pt>
                <c:pt idx="72">
                  <c:v>45729</c:v>
                </c:pt>
                <c:pt idx="73">
                  <c:v>45730</c:v>
                </c:pt>
                <c:pt idx="74">
                  <c:v>45731</c:v>
                </c:pt>
                <c:pt idx="75">
                  <c:v>45732</c:v>
                </c:pt>
                <c:pt idx="76">
                  <c:v>45733</c:v>
                </c:pt>
                <c:pt idx="77">
                  <c:v>45734</c:v>
                </c:pt>
                <c:pt idx="78">
                  <c:v>45735</c:v>
                </c:pt>
                <c:pt idx="79">
                  <c:v>45736</c:v>
                </c:pt>
                <c:pt idx="80">
                  <c:v>45737</c:v>
                </c:pt>
                <c:pt idx="81">
                  <c:v>45738</c:v>
                </c:pt>
                <c:pt idx="82">
                  <c:v>45739</c:v>
                </c:pt>
                <c:pt idx="83">
                  <c:v>45740</c:v>
                </c:pt>
                <c:pt idx="84">
                  <c:v>45741</c:v>
                </c:pt>
                <c:pt idx="85">
                  <c:v>45742</c:v>
                </c:pt>
                <c:pt idx="86">
                  <c:v>45743</c:v>
                </c:pt>
                <c:pt idx="87">
                  <c:v>45744</c:v>
                </c:pt>
                <c:pt idx="88">
                  <c:v>45745</c:v>
                </c:pt>
                <c:pt idx="89">
                  <c:v>45746</c:v>
                </c:pt>
                <c:pt idx="90">
                  <c:v>45747</c:v>
                </c:pt>
                <c:pt idx="91">
                  <c:v>45748</c:v>
                </c:pt>
                <c:pt idx="92">
                  <c:v>45749</c:v>
                </c:pt>
                <c:pt idx="93">
                  <c:v>45750</c:v>
                </c:pt>
                <c:pt idx="94">
                  <c:v>45751</c:v>
                </c:pt>
                <c:pt idx="95">
                  <c:v>45752</c:v>
                </c:pt>
                <c:pt idx="96">
                  <c:v>45753</c:v>
                </c:pt>
                <c:pt idx="97">
                  <c:v>45754</c:v>
                </c:pt>
                <c:pt idx="98">
                  <c:v>45755</c:v>
                </c:pt>
                <c:pt idx="99">
                  <c:v>45756</c:v>
                </c:pt>
                <c:pt idx="100">
                  <c:v>45757</c:v>
                </c:pt>
                <c:pt idx="101">
                  <c:v>45758</c:v>
                </c:pt>
                <c:pt idx="102">
                  <c:v>45759</c:v>
                </c:pt>
                <c:pt idx="103">
                  <c:v>45760</c:v>
                </c:pt>
                <c:pt idx="104">
                  <c:v>45761</c:v>
                </c:pt>
                <c:pt idx="105">
                  <c:v>45762</c:v>
                </c:pt>
                <c:pt idx="106">
                  <c:v>45763</c:v>
                </c:pt>
                <c:pt idx="107">
                  <c:v>45764</c:v>
                </c:pt>
                <c:pt idx="108">
                  <c:v>45765</c:v>
                </c:pt>
                <c:pt idx="109">
                  <c:v>45766</c:v>
                </c:pt>
                <c:pt idx="110">
                  <c:v>45767</c:v>
                </c:pt>
                <c:pt idx="111">
                  <c:v>45768</c:v>
                </c:pt>
                <c:pt idx="112">
                  <c:v>45769</c:v>
                </c:pt>
                <c:pt idx="113">
                  <c:v>45770</c:v>
                </c:pt>
                <c:pt idx="114">
                  <c:v>45771</c:v>
                </c:pt>
                <c:pt idx="115">
                  <c:v>45772</c:v>
                </c:pt>
                <c:pt idx="116">
                  <c:v>45773</c:v>
                </c:pt>
                <c:pt idx="117">
                  <c:v>45774</c:v>
                </c:pt>
                <c:pt idx="118">
                  <c:v>45775</c:v>
                </c:pt>
                <c:pt idx="119">
                  <c:v>45776</c:v>
                </c:pt>
                <c:pt idx="120">
                  <c:v>45777</c:v>
                </c:pt>
                <c:pt idx="121">
                  <c:v>45778</c:v>
                </c:pt>
                <c:pt idx="122">
                  <c:v>45779</c:v>
                </c:pt>
                <c:pt idx="123">
                  <c:v>45780</c:v>
                </c:pt>
                <c:pt idx="124">
                  <c:v>45781</c:v>
                </c:pt>
                <c:pt idx="125">
                  <c:v>45782</c:v>
                </c:pt>
                <c:pt idx="126">
                  <c:v>45783</c:v>
                </c:pt>
                <c:pt idx="127">
                  <c:v>45784</c:v>
                </c:pt>
                <c:pt idx="128">
                  <c:v>45785</c:v>
                </c:pt>
                <c:pt idx="129">
                  <c:v>45786</c:v>
                </c:pt>
                <c:pt idx="130">
                  <c:v>45787</c:v>
                </c:pt>
                <c:pt idx="131">
                  <c:v>45788</c:v>
                </c:pt>
                <c:pt idx="132">
                  <c:v>45789</c:v>
                </c:pt>
                <c:pt idx="133">
                  <c:v>45790</c:v>
                </c:pt>
                <c:pt idx="134">
                  <c:v>45791</c:v>
                </c:pt>
                <c:pt idx="135">
                  <c:v>45792</c:v>
                </c:pt>
                <c:pt idx="136">
                  <c:v>45793</c:v>
                </c:pt>
                <c:pt idx="137">
                  <c:v>45794</c:v>
                </c:pt>
                <c:pt idx="138">
                  <c:v>45795</c:v>
                </c:pt>
                <c:pt idx="139">
                  <c:v>45796</c:v>
                </c:pt>
                <c:pt idx="140">
                  <c:v>45797</c:v>
                </c:pt>
                <c:pt idx="141">
                  <c:v>45798</c:v>
                </c:pt>
                <c:pt idx="142">
                  <c:v>45799</c:v>
                </c:pt>
                <c:pt idx="143">
                  <c:v>45800</c:v>
                </c:pt>
                <c:pt idx="144">
                  <c:v>45801</c:v>
                </c:pt>
                <c:pt idx="145">
                  <c:v>45802</c:v>
                </c:pt>
                <c:pt idx="146">
                  <c:v>45803</c:v>
                </c:pt>
                <c:pt idx="147">
                  <c:v>45804</c:v>
                </c:pt>
                <c:pt idx="148">
                  <c:v>45805</c:v>
                </c:pt>
                <c:pt idx="149">
                  <c:v>45806</c:v>
                </c:pt>
                <c:pt idx="150">
                  <c:v>45807</c:v>
                </c:pt>
                <c:pt idx="151">
                  <c:v>45808</c:v>
                </c:pt>
                <c:pt idx="152">
                  <c:v>45809</c:v>
                </c:pt>
                <c:pt idx="153">
                  <c:v>45810</c:v>
                </c:pt>
                <c:pt idx="154">
                  <c:v>45811</c:v>
                </c:pt>
                <c:pt idx="155">
                  <c:v>45812</c:v>
                </c:pt>
                <c:pt idx="156">
                  <c:v>45813</c:v>
                </c:pt>
                <c:pt idx="157">
                  <c:v>45814</c:v>
                </c:pt>
                <c:pt idx="158">
                  <c:v>45815</c:v>
                </c:pt>
                <c:pt idx="159">
                  <c:v>45816</c:v>
                </c:pt>
                <c:pt idx="160">
                  <c:v>45817</c:v>
                </c:pt>
                <c:pt idx="161">
                  <c:v>45818</c:v>
                </c:pt>
                <c:pt idx="162">
                  <c:v>45819</c:v>
                </c:pt>
                <c:pt idx="163">
                  <c:v>45820</c:v>
                </c:pt>
                <c:pt idx="164">
                  <c:v>45821</c:v>
                </c:pt>
                <c:pt idx="165">
                  <c:v>45822</c:v>
                </c:pt>
                <c:pt idx="166">
                  <c:v>45823</c:v>
                </c:pt>
                <c:pt idx="167">
                  <c:v>45824</c:v>
                </c:pt>
                <c:pt idx="168">
                  <c:v>45825</c:v>
                </c:pt>
                <c:pt idx="169">
                  <c:v>45826</c:v>
                </c:pt>
                <c:pt idx="170">
                  <c:v>45827</c:v>
                </c:pt>
                <c:pt idx="171">
                  <c:v>45828</c:v>
                </c:pt>
                <c:pt idx="172">
                  <c:v>45829</c:v>
                </c:pt>
                <c:pt idx="173">
                  <c:v>45830</c:v>
                </c:pt>
                <c:pt idx="174">
                  <c:v>45831</c:v>
                </c:pt>
                <c:pt idx="175">
                  <c:v>45832</c:v>
                </c:pt>
                <c:pt idx="176">
                  <c:v>45833</c:v>
                </c:pt>
                <c:pt idx="177">
                  <c:v>45834</c:v>
                </c:pt>
                <c:pt idx="178">
                  <c:v>45835</c:v>
                </c:pt>
                <c:pt idx="179">
                  <c:v>45836</c:v>
                </c:pt>
                <c:pt idx="180">
                  <c:v>45837</c:v>
                </c:pt>
                <c:pt idx="181">
                  <c:v>45838</c:v>
                </c:pt>
                <c:pt idx="182">
                  <c:v>45839</c:v>
                </c:pt>
                <c:pt idx="183">
                  <c:v>45840</c:v>
                </c:pt>
                <c:pt idx="184">
                  <c:v>45841</c:v>
                </c:pt>
                <c:pt idx="185">
                  <c:v>45842</c:v>
                </c:pt>
                <c:pt idx="186">
                  <c:v>45843</c:v>
                </c:pt>
                <c:pt idx="187">
                  <c:v>45844</c:v>
                </c:pt>
                <c:pt idx="188">
                  <c:v>45845</c:v>
                </c:pt>
                <c:pt idx="189">
                  <c:v>45846</c:v>
                </c:pt>
                <c:pt idx="190">
                  <c:v>45847</c:v>
                </c:pt>
                <c:pt idx="191">
                  <c:v>45848</c:v>
                </c:pt>
                <c:pt idx="192">
                  <c:v>45849</c:v>
                </c:pt>
                <c:pt idx="193">
                  <c:v>45850</c:v>
                </c:pt>
                <c:pt idx="194">
                  <c:v>45851</c:v>
                </c:pt>
                <c:pt idx="195">
                  <c:v>45852</c:v>
                </c:pt>
                <c:pt idx="196">
                  <c:v>45853</c:v>
                </c:pt>
                <c:pt idx="197">
                  <c:v>45854</c:v>
                </c:pt>
                <c:pt idx="198">
                  <c:v>45855</c:v>
                </c:pt>
                <c:pt idx="199">
                  <c:v>45856</c:v>
                </c:pt>
                <c:pt idx="200">
                  <c:v>45857</c:v>
                </c:pt>
                <c:pt idx="201">
                  <c:v>45858</c:v>
                </c:pt>
                <c:pt idx="202">
                  <c:v>45859</c:v>
                </c:pt>
                <c:pt idx="203">
                  <c:v>45860</c:v>
                </c:pt>
                <c:pt idx="204">
                  <c:v>45861</c:v>
                </c:pt>
                <c:pt idx="205">
                  <c:v>45862</c:v>
                </c:pt>
                <c:pt idx="206">
                  <c:v>45863</c:v>
                </c:pt>
                <c:pt idx="207">
                  <c:v>45864</c:v>
                </c:pt>
                <c:pt idx="208">
                  <c:v>45865</c:v>
                </c:pt>
                <c:pt idx="209">
                  <c:v>45866</c:v>
                </c:pt>
                <c:pt idx="210">
                  <c:v>45867</c:v>
                </c:pt>
                <c:pt idx="211">
                  <c:v>45868</c:v>
                </c:pt>
                <c:pt idx="212">
                  <c:v>45869</c:v>
                </c:pt>
                <c:pt idx="213">
                  <c:v>45870</c:v>
                </c:pt>
                <c:pt idx="214">
                  <c:v>45871</c:v>
                </c:pt>
                <c:pt idx="215">
                  <c:v>45872</c:v>
                </c:pt>
                <c:pt idx="216">
                  <c:v>45873</c:v>
                </c:pt>
                <c:pt idx="217">
                  <c:v>45874</c:v>
                </c:pt>
                <c:pt idx="218">
                  <c:v>45875</c:v>
                </c:pt>
                <c:pt idx="219">
                  <c:v>45876</c:v>
                </c:pt>
                <c:pt idx="220">
                  <c:v>45877</c:v>
                </c:pt>
                <c:pt idx="221">
                  <c:v>45878</c:v>
                </c:pt>
                <c:pt idx="222">
                  <c:v>45879</c:v>
                </c:pt>
                <c:pt idx="223">
                  <c:v>45880</c:v>
                </c:pt>
                <c:pt idx="224">
                  <c:v>45881</c:v>
                </c:pt>
                <c:pt idx="225">
                  <c:v>45882</c:v>
                </c:pt>
                <c:pt idx="226">
                  <c:v>45883</c:v>
                </c:pt>
                <c:pt idx="227">
                  <c:v>45884</c:v>
                </c:pt>
                <c:pt idx="228">
                  <c:v>45885</c:v>
                </c:pt>
                <c:pt idx="229">
                  <c:v>45886</c:v>
                </c:pt>
                <c:pt idx="230">
                  <c:v>45887</c:v>
                </c:pt>
                <c:pt idx="231">
                  <c:v>45888</c:v>
                </c:pt>
                <c:pt idx="232">
                  <c:v>45889</c:v>
                </c:pt>
                <c:pt idx="233">
                  <c:v>45890</c:v>
                </c:pt>
                <c:pt idx="234">
                  <c:v>45891</c:v>
                </c:pt>
                <c:pt idx="235">
                  <c:v>45892</c:v>
                </c:pt>
                <c:pt idx="236">
                  <c:v>45893</c:v>
                </c:pt>
                <c:pt idx="237">
                  <c:v>45894</c:v>
                </c:pt>
                <c:pt idx="238">
                  <c:v>45895</c:v>
                </c:pt>
                <c:pt idx="239">
                  <c:v>45896</c:v>
                </c:pt>
                <c:pt idx="240">
                  <c:v>45897</c:v>
                </c:pt>
                <c:pt idx="241">
                  <c:v>45898</c:v>
                </c:pt>
                <c:pt idx="242">
                  <c:v>45899</c:v>
                </c:pt>
                <c:pt idx="243">
                  <c:v>45900</c:v>
                </c:pt>
                <c:pt idx="244">
                  <c:v>45901</c:v>
                </c:pt>
                <c:pt idx="245">
                  <c:v>45902</c:v>
                </c:pt>
                <c:pt idx="246">
                  <c:v>45903</c:v>
                </c:pt>
                <c:pt idx="247">
                  <c:v>45904</c:v>
                </c:pt>
                <c:pt idx="248">
                  <c:v>45905</c:v>
                </c:pt>
                <c:pt idx="249">
                  <c:v>45906</c:v>
                </c:pt>
                <c:pt idx="250">
                  <c:v>45907</c:v>
                </c:pt>
                <c:pt idx="251">
                  <c:v>45908</c:v>
                </c:pt>
                <c:pt idx="252">
                  <c:v>45909</c:v>
                </c:pt>
                <c:pt idx="253">
                  <c:v>45910</c:v>
                </c:pt>
                <c:pt idx="254">
                  <c:v>45911</c:v>
                </c:pt>
                <c:pt idx="255">
                  <c:v>45912</c:v>
                </c:pt>
                <c:pt idx="256">
                  <c:v>45913</c:v>
                </c:pt>
                <c:pt idx="257">
                  <c:v>45914</c:v>
                </c:pt>
                <c:pt idx="258">
                  <c:v>45915</c:v>
                </c:pt>
                <c:pt idx="259">
                  <c:v>45916</c:v>
                </c:pt>
                <c:pt idx="260">
                  <c:v>45917</c:v>
                </c:pt>
                <c:pt idx="261">
                  <c:v>45918</c:v>
                </c:pt>
                <c:pt idx="262">
                  <c:v>45919</c:v>
                </c:pt>
                <c:pt idx="263">
                  <c:v>45920</c:v>
                </c:pt>
                <c:pt idx="264">
                  <c:v>45921</c:v>
                </c:pt>
                <c:pt idx="265">
                  <c:v>45922</c:v>
                </c:pt>
                <c:pt idx="266">
                  <c:v>45923</c:v>
                </c:pt>
                <c:pt idx="267">
                  <c:v>45924</c:v>
                </c:pt>
                <c:pt idx="268">
                  <c:v>45925</c:v>
                </c:pt>
                <c:pt idx="269">
                  <c:v>45926</c:v>
                </c:pt>
                <c:pt idx="270">
                  <c:v>45927</c:v>
                </c:pt>
                <c:pt idx="271">
                  <c:v>45928</c:v>
                </c:pt>
                <c:pt idx="272">
                  <c:v>45929</c:v>
                </c:pt>
                <c:pt idx="273">
                  <c:v>45930</c:v>
                </c:pt>
                <c:pt idx="274">
                  <c:v>45931</c:v>
                </c:pt>
                <c:pt idx="275">
                  <c:v>45932</c:v>
                </c:pt>
                <c:pt idx="276">
                  <c:v>45933</c:v>
                </c:pt>
                <c:pt idx="277">
                  <c:v>45934</c:v>
                </c:pt>
                <c:pt idx="278">
                  <c:v>45935</c:v>
                </c:pt>
                <c:pt idx="279">
                  <c:v>45936</c:v>
                </c:pt>
                <c:pt idx="280">
                  <c:v>45937</c:v>
                </c:pt>
                <c:pt idx="281">
                  <c:v>45938</c:v>
                </c:pt>
                <c:pt idx="282">
                  <c:v>45939</c:v>
                </c:pt>
                <c:pt idx="283">
                  <c:v>45940</c:v>
                </c:pt>
                <c:pt idx="284">
                  <c:v>45941</c:v>
                </c:pt>
                <c:pt idx="285">
                  <c:v>45942</c:v>
                </c:pt>
                <c:pt idx="286">
                  <c:v>45943</c:v>
                </c:pt>
                <c:pt idx="287">
                  <c:v>45944</c:v>
                </c:pt>
                <c:pt idx="288">
                  <c:v>45945</c:v>
                </c:pt>
                <c:pt idx="289">
                  <c:v>45946</c:v>
                </c:pt>
                <c:pt idx="290">
                  <c:v>45947</c:v>
                </c:pt>
                <c:pt idx="291">
                  <c:v>45948</c:v>
                </c:pt>
                <c:pt idx="292">
                  <c:v>45949</c:v>
                </c:pt>
                <c:pt idx="293">
                  <c:v>45950</c:v>
                </c:pt>
                <c:pt idx="294">
                  <c:v>45951</c:v>
                </c:pt>
                <c:pt idx="295">
                  <c:v>45952</c:v>
                </c:pt>
                <c:pt idx="296">
                  <c:v>45953</c:v>
                </c:pt>
                <c:pt idx="297">
                  <c:v>45954</c:v>
                </c:pt>
                <c:pt idx="298">
                  <c:v>45955</c:v>
                </c:pt>
                <c:pt idx="299">
                  <c:v>45956</c:v>
                </c:pt>
                <c:pt idx="300">
                  <c:v>45957</c:v>
                </c:pt>
                <c:pt idx="301">
                  <c:v>45958</c:v>
                </c:pt>
                <c:pt idx="302">
                  <c:v>45959</c:v>
                </c:pt>
                <c:pt idx="303">
                  <c:v>45960</c:v>
                </c:pt>
                <c:pt idx="304">
                  <c:v>45961</c:v>
                </c:pt>
                <c:pt idx="305">
                  <c:v>45962</c:v>
                </c:pt>
                <c:pt idx="306">
                  <c:v>45963</c:v>
                </c:pt>
                <c:pt idx="307">
                  <c:v>45964</c:v>
                </c:pt>
                <c:pt idx="308">
                  <c:v>45965</c:v>
                </c:pt>
                <c:pt idx="309">
                  <c:v>45966</c:v>
                </c:pt>
                <c:pt idx="310">
                  <c:v>45967</c:v>
                </c:pt>
                <c:pt idx="311">
                  <c:v>45968</c:v>
                </c:pt>
                <c:pt idx="312">
                  <c:v>45969</c:v>
                </c:pt>
                <c:pt idx="313">
                  <c:v>45970</c:v>
                </c:pt>
                <c:pt idx="314">
                  <c:v>45971</c:v>
                </c:pt>
                <c:pt idx="315">
                  <c:v>45972</c:v>
                </c:pt>
                <c:pt idx="316">
                  <c:v>45973</c:v>
                </c:pt>
                <c:pt idx="317">
                  <c:v>45974</c:v>
                </c:pt>
                <c:pt idx="318">
                  <c:v>45975</c:v>
                </c:pt>
                <c:pt idx="319">
                  <c:v>45976</c:v>
                </c:pt>
                <c:pt idx="320">
                  <c:v>45977</c:v>
                </c:pt>
                <c:pt idx="321">
                  <c:v>45978</c:v>
                </c:pt>
                <c:pt idx="322">
                  <c:v>45979</c:v>
                </c:pt>
                <c:pt idx="323">
                  <c:v>45980</c:v>
                </c:pt>
                <c:pt idx="324">
                  <c:v>45981</c:v>
                </c:pt>
                <c:pt idx="325">
                  <c:v>45982</c:v>
                </c:pt>
                <c:pt idx="326">
                  <c:v>45983</c:v>
                </c:pt>
                <c:pt idx="327">
                  <c:v>45984</c:v>
                </c:pt>
                <c:pt idx="328">
                  <c:v>45985</c:v>
                </c:pt>
                <c:pt idx="329">
                  <c:v>45986</c:v>
                </c:pt>
                <c:pt idx="330">
                  <c:v>45987</c:v>
                </c:pt>
                <c:pt idx="331">
                  <c:v>45988</c:v>
                </c:pt>
                <c:pt idx="332">
                  <c:v>45989</c:v>
                </c:pt>
                <c:pt idx="333">
                  <c:v>45990</c:v>
                </c:pt>
                <c:pt idx="334">
                  <c:v>45991</c:v>
                </c:pt>
                <c:pt idx="335">
                  <c:v>45992</c:v>
                </c:pt>
                <c:pt idx="336">
                  <c:v>45993</c:v>
                </c:pt>
                <c:pt idx="337">
                  <c:v>45994</c:v>
                </c:pt>
                <c:pt idx="338">
                  <c:v>45995</c:v>
                </c:pt>
                <c:pt idx="339">
                  <c:v>45996</c:v>
                </c:pt>
                <c:pt idx="340">
                  <c:v>45997</c:v>
                </c:pt>
                <c:pt idx="341">
                  <c:v>45998</c:v>
                </c:pt>
                <c:pt idx="342">
                  <c:v>45999</c:v>
                </c:pt>
                <c:pt idx="343">
                  <c:v>46000</c:v>
                </c:pt>
                <c:pt idx="344">
                  <c:v>46001</c:v>
                </c:pt>
                <c:pt idx="345">
                  <c:v>46002</c:v>
                </c:pt>
                <c:pt idx="346">
                  <c:v>46003</c:v>
                </c:pt>
                <c:pt idx="347">
                  <c:v>46004</c:v>
                </c:pt>
                <c:pt idx="348">
                  <c:v>46005</c:v>
                </c:pt>
                <c:pt idx="349">
                  <c:v>46006</c:v>
                </c:pt>
                <c:pt idx="350">
                  <c:v>46007</c:v>
                </c:pt>
                <c:pt idx="351">
                  <c:v>46008</c:v>
                </c:pt>
                <c:pt idx="352">
                  <c:v>46009</c:v>
                </c:pt>
                <c:pt idx="353">
                  <c:v>46010</c:v>
                </c:pt>
                <c:pt idx="354">
                  <c:v>46011</c:v>
                </c:pt>
                <c:pt idx="355">
                  <c:v>46012</c:v>
                </c:pt>
                <c:pt idx="356">
                  <c:v>46013</c:v>
                </c:pt>
                <c:pt idx="357">
                  <c:v>46014</c:v>
                </c:pt>
                <c:pt idx="358">
                  <c:v>46015</c:v>
                </c:pt>
                <c:pt idx="359">
                  <c:v>46016</c:v>
                </c:pt>
                <c:pt idx="360">
                  <c:v>46017</c:v>
                </c:pt>
                <c:pt idx="361">
                  <c:v>46018</c:v>
                </c:pt>
                <c:pt idx="362">
                  <c:v>46019</c:v>
                </c:pt>
                <c:pt idx="363">
                  <c:v>46020</c:v>
                </c:pt>
                <c:pt idx="364">
                  <c:v>46021</c:v>
                </c:pt>
                <c:pt idx="365">
                  <c:v>46022</c:v>
                </c:pt>
                <c:pt idx="366">
                  <c:v>46023</c:v>
                </c:pt>
                <c:pt idx="367">
                  <c:v>46024</c:v>
                </c:pt>
                <c:pt idx="368">
                  <c:v>46025</c:v>
                </c:pt>
                <c:pt idx="369">
                  <c:v>46026</c:v>
                </c:pt>
                <c:pt idx="370">
                  <c:v>46027</c:v>
                </c:pt>
                <c:pt idx="371">
                  <c:v>46028</c:v>
                </c:pt>
                <c:pt idx="372">
                  <c:v>46029</c:v>
                </c:pt>
                <c:pt idx="373">
                  <c:v>46030</c:v>
                </c:pt>
                <c:pt idx="374">
                  <c:v>46031</c:v>
                </c:pt>
                <c:pt idx="375">
                  <c:v>46032</c:v>
                </c:pt>
                <c:pt idx="376">
                  <c:v>46033</c:v>
                </c:pt>
                <c:pt idx="377">
                  <c:v>46034</c:v>
                </c:pt>
                <c:pt idx="378">
                  <c:v>46035</c:v>
                </c:pt>
                <c:pt idx="379">
                  <c:v>46036</c:v>
                </c:pt>
                <c:pt idx="380">
                  <c:v>46037</c:v>
                </c:pt>
                <c:pt idx="381">
                  <c:v>46038</c:v>
                </c:pt>
                <c:pt idx="382">
                  <c:v>46039</c:v>
                </c:pt>
                <c:pt idx="383">
                  <c:v>46040</c:v>
                </c:pt>
                <c:pt idx="384">
                  <c:v>46041</c:v>
                </c:pt>
                <c:pt idx="385">
                  <c:v>46042</c:v>
                </c:pt>
                <c:pt idx="386">
                  <c:v>46043</c:v>
                </c:pt>
                <c:pt idx="387">
                  <c:v>46044</c:v>
                </c:pt>
                <c:pt idx="388">
                  <c:v>46045</c:v>
                </c:pt>
                <c:pt idx="389">
                  <c:v>46046</c:v>
                </c:pt>
                <c:pt idx="390">
                  <c:v>46047</c:v>
                </c:pt>
                <c:pt idx="391">
                  <c:v>46048</c:v>
                </c:pt>
                <c:pt idx="392">
                  <c:v>46049</c:v>
                </c:pt>
                <c:pt idx="393">
                  <c:v>46050</c:v>
                </c:pt>
                <c:pt idx="394">
                  <c:v>46051</c:v>
                </c:pt>
                <c:pt idx="395">
                  <c:v>46052</c:v>
                </c:pt>
                <c:pt idx="396">
                  <c:v>46053</c:v>
                </c:pt>
                <c:pt idx="397">
                  <c:v>46054</c:v>
                </c:pt>
                <c:pt idx="398">
                  <c:v>46055</c:v>
                </c:pt>
                <c:pt idx="399">
                  <c:v>46056</c:v>
                </c:pt>
                <c:pt idx="400">
                  <c:v>46057</c:v>
                </c:pt>
                <c:pt idx="401">
                  <c:v>46058</c:v>
                </c:pt>
                <c:pt idx="402">
                  <c:v>46059</c:v>
                </c:pt>
                <c:pt idx="403">
                  <c:v>46060</c:v>
                </c:pt>
                <c:pt idx="404">
                  <c:v>46061</c:v>
                </c:pt>
                <c:pt idx="405">
                  <c:v>46062</c:v>
                </c:pt>
                <c:pt idx="406">
                  <c:v>46063</c:v>
                </c:pt>
                <c:pt idx="407">
                  <c:v>46064</c:v>
                </c:pt>
                <c:pt idx="408">
                  <c:v>46065</c:v>
                </c:pt>
                <c:pt idx="409">
                  <c:v>46066</c:v>
                </c:pt>
                <c:pt idx="410">
                  <c:v>46067</c:v>
                </c:pt>
                <c:pt idx="411">
                  <c:v>46068</c:v>
                </c:pt>
                <c:pt idx="412">
                  <c:v>46069</c:v>
                </c:pt>
                <c:pt idx="413">
                  <c:v>46070</c:v>
                </c:pt>
                <c:pt idx="414">
                  <c:v>46071</c:v>
                </c:pt>
                <c:pt idx="415">
                  <c:v>46072</c:v>
                </c:pt>
                <c:pt idx="416">
                  <c:v>46073</c:v>
                </c:pt>
                <c:pt idx="417">
                  <c:v>46074</c:v>
                </c:pt>
                <c:pt idx="418">
                  <c:v>46075</c:v>
                </c:pt>
                <c:pt idx="419">
                  <c:v>46076</c:v>
                </c:pt>
                <c:pt idx="420">
                  <c:v>46077</c:v>
                </c:pt>
                <c:pt idx="421">
                  <c:v>46078</c:v>
                </c:pt>
                <c:pt idx="422">
                  <c:v>46079</c:v>
                </c:pt>
                <c:pt idx="423">
                  <c:v>46080</c:v>
                </c:pt>
                <c:pt idx="424">
                  <c:v>46081</c:v>
                </c:pt>
                <c:pt idx="425">
                  <c:v>46082</c:v>
                </c:pt>
                <c:pt idx="426">
                  <c:v>46083</c:v>
                </c:pt>
                <c:pt idx="427">
                  <c:v>46084</c:v>
                </c:pt>
                <c:pt idx="428">
                  <c:v>46085</c:v>
                </c:pt>
                <c:pt idx="429">
                  <c:v>46086</c:v>
                </c:pt>
                <c:pt idx="430">
                  <c:v>46087</c:v>
                </c:pt>
                <c:pt idx="431">
                  <c:v>46088</c:v>
                </c:pt>
                <c:pt idx="432">
                  <c:v>46089</c:v>
                </c:pt>
                <c:pt idx="433">
                  <c:v>46090</c:v>
                </c:pt>
                <c:pt idx="434">
                  <c:v>46091</c:v>
                </c:pt>
                <c:pt idx="435">
                  <c:v>46092</c:v>
                </c:pt>
                <c:pt idx="436">
                  <c:v>46093</c:v>
                </c:pt>
                <c:pt idx="437">
                  <c:v>46094</c:v>
                </c:pt>
                <c:pt idx="438">
                  <c:v>46095</c:v>
                </c:pt>
                <c:pt idx="439">
                  <c:v>46096</c:v>
                </c:pt>
                <c:pt idx="440">
                  <c:v>46097</c:v>
                </c:pt>
                <c:pt idx="441">
                  <c:v>46098</c:v>
                </c:pt>
                <c:pt idx="442">
                  <c:v>46099</c:v>
                </c:pt>
                <c:pt idx="443">
                  <c:v>46100</c:v>
                </c:pt>
                <c:pt idx="444">
                  <c:v>46101</c:v>
                </c:pt>
                <c:pt idx="445">
                  <c:v>46102</c:v>
                </c:pt>
                <c:pt idx="446">
                  <c:v>46103</c:v>
                </c:pt>
                <c:pt idx="447">
                  <c:v>46104</c:v>
                </c:pt>
                <c:pt idx="448">
                  <c:v>46105</c:v>
                </c:pt>
                <c:pt idx="449">
                  <c:v>46106</c:v>
                </c:pt>
                <c:pt idx="450">
                  <c:v>46107</c:v>
                </c:pt>
                <c:pt idx="451">
                  <c:v>46108</c:v>
                </c:pt>
                <c:pt idx="452">
                  <c:v>46109</c:v>
                </c:pt>
                <c:pt idx="453">
                  <c:v>46110</c:v>
                </c:pt>
                <c:pt idx="454">
                  <c:v>46111</c:v>
                </c:pt>
                <c:pt idx="455">
                  <c:v>46112</c:v>
                </c:pt>
                <c:pt idx="456">
                  <c:v>46113</c:v>
                </c:pt>
                <c:pt idx="457">
                  <c:v>46114</c:v>
                </c:pt>
                <c:pt idx="458">
                  <c:v>46115</c:v>
                </c:pt>
                <c:pt idx="459">
                  <c:v>46116</c:v>
                </c:pt>
                <c:pt idx="460">
                  <c:v>46117</c:v>
                </c:pt>
                <c:pt idx="461">
                  <c:v>46118</c:v>
                </c:pt>
                <c:pt idx="462">
                  <c:v>46119</c:v>
                </c:pt>
                <c:pt idx="463">
                  <c:v>46120</c:v>
                </c:pt>
                <c:pt idx="464">
                  <c:v>46121</c:v>
                </c:pt>
                <c:pt idx="465">
                  <c:v>46122</c:v>
                </c:pt>
                <c:pt idx="466">
                  <c:v>46123</c:v>
                </c:pt>
                <c:pt idx="467">
                  <c:v>46124</c:v>
                </c:pt>
                <c:pt idx="468">
                  <c:v>46125</c:v>
                </c:pt>
                <c:pt idx="469">
                  <c:v>46126</c:v>
                </c:pt>
                <c:pt idx="470">
                  <c:v>46127</c:v>
                </c:pt>
                <c:pt idx="471">
                  <c:v>46128</c:v>
                </c:pt>
                <c:pt idx="472">
                  <c:v>46129</c:v>
                </c:pt>
                <c:pt idx="473">
                  <c:v>46130</c:v>
                </c:pt>
                <c:pt idx="474">
                  <c:v>46131</c:v>
                </c:pt>
                <c:pt idx="475">
                  <c:v>46132</c:v>
                </c:pt>
                <c:pt idx="476">
                  <c:v>46133</c:v>
                </c:pt>
                <c:pt idx="477">
                  <c:v>46134</c:v>
                </c:pt>
                <c:pt idx="478">
                  <c:v>46135</c:v>
                </c:pt>
                <c:pt idx="479">
                  <c:v>46136</c:v>
                </c:pt>
                <c:pt idx="480">
                  <c:v>46137</c:v>
                </c:pt>
                <c:pt idx="481">
                  <c:v>46138</c:v>
                </c:pt>
                <c:pt idx="482">
                  <c:v>46139</c:v>
                </c:pt>
                <c:pt idx="483">
                  <c:v>46140</c:v>
                </c:pt>
                <c:pt idx="484">
                  <c:v>46141</c:v>
                </c:pt>
                <c:pt idx="485">
                  <c:v>46142</c:v>
                </c:pt>
                <c:pt idx="486">
                  <c:v>46143</c:v>
                </c:pt>
                <c:pt idx="487">
                  <c:v>46144</c:v>
                </c:pt>
                <c:pt idx="488">
                  <c:v>46145</c:v>
                </c:pt>
                <c:pt idx="489">
                  <c:v>46146</c:v>
                </c:pt>
                <c:pt idx="490">
                  <c:v>46147</c:v>
                </c:pt>
                <c:pt idx="491">
                  <c:v>46148</c:v>
                </c:pt>
                <c:pt idx="492">
                  <c:v>46149</c:v>
                </c:pt>
                <c:pt idx="493">
                  <c:v>46150</c:v>
                </c:pt>
                <c:pt idx="494">
                  <c:v>46151</c:v>
                </c:pt>
                <c:pt idx="495">
                  <c:v>46152</c:v>
                </c:pt>
                <c:pt idx="496">
                  <c:v>46153</c:v>
                </c:pt>
                <c:pt idx="497">
                  <c:v>46154</c:v>
                </c:pt>
                <c:pt idx="498">
                  <c:v>46155</c:v>
                </c:pt>
                <c:pt idx="499">
                  <c:v>46156</c:v>
                </c:pt>
                <c:pt idx="500">
                  <c:v>46157</c:v>
                </c:pt>
                <c:pt idx="501">
                  <c:v>46158</c:v>
                </c:pt>
                <c:pt idx="502">
                  <c:v>46159</c:v>
                </c:pt>
                <c:pt idx="503">
                  <c:v>46160</c:v>
                </c:pt>
                <c:pt idx="504">
                  <c:v>46161</c:v>
                </c:pt>
                <c:pt idx="505">
                  <c:v>46162</c:v>
                </c:pt>
                <c:pt idx="506">
                  <c:v>46163</c:v>
                </c:pt>
                <c:pt idx="507">
                  <c:v>46164</c:v>
                </c:pt>
                <c:pt idx="508">
                  <c:v>46165</c:v>
                </c:pt>
                <c:pt idx="509">
                  <c:v>46166</c:v>
                </c:pt>
                <c:pt idx="510">
                  <c:v>46167</c:v>
                </c:pt>
                <c:pt idx="511">
                  <c:v>46168</c:v>
                </c:pt>
                <c:pt idx="512">
                  <c:v>46169</c:v>
                </c:pt>
                <c:pt idx="513">
                  <c:v>46170</c:v>
                </c:pt>
                <c:pt idx="514">
                  <c:v>46171</c:v>
                </c:pt>
                <c:pt idx="515">
                  <c:v>46172</c:v>
                </c:pt>
                <c:pt idx="516">
                  <c:v>46173</c:v>
                </c:pt>
                <c:pt idx="517">
                  <c:v>46174</c:v>
                </c:pt>
                <c:pt idx="518">
                  <c:v>46175</c:v>
                </c:pt>
                <c:pt idx="519">
                  <c:v>46176</c:v>
                </c:pt>
                <c:pt idx="520">
                  <c:v>46177</c:v>
                </c:pt>
                <c:pt idx="521">
                  <c:v>46178</c:v>
                </c:pt>
                <c:pt idx="522">
                  <c:v>46179</c:v>
                </c:pt>
                <c:pt idx="523">
                  <c:v>46180</c:v>
                </c:pt>
                <c:pt idx="524">
                  <c:v>46181</c:v>
                </c:pt>
                <c:pt idx="525">
                  <c:v>46182</c:v>
                </c:pt>
                <c:pt idx="526">
                  <c:v>46183</c:v>
                </c:pt>
                <c:pt idx="527">
                  <c:v>46184</c:v>
                </c:pt>
                <c:pt idx="528">
                  <c:v>46185</c:v>
                </c:pt>
                <c:pt idx="529">
                  <c:v>46186</c:v>
                </c:pt>
                <c:pt idx="530">
                  <c:v>46187</c:v>
                </c:pt>
                <c:pt idx="531">
                  <c:v>46188</c:v>
                </c:pt>
                <c:pt idx="532">
                  <c:v>46189</c:v>
                </c:pt>
                <c:pt idx="533">
                  <c:v>46190</c:v>
                </c:pt>
                <c:pt idx="534">
                  <c:v>46191</c:v>
                </c:pt>
                <c:pt idx="535">
                  <c:v>46192</c:v>
                </c:pt>
                <c:pt idx="536">
                  <c:v>46193</c:v>
                </c:pt>
                <c:pt idx="537">
                  <c:v>46194</c:v>
                </c:pt>
                <c:pt idx="538">
                  <c:v>46195</c:v>
                </c:pt>
                <c:pt idx="539">
                  <c:v>46196</c:v>
                </c:pt>
                <c:pt idx="540">
                  <c:v>46197</c:v>
                </c:pt>
                <c:pt idx="541">
                  <c:v>46198</c:v>
                </c:pt>
                <c:pt idx="542">
                  <c:v>46199</c:v>
                </c:pt>
                <c:pt idx="543">
                  <c:v>46200</c:v>
                </c:pt>
                <c:pt idx="544">
                  <c:v>46201</c:v>
                </c:pt>
                <c:pt idx="545">
                  <c:v>46202</c:v>
                </c:pt>
                <c:pt idx="546">
                  <c:v>46203</c:v>
                </c:pt>
                <c:pt idx="547">
                  <c:v>46204</c:v>
                </c:pt>
                <c:pt idx="548">
                  <c:v>46205</c:v>
                </c:pt>
              </c:numCache>
            </c:numRef>
          </c:cat>
          <c:val>
            <c:numRef>
              <c:f>[0]!Price_Vol_Chart_Price</c:f>
              <c:numCache>
                <c:formatCode>General</c:formatCode>
                <c:ptCount val="549"/>
                <c:pt idx="0">
                  <c:v>27.95</c:v>
                </c:pt>
                <c:pt idx="1">
                  <c:v>27.95</c:v>
                </c:pt>
                <c:pt idx="2">
                  <c:v>28.2</c:v>
                </c:pt>
                <c:pt idx="3">
                  <c:v>28.2</c:v>
                </c:pt>
                <c:pt idx="4">
                  <c:v>28.2</c:v>
                </c:pt>
                <c:pt idx="5">
                  <c:v>28.2</c:v>
                </c:pt>
                <c:pt idx="6">
                  <c:v>29.7</c:v>
                </c:pt>
                <c:pt idx="7">
                  <c:v>29.25</c:v>
                </c:pt>
                <c:pt idx="8">
                  <c:v>28.9</c:v>
                </c:pt>
                <c:pt idx="9">
                  <c:v>29.15</c:v>
                </c:pt>
                <c:pt idx="10">
                  <c:v>26.45</c:v>
                </c:pt>
                <c:pt idx="11">
                  <c:v>26.45</c:v>
                </c:pt>
                <c:pt idx="12">
                  <c:v>26.45</c:v>
                </c:pt>
                <c:pt idx="13">
                  <c:v>26.05</c:v>
                </c:pt>
                <c:pt idx="14">
                  <c:v>26.8</c:v>
                </c:pt>
                <c:pt idx="15">
                  <c:v>26.75</c:v>
                </c:pt>
                <c:pt idx="16">
                  <c:v>26.75</c:v>
                </c:pt>
                <c:pt idx="17">
                  <c:v>27.8</c:v>
                </c:pt>
                <c:pt idx="18">
                  <c:v>27.8</c:v>
                </c:pt>
                <c:pt idx="19">
                  <c:v>27.8</c:v>
                </c:pt>
                <c:pt idx="20">
                  <c:v>27.75</c:v>
                </c:pt>
                <c:pt idx="21">
                  <c:v>27.85</c:v>
                </c:pt>
                <c:pt idx="22">
                  <c:v>28.05</c:v>
                </c:pt>
                <c:pt idx="23">
                  <c:v>28.45</c:v>
                </c:pt>
                <c:pt idx="24">
                  <c:v>28.45</c:v>
                </c:pt>
                <c:pt idx="25">
                  <c:v>28.45</c:v>
                </c:pt>
                <c:pt idx="26">
                  <c:v>28.45</c:v>
                </c:pt>
                <c:pt idx="27">
                  <c:v>28.1</c:v>
                </c:pt>
                <c:pt idx="28">
                  <c:v>27.95</c:v>
                </c:pt>
                <c:pt idx="29">
                  <c:v>29.85</c:v>
                </c:pt>
                <c:pt idx="30">
                  <c:v>30.3</c:v>
                </c:pt>
                <c:pt idx="31">
                  <c:v>29.9</c:v>
                </c:pt>
                <c:pt idx="32">
                  <c:v>29.9</c:v>
                </c:pt>
                <c:pt idx="33">
                  <c:v>29.9</c:v>
                </c:pt>
                <c:pt idx="34">
                  <c:v>29.5</c:v>
                </c:pt>
                <c:pt idx="35">
                  <c:v>29.85</c:v>
                </c:pt>
                <c:pt idx="36">
                  <c:v>29.6</c:v>
                </c:pt>
                <c:pt idx="37">
                  <c:v>30.5</c:v>
                </c:pt>
                <c:pt idx="38">
                  <c:v>31.15</c:v>
                </c:pt>
                <c:pt idx="39">
                  <c:v>31.15</c:v>
                </c:pt>
                <c:pt idx="40">
                  <c:v>31.15</c:v>
                </c:pt>
                <c:pt idx="41">
                  <c:v>31.4</c:v>
                </c:pt>
                <c:pt idx="42">
                  <c:v>31.75</c:v>
                </c:pt>
                <c:pt idx="43">
                  <c:v>31.8</c:v>
                </c:pt>
                <c:pt idx="44">
                  <c:v>33.450000000000003</c:v>
                </c:pt>
                <c:pt idx="45">
                  <c:v>33.799999999999997</c:v>
                </c:pt>
                <c:pt idx="46">
                  <c:v>33.799999999999997</c:v>
                </c:pt>
                <c:pt idx="47">
                  <c:v>33.799999999999997</c:v>
                </c:pt>
                <c:pt idx="48">
                  <c:v>34.75</c:v>
                </c:pt>
                <c:pt idx="49">
                  <c:v>35.75</c:v>
                </c:pt>
                <c:pt idx="50">
                  <c:v>34.450000000000003</c:v>
                </c:pt>
                <c:pt idx="51">
                  <c:v>34.450000000000003</c:v>
                </c:pt>
                <c:pt idx="52">
                  <c:v>34.5</c:v>
                </c:pt>
                <c:pt idx="53">
                  <c:v>34.5</c:v>
                </c:pt>
                <c:pt idx="54">
                  <c:v>34.5</c:v>
                </c:pt>
                <c:pt idx="55">
                  <c:v>34.65</c:v>
                </c:pt>
                <c:pt idx="56">
                  <c:v>36</c:v>
                </c:pt>
                <c:pt idx="57">
                  <c:v>36.85</c:v>
                </c:pt>
                <c:pt idx="58">
                  <c:v>36.049999999999997</c:v>
                </c:pt>
                <c:pt idx="59">
                  <c:v>36.299999999999997</c:v>
                </c:pt>
                <c:pt idx="60">
                  <c:v>36.299999999999997</c:v>
                </c:pt>
                <c:pt idx="61">
                  <c:v>36.299999999999997</c:v>
                </c:pt>
                <c:pt idx="62">
                  <c:v>37.049999999999997</c:v>
                </c:pt>
                <c:pt idx="63">
                  <c:v>35.15</c:v>
                </c:pt>
                <c:pt idx="64">
                  <c:v>36.9</c:v>
                </c:pt>
                <c:pt idx="65">
                  <c:v>38.299999999999997</c:v>
                </c:pt>
                <c:pt idx="66">
                  <c:v>38.200000000000003</c:v>
                </c:pt>
                <c:pt idx="67">
                  <c:v>38.200000000000003</c:v>
                </c:pt>
                <c:pt idx="68">
                  <c:v>38.200000000000003</c:v>
                </c:pt>
                <c:pt idx="69">
                  <c:v>37.1</c:v>
                </c:pt>
                <c:pt idx="70">
                  <c:v>34.1</c:v>
                </c:pt>
                <c:pt idx="71">
                  <c:v>34.4</c:v>
                </c:pt>
                <c:pt idx="72">
                  <c:v>33.5</c:v>
                </c:pt>
                <c:pt idx="73">
                  <c:v>34.75</c:v>
                </c:pt>
                <c:pt idx="74">
                  <c:v>34.75</c:v>
                </c:pt>
                <c:pt idx="75">
                  <c:v>34.75</c:v>
                </c:pt>
                <c:pt idx="76">
                  <c:v>34.75</c:v>
                </c:pt>
                <c:pt idx="77">
                  <c:v>35.6</c:v>
                </c:pt>
                <c:pt idx="78">
                  <c:v>33.4</c:v>
                </c:pt>
                <c:pt idx="79">
                  <c:v>32.65</c:v>
                </c:pt>
                <c:pt idx="80">
                  <c:v>32.1</c:v>
                </c:pt>
                <c:pt idx="81">
                  <c:v>32.1</c:v>
                </c:pt>
                <c:pt idx="82">
                  <c:v>32.1</c:v>
                </c:pt>
                <c:pt idx="83">
                  <c:v>32.549999999999997</c:v>
                </c:pt>
                <c:pt idx="84">
                  <c:v>33.15</c:v>
                </c:pt>
                <c:pt idx="85">
                  <c:v>32.700000000000003</c:v>
                </c:pt>
                <c:pt idx="86">
                  <c:v>32.799999999999997</c:v>
                </c:pt>
                <c:pt idx="87">
                  <c:v>32.049999999999997</c:v>
                </c:pt>
                <c:pt idx="88">
                  <c:v>32.049999999999997</c:v>
                </c:pt>
                <c:pt idx="89">
                  <c:v>32.049999999999997</c:v>
                </c:pt>
                <c:pt idx="90">
                  <c:v>31.1</c:v>
                </c:pt>
                <c:pt idx="91">
                  <c:v>31.8</c:v>
                </c:pt>
                <c:pt idx="92">
                  <c:v>31.65</c:v>
                </c:pt>
                <c:pt idx="93">
                  <c:v>30.15</c:v>
                </c:pt>
                <c:pt idx="94">
                  <c:v>28.4</c:v>
                </c:pt>
                <c:pt idx="95">
                  <c:v>28.4</c:v>
                </c:pt>
                <c:pt idx="96">
                  <c:v>28.4</c:v>
                </c:pt>
                <c:pt idx="97">
                  <c:v>27.22</c:v>
                </c:pt>
                <c:pt idx="98">
                  <c:v>27.42</c:v>
                </c:pt>
                <c:pt idx="99">
                  <c:v>25.28</c:v>
                </c:pt>
                <c:pt idx="100">
                  <c:v>25.8</c:v>
                </c:pt>
                <c:pt idx="101">
                  <c:v>25.9</c:v>
                </c:pt>
                <c:pt idx="102">
                  <c:v>25.9</c:v>
                </c:pt>
                <c:pt idx="103">
                  <c:v>25.9</c:v>
                </c:pt>
                <c:pt idx="104">
                  <c:v>26.84</c:v>
                </c:pt>
                <c:pt idx="105">
                  <c:v>27.3</c:v>
                </c:pt>
                <c:pt idx="106">
                  <c:v>26.64</c:v>
                </c:pt>
                <c:pt idx="107">
                  <c:v>26.26</c:v>
                </c:pt>
                <c:pt idx="108">
                  <c:v>26.26</c:v>
                </c:pt>
                <c:pt idx="109">
                  <c:v>26.26</c:v>
                </c:pt>
                <c:pt idx="110">
                  <c:v>26.26</c:v>
                </c:pt>
                <c:pt idx="111">
                  <c:v>26.26</c:v>
                </c:pt>
                <c:pt idx="112">
                  <c:v>26.52</c:v>
                </c:pt>
                <c:pt idx="113">
                  <c:v>27.38</c:v>
                </c:pt>
                <c:pt idx="114">
                  <c:v>27.78</c:v>
                </c:pt>
                <c:pt idx="115">
                  <c:v>27.96</c:v>
                </c:pt>
                <c:pt idx="116">
                  <c:v>27.96</c:v>
                </c:pt>
                <c:pt idx="117">
                  <c:v>27.96</c:v>
                </c:pt>
                <c:pt idx="118">
                  <c:v>30.02</c:v>
                </c:pt>
                <c:pt idx="119">
                  <c:v>28.94</c:v>
                </c:pt>
                <c:pt idx="120">
                  <c:v>28.9</c:v>
                </c:pt>
                <c:pt idx="121">
                  <c:v>28.9</c:v>
                </c:pt>
                <c:pt idx="122">
                  <c:v>29.28</c:v>
                </c:pt>
                <c:pt idx="123">
                  <c:v>29.28</c:v>
                </c:pt>
                <c:pt idx="124">
                  <c:v>29.28</c:v>
                </c:pt>
                <c:pt idx="125">
                  <c:v>29.32</c:v>
                </c:pt>
                <c:pt idx="126">
                  <c:v>28.6</c:v>
                </c:pt>
                <c:pt idx="127">
                  <c:v>28.36</c:v>
                </c:pt>
                <c:pt idx="128">
                  <c:v>29.26</c:v>
                </c:pt>
                <c:pt idx="129">
                  <c:v>29.88</c:v>
                </c:pt>
                <c:pt idx="130">
                  <c:v>29.88</c:v>
                </c:pt>
                <c:pt idx="131">
                  <c:v>29.88</c:v>
                </c:pt>
                <c:pt idx="132">
                  <c:v>31.3</c:v>
                </c:pt>
                <c:pt idx="133">
                  <c:v>31.98</c:v>
                </c:pt>
                <c:pt idx="134">
                  <c:v>31.94</c:v>
                </c:pt>
                <c:pt idx="135">
                  <c:v>30.34</c:v>
                </c:pt>
                <c:pt idx="136">
                  <c:v>30.08</c:v>
                </c:pt>
                <c:pt idx="137">
                  <c:v>30.08</c:v>
                </c:pt>
                <c:pt idx="138">
                  <c:v>30.08</c:v>
                </c:pt>
                <c:pt idx="139">
                  <c:v>30.68</c:v>
                </c:pt>
                <c:pt idx="140">
                  <c:v>30.86</c:v>
                </c:pt>
                <c:pt idx="141">
                  <c:v>30.62</c:v>
                </c:pt>
                <c:pt idx="142">
                  <c:v>30.16</c:v>
                </c:pt>
                <c:pt idx="143">
                  <c:v>30.3</c:v>
                </c:pt>
                <c:pt idx="144">
                  <c:v>30.3</c:v>
                </c:pt>
                <c:pt idx="145">
                  <c:v>30.3</c:v>
                </c:pt>
                <c:pt idx="146">
                  <c:v>31</c:v>
                </c:pt>
                <c:pt idx="147">
                  <c:v>31</c:v>
                </c:pt>
                <c:pt idx="148">
                  <c:v>31.18</c:v>
                </c:pt>
                <c:pt idx="149">
                  <c:v>31.22</c:v>
                </c:pt>
                <c:pt idx="150">
                  <c:v>31.12</c:v>
                </c:pt>
                <c:pt idx="151">
                  <c:v>31.12</c:v>
                </c:pt>
                <c:pt idx="152">
                  <c:v>31.12</c:v>
                </c:pt>
                <c:pt idx="153">
                  <c:v>30.04</c:v>
                </c:pt>
                <c:pt idx="154">
                  <c:v>30.22</c:v>
                </c:pt>
                <c:pt idx="155">
                  <c:v>30.02</c:v>
                </c:pt>
                <c:pt idx="156">
                  <c:v>29.38</c:v>
                </c:pt>
                <c:pt idx="157">
                  <c:v>29.2</c:v>
                </c:pt>
                <c:pt idx="158">
                  <c:v>29.2</c:v>
                </c:pt>
                <c:pt idx="159">
                  <c:v>29.2</c:v>
                </c:pt>
                <c:pt idx="160">
                  <c:v>29.2</c:v>
                </c:pt>
                <c:pt idx="161">
                  <c:v>29.58</c:v>
                </c:pt>
                <c:pt idx="162">
                  <c:v>29.12</c:v>
                </c:pt>
                <c:pt idx="163">
                  <c:v>28.8</c:v>
                </c:pt>
                <c:pt idx="164">
                  <c:v>28.36</c:v>
                </c:pt>
                <c:pt idx="165">
                  <c:v>28.36</c:v>
                </c:pt>
                <c:pt idx="166">
                  <c:v>28.36</c:v>
                </c:pt>
                <c:pt idx="167">
                  <c:v>28.5</c:v>
                </c:pt>
                <c:pt idx="168">
                  <c:v>27.98</c:v>
                </c:pt>
                <c:pt idx="169">
                  <c:v>27.8</c:v>
                </c:pt>
                <c:pt idx="170">
                  <c:v>27.24</c:v>
                </c:pt>
                <c:pt idx="171">
                  <c:v>27.26</c:v>
                </c:pt>
                <c:pt idx="172">
                  <c:v>27.26</c:v>
                </c:pt>
                <c:pt idx="173">
                  <c:v>27.26</c:v>
                </c:pt>
                <c:pt idx="174">
                  <c:v>27.16</c:v>
                </c:pt>
                <c:pt idx="175">
                  <c:v>27.72</c:v>
                </c:pt>
                <c:pt idx="176">
                  <c:v>27.54</c:v>
                </c:pt>
                <c:pt idx="177">
                  <c:v>26.36</c:v>
                </c:pt>
                <c:pt idx="178">
                  <c:v>27.34</c:v>
                </c:pt>
                <c:pt idx="179">
                  <c:v>27.34</c:v>
                </c:pt>
                <c:pt idx="180">
                  <c:v>27.34</c:v>
                </c:pt>
                <c:pt idx="181">
                  <c:v>27.52</c:v>
                </c:pt>
                <c:pt idx="182">
                  <c:v>27.72</c:v>
                </c:pt>
                <c:pt idx="183">
                  <c:v>28.4</c:v>
                </c:pt>
                <c:pt idx="184">
                  <c:v>28.32</c:v>
                </c:pt>
                <c:pt idx="185">
                  <c:v>28.1</c:v>
                </c:pt>
                <c:pt idx="186">
                  <c:v>28.1</c:v>
                </c:pt>
                <c:pt idx="187">
                  <c:v>28.1</c:v>
                </c:pt>
                <c:pt idx="188">
                  <c:v>28.76</c:v>
                </c:pt>
                <c:pt idx="189">
                  <c:v>29.48</c:v>
                </c:pt>
                <c:pt idx="190">
                  <c:v>30.32</c:v>
                </c:pt>
                <c:pt idx="191">
                  <c:v>30.84</c:v>
                </c:pt>
                <c:pt idx="192">
                  <c:v>29.96</c:v>
                </c:pt>
                <c:pt idx="193">
                  <c:v>29.96</c:v>
                </c:pt>
                <c:pt idx="194">
                  <c:v>29.96</c:v>
                </c:pt>
                <c:pt idx="195">
                  <c:v>29.32</c:v>
                </c:pt>
                <c:pt idx="196">
                  <c:v>30</c:v>
                </c:pt>
                <c:pt idx="197">
                  <c:v>29.58</c:v>
                </c:pt>
                <c:pt idx="198">
                  <c:v>29.52</c:v>
                </c:pt>
                <c:pt idx="199">
                  <c:v>29.44</c:v>
                </c:pt>
                <c:pt idx="200">
                  <c:v>29.44</c:v>
                </c:pt>
                <c:pt idx="201">
                  <c:v>29.44</c:v>
                </c:pt>
                <c:pt idx="202">
                  <c:v>30.16</c:v>
                </c:pt>
                <c:pt idx="203">
                  <c:v>30.34</c:v>
                </c:pt>
                <c:pt idx="204">
                  <c:v>32.659999999999997</c:v>
                </c:pt>
                <c:pt idx="205">
                  <c:v>32.979999999999997</c:v>
                </c:pt>
                <c:pt idx="206">
                  <c:v>31.62</c:v>
                </c:pt>
                <c:pt idx="207">
                  <c:v>31.62</c:v>
                </c:pt>
                <c:pt idx="208">
                  <c:v>31.62</c:v>
                </c:pt>
                <c:pt idx="209">
                  <c:v>30.08</c:v>
                </c:pt>
                <c:pt idx="210">
                  <c:v>30.5</c:v>
                </c:pt>
                <c:pt idx="211">
                  <c:v>30.04</c:v>
                </c:pt>
                <c:pt idx="212">
                  <c:v>30.14</c:v>
                </c:pt>
                <c:pt idx="213">
                  <c:v>29.42</c:v>
                </c:pt>
                <c:pt idx="214">
                  <c:v>29.42</c:v>
                </c:pt>
                <c:pt idx="215">
                  <c:v>29.42</c:v>
                </c:pt>
                <c:pt idx="216">
                  <c:v>29.32</c:v>
                </c:pt>
                <c:pt idx="217">
                  <c:v>29.68</c:v>
                </c:pt>
                <c:pt idx="218">
                  <c:v>29.76</c:v>
                </c:pt>
                <c:pt idx="219">
                  <c:v>31</c:v>
                </c:pt>
                <c:pt idx="220">
                  <c:v>31.88</c:v>
                </c:pt>
                <c:pt idx="221">
                  <c:v>31.88</c:v>
                </c:pt>
                <c:pt idx="222">
                  <c:v>31.88</c:v>
                </c:pt>
                <c:pt idx="223">
                  <c:v>31.56</c:v>
                </c:pt>
                <c:pt idx="224">
                  <c:v>31.72</c:v>
                </c:pt>
                <c:pt idx="225">
                  <c:v>31.86</c:v>
                </c:pt>
                <c:pt idx="226">
                  <c:v>31.98</c:v>
                </c:pt>
                <c:pt idx="227">
                  <c:v>31.76</c:v>
                </c:pt>
                <c:pt idx="228">
                  <c:v>31.76</c:v>
                </c:pt>
                <c:pt idx="229">
                  <c:v>31.76</c:v>
                </c:pt>
                <c:pt idx="230">
                  <c:v>31.24</c:v>
                </c:pt>
                <c:pt idx="231">
                  <c:v>32</c:v>
                </c:pt>
                <c:pt idx="232">
                  <c:v>31.58</c:v>
                </c:pt>
                <c:pt idx="233">
                  <c:v>31.4</c:v>
                </c:pt>
                <c:pt idx="234">
                  <c:v>32.700000000000003</c:v>
                </c:pt>
                <c:pt idx="235">
                  <c:v>32.700000000000003</c:v>
                </c:pt>
                <c:pt idx="236">
                  <c:v>32.700000000000003</c:v>
                </c:pt>
                <c:pt idx="237">
                  <c:v>32.42</c:v>
                </c:pt>
                <c:pt idx="238">
                  <c:v>32.119999999999997</c:v>
                </c:pt>
                <c:pt idx="239">
                  <c:v>31.8</c:v>
                </c:pt>
                <c:pt idx="240">
                  <c:v>31.7</c:v>
                </c:pt>
                <c:pt idx="241">
                  <c:v>31.6</c:v>
                </c:pt>
                <c:pt idx="242">
                  <c:v>31.6</c:v>
                </c:pt>
                <c:pt idx="243">
                  <c:v>31.6</c:v>
                </c:pt>
                <c:pt idx="244">
                  <c:v>31.44</c:v>
                </c:pt>
                <c:pt idx="245">
                  <c:v>30.38</c:v>
                </c:pt>
                <c:pt idx="246">
                  <c:v>29.9</c:v>
                </c:pt>
                <c:pt idx="247">
                  <c:v>29.78</c:v>
                </c:pt>
                <c:pt idx="248">
                  <c:v>30.24</c:v>
                </c:pt>
                <c:pt idx="249">
                  <c:v>30.24</c:v>
                </c:pt>
                <c:pt idx="250">
                  <c:v>30.24</c:v>
                </c:pt>
                <c:pt idx="251">
                  <c:v>30.9</c:v>
                </c:pt>
                <c:pt idx="252">
                  <c:v>30.8</c:v>
                </c:pt>
                <c:pt idx="253">
                  <c:v>30.26</c:v>
                </c:pt>
                <c:pt idx="254">
                  <c:v>30.58</c:v>
                </c:pt>
                <c:pt idx="255">
                  <c:v>30.46</c:v>
                </c:pt>
                <c:pt idx="256">
                  <c:v>30.46</c:v>
                </c:pt>
                <c:pt idx="257">
                  <c:v>30.46</c:v>
                </c:pt>
                <c:pt idx="258">
                  <c:v>30.64</c:v>
                </c:pt>
                <c:pt idx="259">
                  <c:v>30.44</c:v>
                </c:pt>
                <c:pt idx="260">
                  <c:v>30.42</c:v>
                </c:pt>
                <c:pt idx="261">
                  <c:v>30.42</c:v>
                </c:pt>
                <c:pt idx="262">
                  <c:v>29.88</c:v>
                </c:pt>
                <c:pt idx="263">
                  <c:v>29.88</c:v>
                </c:pt>
                <c:pt idx="264">
                  <c:v>29.88</c:v>
                </c:pt>
                <c:pt idx="265">
                  <c:v>29.42</c:v>
                </c:pt>
                <c:pt idx="266">
                  <c:v>29.8</c:v>
                </c:pt>
                <c:pt idx="267">
                  <c:v>29.06</c:v>
                </c:pt>
                <c:pt idx="268">
                  <c:v>28.24</c:v>
                </c:pt>
                <c:pt idx="269">
                  <c:v>27.52</c:v>
                </c:pt>
                <c:pt idx="270">
                  <c:v>27.52</c:v>
                </c:pt>
                <c:pt idx="271">
                  <c:v>27.52</c:v>
                </c:pt>
                <c:pt idx="272">
                  <c:v>27.54</c:v>
                </c:pt>
                <c:pt idx="273">
                  <c:v>27.28</c:v>
                </c:pt>
                <c:pt idx="274">
                  <c:v>27.34</c:v>
                </c:pt>
                <c:pt idx="275">
                  <c:v>27.52</c:v>
                </c:pt>
                <c:pt idx="276">
                  <c:v>28.08</c:v>
                </c:pt>
                <c:pt idx="277">
                  <c:v>28.08</c:v>
                </c:pt>
                <c:pt idx="278">
                  <c:v>28.08</c:v>
                </c:pt>
                <c:pt idx="279">
                  <c:v>27.92</c:v>
                </c:pt>
                <c:pt idx="280">
                  <c:v>27.08</c:v>
                </c:pt>
                <c:pt idx="281">
                  <c:v>26.8</c:v>
                </c:pt>
                <c:pt idx="282">
                  <c:v>26.7</c:v>
                </c:pt>
                <c:pt idx="283">
                  <c:v>26.24</c:v>
                </c:pt>
                <c:pt idx="284">
                  <c:v>26.24</c:v>
                </c:pt>
                <c:pt idx="285">
                  <c:v>26.24</c:v>
                </c:pt>
                <c:pt idx="286">
                  <c:v>26.56</c:v>
                </c:pt>
                <c:pt idx="287">
                  <c:v>26.16</c:v>
                </c:pt>
                <c:pt idx="288">
                  <c:v>26.2</c:v>
                </c:pt>
                <c:pt idx="289">
                  <c:v>26.58</c:v>
                </c:pt>
                <c:pt idx="290">
                  <c:v>25.88</c:v>
                </c:pt>
                <c:pt idx="291">
                  <c:v>25.88</c:v>
                </c:pt>
                <c:pt idx="292">
                  <c:v>25.88</c:v>
                </c:pt>
                <c:pt idx="293">
                  <c:v>26.28</c:v>
                </c:pt>
                <c:pt idx="294">
                  <c:v>26.22</c:v>
                </c:pt>
                <c:pt idx="295">
                  <c:v>26.2</c:v>
                </c:pt>
                <c:pt idx="296">
                  <c:v>26.28</c:v>
                </c:pt>
                <c:pt idx="297">
                  <c:v>26.48</c:v>
                </c:pt>
                <c:pt idx="298">
                  <c:v>26.48</c:v>
                </c:pt>
                <c:pt idx="299">
                  <c:v>26.48</c:v>
                </c:pt>
                <c:pt idx="300">
                  <c:v>26.8</c:v>
                </c:pt>
                <c:pt idx="301">
                  <c:v>26.9</c:v>
                </c:pt>
                <c:pt idx="302">
                  <c:v>27.64</c:v>
                </c:pt>
                <c:pt idx="303">
                  <c:v>27.9</c:v>
                </c:pt>
                <c:pt idx="304">
                  <c:v>27.84</c:v>
                </c:pt>
                <c:pt idx="305">
                  <c:v>27.84</c:v>
                </c:pt>
                <c:pt idx="306">
                  <c:v>27.84</c:v>
                </c:pt>
                <c:pt idx="307">
                  <c:v>27.74</c:v>
                </c:pt>
                <c:pt idx="308">
                  <c:v>27.2</c:v>
                </c:pt>
                <c:pt idx="309">
                  <c:v>28.08</c:v>
                </c:pt>
                <c:pt idx="310">
                  <c:v>27.7</c:v>
                </c:pt>
                <c:pt idx="311">
                  <c:v>27.66</c:v>
                </c:pt>
                <c:pt idx="312">
                  <c:v>27.66</c:v>
                </c:pt>
                <c:pt idx="313">
                  <c:v>27.66</c:v>
                </c:pt>
                <c:pt idx="314">
                  <c:v>27.98</c:v>
                </c:pt>
                <c:pt idx="315">
                  <c:v>28.36</c:v>
                </c:pt>
                <c:pt idx="316">
                  <c:v>29</c:v>
                </c:pt>
                <c:pt idx="317">
                  <c:v>29</c:v>
                </c:pt>
                <c:pt idx="318">
                  <c:v>28.4</c:v>
                </c:pt>
                <c:pt idx="319">
                  <c:v>28.4</c:v>
                </c:pt>
                <c:pt idx="320">
                  <c:v>28.4</c:v>
                </c:pt>
                <c:pt idx="321">
                  <c:v>28.02</c:v>
                </c:pt>
                <c:pt idx="322">
                  <c:v>27.6</c:v>
                </c:pt>
                <c:pt idx="323">
                  <c:v>28.58</c:v>
                </c:pt>
                <c:pt idx="324">
                  <c:v>27.8</c:v>
                </c:pt>
                <c:pt idx="325">
                  <c:v>28.46</c:v>
                </c:pt>
                <c:pt idx="326">
                  <c:v>28.46</c:v>
                </c:pt>
                <c:pt idx="327">
                  <c:v>28.46</c:v>
                </c:pt>
                <c:pt idx="328">
                  <c:v>28.94</c:v>
                </c:pt>
                <c:pt idx="329">
                  <c:v>29.5</c:v>
                </c:pt>
                <c:pt idx="330">
                  <c:v>29.32</c:v>
                </c:pt>
                <c:pt idx="331">
                  <c:v>29.4</c:v>
                </c:pt>
                <c:pt idx="332">
                  <c:v>29.36</c:v>
                </c:pt>
                <c:pt idx="333">
                  <c:v>29.36</c:v>
                </c:pt>
                <c:pt idx="334">
                  <c:v>29.36</c:v>
                </c:pt>
                <c:pt idx="335">
                  <c:v>28.88</c:v>
                </c:pt>
                <c:pt idx="336">
                  <c:v>28.58</c:v>
                </c:pt>
                <c:pt idx="337">
                  <c:v>28.16</c:v>
                </c:pt>
                <c:pt idx="338">
                  <c:v>28.94</c:v>
                </c:pt>
                <c:pt idx="339">
                  <c:v>29.5</c:v>
                </c:pt>
                <c:pt idx="340">
                  <c:v>29.5</c:v>
                </c:pt>
                <c:pt idx="341">
                  <c:v>29.5</c:v>
                </c:pt>
                <c:pt idx="342">
                  <c:v>29.2</c:v>
                </c:pt>
                <c:pt idx="343">
                  <c:v>28.7</c:v>
                </c:pt>
                <c:pt idx="344">
                  <c:v>28.98</c:v>
                </c:pt>
                <c:pt idx="345">
                  <c:v>30.02</c:v>
                </c:pt>
                <c:pt idx="346">
                  <c:v>30.56</c:v>
                </c:pt>
                <c:pt idx="347">
                  <c:v>30.56</c:v>
                </c:pt>
                <c:pt idx="348">
                  <c:v>30.56</c:v>
                </c:pt>
                <c:pt idx="349">
                  <c:v>30.52</c:v>
                </c:pt>
                <c:pt idx="350">
                  <c:v>30.28</c:v>
                </c:pt>
                <c:pt idx="351">
                  <c:v>30.22</c:v>
                </c:pt>
                <c:pt idx="352">
                  <c:v>30.52</c:v>
                </c:pt>
                <c:pt idx="353">
                  <c:v>30.38</c:v>
                </c:pt>
                <c:pt idx="354">
                  <c:v>30.38</c:v>
                </c:pt>
                <c:pt idx="355">
                  <c:v>30.38</c:v>
                </c:pt>
                <c:pt idx="356">
                  <c:v>30.02</c:v>
                </c:pt>
                <c:pt idx="357">
                  <c:v>29.96</c:v>
                </c:pt>
                <c:pt idx="358">
                  <c:v>29.96</c:v>
                </c:pt>
                <c:pt idx="359">
                  <c:v>29.96</c:v>
                </c:pt>
                <c:pt idx="360">
                  <c:v>29.96</c:v>
                </c:pt>
                <c:pt idx="361">
                  <c:v>29.96</c:v>
                </c:pt>
                <c:pt idx="362">
                  <c:v>29.96</c:v>
                </c:pt>
                <c:pt idx="363">
                  <c:v>30.48</c:v>
                </c:pt>
                <c:pt idx="364">
                  <c:v>30.5</c:v>
                </c:pt>
                <c:pt idx="365">
                  <c:v>30.5</c:v>
                </c:pt>
                <c:pt idx="366">
                  <c:v>30.5</c:v>
                </c:pt>
                <c:pt idx="367">
                  <c:v>31.38</c:v>
                </c:pt>
                <c:pt idx="368">
                  <c:v>31.38</c:v>
                </c:pt>
                <c:pt idx="369">
                  <c:v>31.38</c:v>
                </c:pt>
                <c:pt idx="370">
                  <c:v>30.84</c:v>
                </c:pt>
                <c:pt idx="371">
                  <c:v>31.78</c:v>
                </c:pt>
                <c:pt idx="372">
                  <c:v>32.24</c:v>
                </c:pt>
                <c:pt idx="373">
                  <c:v>31.68</c:v>
                </c:pt>
                <c:pt idx="374">
                  <c:v>31.52</c:v>
                </c:pt>
                <c:pt idx="375">
                  <c:v>31.52</c:v>
                </c:pt>
                <c:pt idx="376">
                  <c:v>31.52</c:v>
                </c:pt>
                <c:pt idx="377">
                  <c:v>31.42</c:v>
                </c:pt>
                <c:pt idx="378">
                  <c:v>30.88</c:v>
                </c:pt>
                <c:pt idx="379">
                  <c:v>30.8</c:v>
                </c:pt>
                <c:pt idx="380">
                  <c:v>31.3</c:v>
                </c:pt>
                <c:pt idx="381">
                  <c:v>31.04</c:v>
                </c:pt>
                <c:pt idx="382">
                  <c:v>31.04</c:v>
                </c:pt>
                <c:pt idx="383">
                  <c:v>31.04</c:v>
                </c:pt>
                <c:pt idx="384">
                  <c:v>30.32</c:v>
                </c:pt>
                <c:pt idx="385">
                  <c:v>29.52</c:v>
                </c:pt>
                <c:pt idx="386">
                  <c:v>31.32</c:v>
                </c:pt>
                <c:pt idx="387">
                  <c:v>31.42</c:v>
                </c:pt>
                <c:pt idx="388">
                  <c:v>31.38</c:v>
                </c:pt>
                <c:pt idx="389">
                  <c:v>31.38</c:v>
                </c:pt>
                <c:pt idx="390">
                  <c:v>31.38</c:v>
                </c:pt>
                <c:pt idx="391">
                  <c:v>31.2</c:v>
                </c:pt>
                <c:pt idx="392">
                  <c:v>31.68</c:v>
                </c:pt>
                <c:pt idx="393">
                  <c:v>32.68</c:v>
                </c:pt>
                <c:pt idx="394">
                  <c:v>32.46</c:v>
                </c:pt>
                <c:pt idx="395">
                  <c:v>32.94</c:v>
                </c:pt>
                <c:pt idx="396">
                  <c:v>32.94</c:v>
                </c:pt>
                <c:pt idx="397">
                  <c:v>32.94</c:v>
                </c:pt>
                <c:pt idx="398">
                  <c:v>33.22</c:v>
                </c:pt>
                <c:pt idx="399">
                  <c:v>35.14</c:v>
                </c:pt>
                <c:pt idx="400">
                  <c:v>36.36</c:v>
                </c:pt>
                <c:pt idx="401">
                  <c:v>36</c:v>
                </c:pt>
                <c:pt idx="402">
                  <c:v>36.18</c:v>
                </c:pt>
                <c:pt idx="403">
                  <c:v>36.18</c:v>
                </c:pt>
                <c:pt idx="404">
                  <c:v>36.18</c:v>
                </c:pt>
                <c:pt idx="405">
                  <c:v>35.979999999999997</c:v>
                </c:pt>
                <c:pt idx="406">
                  <c:v>36.18</c:v>
                </c:pt>
                <c:pt idx="407">
                  <c:v>36.799999999999997</c:v>
                </c:pt>
                <c:pt idx="408">
                  <c:v>36.299999999999997</c:v>
                </c:pt>
                <c:pt idx="409">
                  <c:v>36.46</c:v>
                </c:pt>
                <c:pt idx="410">
                  <c:v>36.46</c:v>
                </c:pt>
                <c:pt idx="411">
                  <c:v>36.46</c:v>
                </c:pt>
                <c:pt idx="412">
                  <c:v>36.14</c:v>
                </c:pt>
                <c:pt idx="413">
                  <c:v>36.08</c:v>
                </c:pt>
                <c:pt idx="414">
                  <c:v>36.78</c:v>
                </c:pt>
                <c:pt idx="415">
                  <c:v>36.479999999999997</c:v>
                </c:pt>
                <c:pt idx="416">
                  <c:v>37.04</c:v>
                </c:pt>
                <c:pt idx="417">
                  <c:v>37.04</c:v>
                </c:pt>
                <c:pt idx="418">
                  <c:v>37.04</c:v>
                </c:pt>
                <c:pt idx="419">
                  <c:v>36.479999999999997</c:v>
                </c:pt>
                <c:pt idx="420">
                  <c:v>36.58</c:v>
                </c:pt>
                <c:pt idx="421">
                  <c:v>36.24</c:v>
                </c:pt>
                <c:pt idx="422">
                  <c:v>35.82</c:v>
                </c:pt>
                <c:pt idx="423">
                  <c:v>36.04</c:v>
                </c:pt>
                <c:pt idx="424">
                  <c:v>36.04</c:v>
                </c:pt>
                <c:pt idx="425">
                  <c:v>36.04</c:v>
                </c:pt>
                <c:pt idx="426">
                  <c:v>34.619999999999997</c:v>
                </c:pt>
                <c:pt idx="427">
                  <c:v>32.840000000000003</c:v>
                </c:pt>
                <c:pt idx="428">
                  <c:v>31.8</c:v>
                </c:pt>
                <c:pt idx="429">
                  <c:v>31.36</c:v>
                </c:pt>
                <c:pt idx="430">
                  <c:v>31.4</c:v>
                </c:pt>
                <c:pt idx="431">
                  <c:v>31.4</c:v>
                </c:pt>
                <c:pt idx="432">
                  <c:v>31.4</c:v>
                </c:pt>
                <c:pt idx="433">
                  <c:v>30.26</c:v>
                </c:pt>
                <c:pt idx="434">
                  <c:v>31.7</c:v>
                </c:pt>
                <c:pt idx="435">
                  <c:v>31.78</c:v>
                </c:pt>
                <c:pt idx="436">
                  <c:v>31.52</c:v>
                </c:pt>
                <c:pt idx="437">
                  <c:v>30.9</c:v>
                </c:pt>
                <c:pt idx="438">
                  <c:v>30.9</c:v>
                </c:pt>
                <c:pt idx="439">
                  <c:v>30.9</c:v>
                </c:pt>
                <c:pt idx="440">
                  <c:v>30.3</c:v>
                </c:pt>
                <c:pt idx="441">
                  <c:v>30.42</c:v>
                </c:pt>
                <c:pt idx="442">
                  <c:v>30.22</c:v>
                </c:pt>
                <c:pt idx="443">
                  <c:v>29.1</c:v>
                </c:pt>
                <c:pt idx="444">
                  <c:v>29</c:v>
                </c:pt>
                <c:pt idx="445">
                  <c:v>29</c:v>
                </c:pt>
                <c:pt idx="446">
                  <c:v>29</c:v>
                </c:pt>
                <c:pt idx="447">
                  <c:v>29.96</c:v>
                </c:pt>
                <c:pt idx="448">
                  <c:v>30.46</c:v>
                </c:pt>
                <c:pt idx="449">
                  <c:v>31.16</c:v>
                </c:pt>
                <c:pt idx="450">
                  <c:v>30.6</c:v>
                </c:pt>
                <c:pt idx="451">
                  <c:v>30.4</c:v>
                </c:pt>
                <c:pt idx="452">
                  <c:v>30.4</c:v>
                </c:pt>
                <c:pt idx="453">
                  <c:v>30.4</c:v>
                </c:pt>
                <c:pt idx="454">
                  <c:v>30</c:v>
                </c:pt>
                <c:pt idx="455">
                  <c:v>30.82</c:v>
                </c:pt>
                <c:pt idx="456">
                  <c:v>31.72</c:v>
                </c:pt>
                <c:pt idx="457">
                  <c:v>31.52</c:v>
                </c:pt>
                <c:pt idx="458">
                  <c:v>31.52</c:v>
                </c:pt>
                <c:pt idx="459">
                  <c:v>31.52</c:v>
                </c:pt>
                <c:pt idx="460">
                  <c:v>31.52</c:v>
                </c:pt>
                <c:pt idx="461">
                  <c:v>31.52</c:v>
                </c:pt>
                <c:pt idx="462">
                  <c:v>30.6</c:v>
                </c:pt>
                <c:pt idx="463">
                  <c:v>33.44</c:v>
                </c:pt>
                <c:pt idx="464">
                  <c:v>32.76</c:v>
                </c:pt>
                <c:pt idx="465">
                  <c:v>33.299999999999997</c:v>
                </c:pt>
                <c:pt idx="466">
                  <c:v>33.299999999999997</c:v>
                </c:pt>
                <c:pt idx="467">
                  <c:v>33.299999999999997</c:v>
                </c:pt>
                <c:pt idx="468">
                  <c:v>33.08</c:v>
                </c:pt>
                <c:pt idx="469">
                  <c:v>32.46</c:v>
                </c:pt>
                <c:pt idx="470">
                  <c:v>31.9</c:v>
                </c:pt>
                <c:pt idx="471">
                  <c:v>31.34</c:v>
                </c:pt>
                <c:pt idx="472">
                  <c:v>32.6</c:v>
                </c:pt>
                <c:pt idx="473">
                  <c:v>32.6</c:v>
                </c:pt>
                <c:pt idx="474">
                  <c:v>32.6</c:v>
                </c:pt>
                <c:pt idx="475">
                  <c:v>32.159999999999997</c:v>
                </c:pt>
                <c:pt idx="476">
                  <c:v>31.94</c:v>
                </c:pt>
                <c:pt idx="477">
                  <c:v>31.8</c:v>
                </c:pt>
                <c:pt idx="478">
                  <c:v>32.06</c:v>
                </c:pt>
                <c:pt idx="479">
                  <c:v>31.76</c:v>
                </c:pt>
                <c:pt idx="480">
                  <c:v>31.76</c:v>
                </c:pt>
                <c:pt idx="481">
                  <c:v>31.76</c:v>
                </c:pt>
                <c:pt idx="482">
                  <c:v>31.38</c:v>
                </c:pt>
                <c:pt idx="483">
                  <c:v>30.78</c:v>
                </c:pt>
                <c:pt idx="484">
                  <c:v>31.18</c:v>
                </c:pt>
                <c:pt idx="485">
                  <c:v>32.28</c:v>
                </c:pt>
                <c:pt idx="486">
                  <c:v>32.28</c:v>
                </c:pt>
                <c:pt idx="487">
                  <c:v>32.28</c:v>
                </c:pt>
                <c:pt idx="488">
                  <c:v>32.28</c:v>
                </c:pt>
                <c:pt idx="489">
                  <c:v>31.6</c:v>
                </c:pt>
                <c:pt idx="490">
                  <c:v>32.6</c:v>
                </c:pt>
                <c:pt idx="491">
                  <c:v>33.380000000000003</c:v>
                </c:pt>
                <c:pt idx="492">
                  <c:v>33.28</c:v>
                </c:pt>
                <c:pt idx="493">
                  <c:v>33</c:v>
                </c:pt>
                <c:pt idx="494">
                  <c:v>33</c:v>
                </c:pt>
                <c:pt idx="495">
                  <c:v>33</c:v>
                </c:pt>
                <c:pt idx="496">
                  <c:v>33.56</c:v>
                </c:pt>
                <c:pt idx="497">
                  <c:v>32.42</c:v>
                </c:pt>
                <c:pt idx="498">
                  <c:v>32.64</c:v>
                </c:pt>
                <c:pt idx="499">
                  <c:v>32.96</c:v>
                </c:pt>
                <c:pt idx="500">
                  <c:v>32.64</c:v>
                </c:pt>
                <c:pt idx="501">
                  <c:v>32.64</c:v>
                </c:pt>
                <c:pt idx="502">
                  <c:v>32.64</c:v>
                </c:pt>
                <c:pt idx="503">
                  <c:v>32.24</c:v>
                </c:pt>
                <c:pt idx="504">
                  <c:v>31.52</c:v>
                </c:pt>
                <c:pt idx="505">
                  <c:v>31.84</c:v>
                </c:pt>
                <c:pt idx="506">
                  <c:v>32</c:v>
                </c:pt>
                <c:pt idx="507">
                  <c:v>32.36</c:v>
                </c:pt>
                <c:pt idx="508">
                  <c:v>32.36</c:v>
                </c:pt>
                <c:pt idx="509">
                  <c:v>32.36</c:v>
                </c:pt>
                <c:pt idx="510">
                  <c:v>33.78</c:v>
                </c:pt>
                <c:pt idx="511">
                  <c:v>33.72</c:v>
                </c:pt>
                <c:pt idx="512">
                  <c:v>34.479999999999997</c:v>
                </c:pt>
                <c:pt idx="513">
                  <c:v>34.299999999999997</c:v>
                </c:pt>
                <c:pt idx="514">
                  <c:v>33.76</c:v>
                </c:pt>
                <c:pt idx="515">
                  <c:v>33.76</c:v>
                </c:pt>
                <c:pt idx="516">
                  <c:v>33.76</c:v>
                </c:pt>
                <c:pt idx="517">
                  <c:v>33.58</c:v>
                </c:pt>
                <c:pt idx="518">
                  <c:v>34.58</c:v>
                </c:pt>
                <c:pt idx="519">
                  <c:v>34.74</c:v>
                </c:pt>
                <c:pt idx="520">
                  <c:v>34.6</c:v>
                </c:pt>
                <c:pt idx="521">
                  <c:v>33.82</c:v>
                </c:pt>
                <c:pt idx="522">
                  <c:v>33.82</c:v>
                </c:pt>
                <c:pt idx="523">
                  <c:v>33.82</c:v>
                </c:pt>
                <c:pt idx="524">
                  <c:v>34.08</c:v>
                </c:pt>
                <c:pt idx="525">
                  <c:v>33.86</c:v>
                </c:pt>
                <c:pt idx="526">
                  <c:v>32.72</c:v>
                </c:pt>
                <c:pt idx="527">
                  <c:v>33.020000000000003</c:v>
                </c:pt>
                <c:pt idx="528">
                  <c:v>33.96</c:v>
                </c:pt>
                <c:pt idx="529">
                  <c:v>33.96</c:v>
                </c:pt>
                <c:pt idx="530">
                  <c:v>33.96</c:v>
                </c:pt>
                <c:pt idx="531">
                  <c:v>34.479999999999997</c:v>
                </c:pt>
                <c:pt idx="532">
                  <c:v>34.9</c:v>
                </c:pt>
                <c:pt idx="533">
                  <c:v>33.9</c:v>
                </c:pt>
                <c:pt idx="534">
                  <c:v>33.92</c:v>
                </c:pt>
                <c:pt idx="535">
                  <c:v>33.14</c:v>
                </c:pt>
                <c:pt idx="536">
                  <c:v>33.14</c:v>
                </c:pt>
                <c:pt idx="537">
                  <c:v>33.14</c:v>
                </c:pt>
                <c:pt idx="538">
                  <c:v>33.06</c:v>
                </c:pt>
                <c:pt idx="539">
                  <c:v>32.18</c:v>
                </c:pt>
                <c:pt idx="540">
                  <c:v>31.56</c:v>
                </c:pt>
                <c:pt idx="541">
                  <c:v>32.56</c:v>
                </c:pt>
                <c:pt idx="542">
                  <c:v>31.94</c:v>
                </c:pt>
                <c:pt idx="543">
                  <c:v>31.94</c:v>
                </c:pt>
                <c:pt idx="544">
                  <c:v>31.94</c:v>
                </c:pt>
                <c:pt idx="545">
                  <c:v>31.88</c:v>
                </c:pt>
                <c:pt idx="546">
                  <c:v>33.18</c:v>
                </c:pt>
                <c:pt idx="547">
                  <c:v>33.36</c:v>
                </c:pt>
                <c:pt idx="548">
                  <c:v>33.5</c:v>
                </c:pt>
              </c:numCache>
            </c:numRef>
          </c:val>
          <c:smooth val="0"/>
          <c:extLst>
            <c:ext xmlns:c16="http://schemas.microsoft.com/office/drawing/2014/chart" uri="{C3380CC4-5D6E-409C-BE32-E72D297353CC}">
              <c16:uniqueId val="{00000001-6BDE-4F8D-A642-0633AAF337B2}"/>
            </c:ext>
          </c:extLst>
        </c:ser>
        <c:dLbls>
          <c:showLegendKey val="0"/>
          <c:showVal val="0"/>
          <c:showCatName val="0"/>
          <c:showSerName val="0"/>
          <c:showPercent val="0"/>
          <c:showBubbleSize val="0"/>
        </c:dLbls>
        <c:marker val="1"/>
        <c:smooth val="0"/>
        <c:axId val="452770816"/>
        <c:axId val="452772608"/>
      </c:lineChart>
      <c:dateAx>
        <c:axId val="452770816"/>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2608"/>
        <c:crosses val="autoZero"/>
        <c:auto val="1"/>
        <c:lblOffset val="100"/>
        <c:baseTimeUnit val="days"/>
        <c:majorUnit val="2"/>
        <c:majorTimeUnit val="months"/>
        <c:minorUnit val="1"/>
        <c:minorTimeUnit val="months"/>
      </c:dateAx>
      <c:valAx>
        <c:axId val="452772608"/>
        <c:scaling>
          <c:orientation val="minMax"/>
        </c:scaling>
        <c:delete val="0"/>
        <c:axPos val="l"/>
        <c:numFmt formatCode="##,#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0816"/>
        <c:crosses val="autoZero"/>
        <c:crossBetween val="between"/>
      </c:valAx>
      <c:catAx>
        <c:axId val="452774144"/>
        <c:scaling>
          <c:orientation val="minMax"/>
        </c:scaling>
        <c:delete val="1"/>
        <c:axPos val="b"/>
        <c:numFmt formatCode="General" sourceLinked="1"/>
        <c:majorTickMark val="out"/>
        <c:minorTickMark val="none"/>
        <c:tickLblPos val="nextTo"/>
        <c:crossAx val="373440512"/>
        <c:crosses val="autoZero"/>
        <c:auto val="1"/>
        <c:lblAlgn val="ctr"/>
        <c:lblOffset val="100"/>
        <c:noMultiLvlLbl val="1"/>
      </c:catAx>
      <c:valAx>
        <c:axId val="373440512"/>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4144"/>
        <c:crosses val="max"/>
        <c:crossBetween val="between"/>
      </c:valAx>
      <c:spPr>
        <a:solidFill>
          <a:srgbClr val="F8F8F8"/>
        </a:solidFill>
        <a:ln w="25400">
          <a:noFill/>
        </a:ln>
      </c:spPr>
    </c:plotArea>
    <c:legend>
      <c:legendPos val="r"/>
      <c:layout>
        <c:manualLayout>
          <c:xMode val="edge"/>
          <c:yMode val="edge"/>
          <c:x val="0.36018412149348383"/>
          <c:y val="1.7181841439495152E-2"/>
          <c:w val="0.29344074765220823"/>
          <c:h val="8.247458237395415E-2"/>
        </c:manualLayout>
      </c:layout>
      <c:overlay val="0"/>
      <c:txPr>
        <a:bodyPr/>
        <a:lstStyle/>
        <a:p>
          <a:pPr>
            <a:defRPr sz="800" b="0" i="0" u="none" strike="noStrike" baseline="0">
              <a:solidFill>
                <a:srgbClr val="000000"/>
              </a:solidFill>
              <a:latin typeface="Arial"/>
              <a:ea typeface="Arial"/>
              <a:cs typeface="Arial"/>
            </a:defRPr>
          </a:pPr>
          <a:endParaRPr lang="en-DE"/>
        </a:p>
      </c:txPr>
    </c:legend>
    <c:plotVisOnly val="0"/>
    <c:dispBlanksAs val="gap"/>
    <c:showDLblsOverMax val="0"/>
  </c:chart>
  <c:spPr>
    <a:solidFill>
      <a:srgbClr val="F8F8F8"/>
    </a:solidFill>
    <a:ln w="9525">
      <a:noFill/>
    </a:ln>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78" r="0.75000000000000078"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03392939804894E-2"/>
          <c:y val="9.3283752047414376E-2"/>
          <c:w val="0.92415793714746175"/>
          <c:h val="0.8059716176896603"/>
        </c:manualLayout>
      </c:layout>
      <c:lineChart>
        <c:grouping val="standard"/>
        <c:varyColors val="0"/>
        <c:ser>
          <c:idx val="0"/>
          <c:order val="0"/>
          <c:tx>
            <c:strRef>
              <c:f>'Calc Data'!$P$27</c:f>
              <c:strCache>
                <c:ptCount val="1"/>
                <c:pt idx="0">
                  <c:v>#NAME?</c:v>
                </c:pt>
              </c:strCache>
            </c:strRef>
          </c:tx>
          <c:spPr>
            <a:ln w="25400">
              <a:solidFill>
                <a:srgbClr val="477AB7"/>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[0]!BB_TRA_SEC1</c:f>
              <c:numCache>
                <c:formatCode>General</c:formatCode>
                <c:ptCount val="1826"/>
                <c:pt idx="0">
                  <c:v>-4.1548999999999996</c:v>
                </c:pt>
                <c:pt idx="1">
                  <c:v>-4.1548999999999996</c:v>
                </c:pt>
                <c:pt idx="2">
                  <c:v>-4.1548999999999996</c:v>
                </c:pt>
                <c:pt idx="3">
                  <c:v>-3.3803000000000001</c:v>
                </c:pt>
                <c:pt idx="4">
                  <c:v>-5.7042000000000002</c:v>
                </c:pt>
                <c:pt idx="5">
                  <c:v>-3.8028</c:v>
                </c:pt>
                <c:pt idx="6">
                  <c:v>-5.5633999999999997</c:v>
                </c:pt>
                <c:pt idx="7">
                  <c:v>-3.9437000000000002</c:v>
                </c:pt>
                <c:pt idx="8">
                  <c:v>-3.9437000000000002</c:v>
                </c:pt>
                <c:pt idx="9">
                  <c:v>-3.9437000000000002</c:v>
                </c:pt>
                <c:pt idx="10">
                  <c:v>-4.2253999999999996</c:v>
                </c:pt>
                <c:pt idx="11">
                  <c:v>-3.3803000000000001</c:v>
                </c:pt>
                <c:pt idx="12">
                  <c:v>-3.8028</c:v>
                </c:pt>
                <c:pt idx="13">
                  <c:v>-2.7465000000000002</c:v>
                </c:pt>
                <c:pt idx="14">
                  <c:v>-6.3380000000000001</c:v>
                </c:pt>
                <c:pt idx="15">
                  <c:v>-6.3380000000000001</c:v>
                </c:pt>
                <c:pt idx="16">
                  <c:v>-6.3380000000000001</c:v>
                </c:pt>
                <c:pt idx="17">
                  <c:v>-10.2113</c:v>
                </c:pt>
                <c:pt idx="18">
                  <c:v>-10.281700000000001</c:v>
                </c:pt>
                <c:pt idx="19">
                  <c:v>-8.0985999999999994</c:v>
                </c:pt>
                <c:pt idx="20">
                  <c:v>-8.1690000000000005</c:v>
                </c:pt>
                <c:pt idx="21">
                  <c:v>-5.4225000000000003</c:v>
                </c:pt>
                <c:pt idx="22">
                  <c:v>-5.4225000000000003</c:v>
                </c:pt>
                <c:pt idx="23">
                  <c:v>-5.4225000000000003</c:v>
                </c:pt>
                <c:pt idx="24">
                  <c:v>-4.5069999999999997</c:v>
                </c:pt>
                <c:pt idx="25">
                  <c:v>-4.8592000000000004</c:v>
                </c:pt>
                <c:pt idx="26">
                  <c:v>-7.7465000000000002</c:v>
                </c:pt>
                <c:pt idx="27">
                  <c:v>-5.3521000000000001</c:v>
                </c:pt>
                <c:pt idx="28">
                  <c:v>-6.8310000000000004</c:v>
                </c:pt>
                <c:pt idx="29">
                  <c:v>-6.8310000000000004</c:v>
                </c:pt>
                <c:pt idx="30">
                  <c:v>-6.8310000000000004</c:v>
                </c:pt>
                <c:pt idx="31">
                  <c:v>-5.5633999999999997</c:v>
                </c:pt>
                <c:pt idx="32">
                  <c:v>-5.7042000000000002</c:v>
                </c:pt>
                <c:pt idx="33">
                  <c:v>-5</c:v>
                </c:pt>
                <c:pt idx="34">
                  <c:v>-5.2816999999999998</c:v>
                </c:pt>
                <c:pt idx="35">
                  <c:v>-4.3662000000000001</c:v>
                </c:pt>
                <c:pt idx="36">
                  <c:v>-4.3662000000000001</c:v>
                </c:pt>
                <c:pt idx="37">
                  <c:v>-4.3662000000000001</c:v>
                </c:pt>
                <c:pt idx="38">
                  <c:v>-6.6196999999999999</c:v>
                </c:pt>
                <c:pt idx="39">
                  <c:v>-6.1268000000000002</c:v>
                </c:pt>
                <c:pt idx="40">
                  <c:v>-4.6478999999999999</c:v>
                </c:pt>
                <c:pt idx="41">
                  <c:v>-4.4366000000000003</c:v>
                </c:pt>
                <c:pt idx="42">
                  <c:v>-5.2816999999999998</c:v>
                </c:pt>
                <c:pt idx="43">
                  <c:v>-5.2816999999999998</c:v>
                </c:pt>
                <c:pt idx="44">
                  <c:v>-5.2816999999999998</c:v>
                </c:pt>
                <c:pt idx="45">
                  <c:v>-6.7606000000000002</c:v>
                </c:pt>
                <c:pt idx="46">
                  <c:v>-8.0985999999999994</c:v>
                </c:pt>
                <c:pt idx="47">
                  <c:v>-9.4366000000000003</c:v>
                </c:pt>
                <c:pt idx="48">
                  <c:v>-13.098599999999999</c:v>
                </c:pt>
                <c:pt idx="49">
                  <c:v>-13.098599999999999</c:v>
                </c:pt>
                <c:pt idx="50">
                  <c:v>-13.098599999999999</c:v>
                </c:pt>
                <c:pt idx="51">
                  <c:v>-13.098599999999999</c:v>
                </c:pt>
                <c:pt idx="52">
                  <c:v>-12.8169</c:v>
                </c:pt>
                <c:pt idx="53">
                  <c:v>-11.690099999999999</c:v>
                </c:pt>
                <c:pt idx="54">
                  <c:v>-11.549300000000001</c:v>
                </c:pt>
                <c:pt idx="55">
                  <c:v>-9.8591999999999995</c:v>
                </c:pt>
                <c:pt idx="56">
                  <c:v>-9.7182999999999993</c:v>
                </c:pt>
                <c:pt idx="57">
                  <c:v>-9.7182999999999993</c:v>
                </c:pt>
                <c:pt idx="58">
                  <c:v>-9.7182999999999993</c:v>
                </c:pt>
                <c:pt idx="59">
                  <c:v>-11.6197</c:v>
                </c:pt>
                <c:pt idx="60">
                  <c:v>-11.9718</c:v>
                </c:pt>
                <c:pt idx="61">
                  <c:v>-12.4648</c:v>
                </c:pt>
                <c:pt idx="62">
                  <c:v>-11.6197</c:v>
                </c:pt>
                <c:pt idx="63">
                  <c:v>-10.633800000000001</c:v>
                </c:pt>
                <c:pt idx="64">
                  <c:v>-10.633800000000001</c:v>
                </c:pt>
                <c:pt idx="65">
                  <c:v>-10.633800000000001</c:v>
                </c:pt>
                <c:pt idx="66">
                  <c:v>-10.5634</c:v>
                </c:pt>
                <c:pt idx="67">
                  <c:v>-11.1972</c:v>
                </c:pt>
                <c:pt idx="68">
                  <c:v>-14.4366</c:v>
                </c:pt>
                <c:pt idx="69">
                  <c:v>-14.366199999999999</c:v>
                </c:pt>
                <c:pt idx="70">
                  <c:v>-14.014099999999999</c:v>
                </c:pt>
                <c:pt idx="71">
                  <c:v>-14.014099999999999</c:v>
                </c:pt>
                <c:pt idx="72">
                  <c:v>-14.014099999999999</c:v>
                </c:pt>
                <c:pt idx="73">
                  <c:v>-13.8028</c:v>
                </c:pt>
                <c:pt idx="74">
                  <c:v>-15.1408</c:v>
                </c:pt>
                <c:pt idx="75">
                  <c:v>-15.5634</c:v>
                </c:pt>
                <c:pt idx="76">
                  <c:v>-15.9155</c:v>
                </c:pt>
                <c:pt idx="77">
                  <c:v>-16.690100000000001</c:v>
                </c:pt>
                <c:pt idx="78">
                  <c:v>-16.690100000000001</c:v>
                </c:pt>
                <c:pt idx="79">
                  <c:v>-16.690100000000001</c:v>
                </c:pt>
                <c:pt idx="80">
                  <c:v>-19.2958</c:v>
                </c:pt>
                <c:pt idx="81">
                  <c:v>-20.070399999999999</c:v>
                </c:pt>
                <c:pt idx="82">
                  <c:v>-18.521100000000001</c:v>
                </c:pt>
                <c:pt idx="83">
                  <c:v>-18.521100000000001</c:v>
                </c:pt>
                <c:pt idx="84">
                  <c:v>-19.507000000000001</c:v>
                </c:pt>
                <c:pt idx="85">
                  <c:v>-19.507000000000001</c:v>
                </c:pt>
                <c:pt idx="86">
                  <c:v>-19.507000000000001</c:v>
                </c:pt>
                <c:pt idx="87">
                  <c:v>-19.014099999999999</c:v>
                </c:pt>
                <c:pt idx="88">
                  <c:v>-20.422499999999999</c:v>
                </c:pt>
                <c:pt idx="89">
                  <c:v>-21.0563</c:v>
                </c:pt>
                <c:pt idx="90">
                  <c:v>-21.831</c:v>
                </c:pt>
                <c:pt idx="91">
                  <c:v>-21.619700000000002</c:v>
                </c:pt>
                <c:pt idx="92">
                  <c:v>-21.619700000000002</c:v>
                </c:pt>
                <c:pt idx="93">
                  <c:v>-21.619700000000002</c:v>
                </c:pt>
                <c:pt idx="94">
                  <c:v>-22.5352</c:v>
                </c:pt>
                <c:pt idx="95">
                  <c:v>-22.1127</c:v>
                </c:pt>
                <c:pt idx="96">
                  <c:v>-23.028199999999998</c:v>
                </c:pt>
                <c:pt idx="97">
                  <c:v>-22.253499999999999</c:v>
                </c:pt>
                <c:pt idx="98">
                  <c:v>-22.1831</c:v>
                </c:pt>
                <c:pt idx="99">
                  <c:v>-22.1831</c:v>
                </c:pt>
                <c:pt idx="100">
                  <c:v>-22.1831</c:v>
                </c:pt>
                <c:pt idx="101">
                  <c:v>-22.8169</c:v>
                </c:pt>
                <c:pt idx="102">
                  <c:v>-23.309899999999999</c:v>
                </c:pt>
                <c:pt idx="103">
                  <c:v>-23.661999999999999</c:v>
                </c:pt>
                <c:pt idx="104">
                  <c:v>-23.802800000000001</c:v>
                </c:pt>
                <c:pt idx="105">
                  <c:v>-21.831</c:v>
                </c:pt>
                <c:pt idx="106">
                  <c:v>-21.831</c:v>
                </c:pt>
                <c:pt idx="107">
                  <c:v>-21.831</c:v>
                </c:pt>
                <c:pt idx="108">
                  <c:v>-22.8873</c:v>
                </c:pt>
                <c:pt idx="109">
                  <c:v>-22.394400000000001</c:v>
                </c:pt>
                <c:pt idx="110">
                  <c:v>-22.4648</c:v>
                </c:pt>
                <c:pt idx="111">
                  <c:v>-22.5352</c:v>
                </c:pt>
                <c:pt idx="112">
                  <c:v>-22.1831</c:v>
                </c:pt>
                <c:pt idx="113">
                  <c:v>-22.1831</c:v>
                </c:pt>
                <c:pt idx="114">
                  <c:v>-22.1831</c:v>
                </c:pt>
                <c:pt idx="115">
                  <c:v>-21.0563</c:v>
                </c:pt>
                <c:pt idx="116">
                  <c:v>-20.915500000000002</c:v>
                </c:pt>
                <c:pt idx="117">
                  <c:v>-21.478899999999999</c:v>
                </c:pt>
                <c:pt idx="118">
                  <c:v>-22.394400000000001</c:v>
                </c:pt>
                <c:pt idx="119">
                  <c:v>-21.478899999999999</c:v>
                </c:pt>
                <c:pt idx="120">
                  <c:v>-21.478899999999999</c:v>
                </c:pt>
                <c:pt idx="121">
                  <c:v>-21.478899999999999</c:v>
                </c:pt>
                <c:pt idx="122">
                  <c:v>-20.211300000000001</c:v>
                </c:pt>
                <c:pt idx="123">
                  <c:v>-20.211300000000001</c:v>
                </c:pt>
                <c:pt idx="124">
                  <c:v>-19.507000000000001</c:v>
                </c:pt>
                <c:pt idx="125">
                  <c:v>-20.7042</c:v>
                </c:pt>
                <c:pt idx="126">
                  <c:v>-19.859200000000001</c:v>
                </c:pt>
                <c:pt idx="127">
                  <c:v>-19.859200000000001</c:v>
                </c:pt>
                <c:pt idx="128">
                  <c:v>-19.859200000000001</c:v>
                </c:pt>
                <c:pt idx="129">
                  <c:v>-18.873200000000001</c:v>
                </c:pt>
                <c:pt idx="130">
                  <c:v>-18.661999999999999</c:v>
                </c:pt>
                <c:pt idx="131">
                  <c:v>-18.802800000000001</c:v>
                </c:pt>
                <c:pt idx="132">
                  <c:v>-18.5915</c:v>
                </c:pt>
                <c:pt idx="133">
                  <c:v>-17.1831</c:v>
                </c:pt>
                <c:pt idx="134">
                  <c:v>-17.1831</c:v>
                </c:pt>
                <c:pt idx="135">
                  <c:v>-17.1831</c:v>
                </c:pt>
                <c:pt idx="136">
                  <c:v>-16.197199999999999</c:v>
                </c:pt>
                <c:pt idx="137">
                  <c:v>-15.493</c:v>
                </c:pt>
                <c:pt idx="138">
                  <c:v>-16.549299999999999</c:v>
                </c:pt>
                <c:pt idx="139">
                  <c:v>-17.1831</c:v>
                </c:pt>
                <c:pt idx="140">
                  <c:v>-18.380299999999998</c:v>
                </c:pt>
                <c:pt idx="141">
                  <c:v>-18.380299999999998</c:v>
                </c:pt>
                <c:pt idx="142">
                  <c:v>-18.380299999999998</c:v>
                </c:pt>
                <c:pt idx="143">
                  <c:v>-18.309899999999999</c:v>
                </c:pt>
                <c:pt idx="144">
                  <c:v>-20.070399999999999</c:v>
                </c:pt>
                <c:pt idx="145">
                  <c:v>-20.281700000000001</c:v>
                </c:pt>
                <c:pt idx="146">
                  <c:v>-21.549299999999999</c:v>
                </c:pt>
                <c:pt idx="147">
                  <c:v>-26.126799999999999</c:v>
                </c:pt>
                <c:pt idx="148">
                  <c:v>-26.126799999999999</c:v>
                </c:pt>
                <c:pt idx="149">
                  <c:v>-26.126799999999999</c:v>
                </c:pt>
                <c:pt idx="150">
                  <c:v>-26.267600000000002</c:v>
                </c:pt>
                <c:pt idx="151">
                  <c:v>-26.7606</c:v>
                </c:pt>
                <c:pt idx="152">
                  <c:v>-25.633800000000001</c:v>
                </c:pt>
                <c:pt idx="153">
                  <c:v>-28.098600000000001</c:v>
                </c:pt>
                <c:pt idx="154">
                  <c:v>-29.859200000000001</c:v>
                </c:pt>
                <c:pt idx="155">
                  <c:v>-29.859200000000001</c:v>
                </c:pt>
                <c:pt idx="156">
                  <c:v>-29.859200000000001</c:v>
                </c:pt>
                <c:pt idx="157">
                  <c:v>-26.338000000000001</c:v>
                </c:pt>
                <c:pt idx="158">
                  <c:v>-23.028199999999998</c:v>
                </c:pt>
                <c:pt idx="159">
                  <c:v>-22.605599999999999</c:v>
                </c:pt>
                <c:pt idx="160">
                  <c:v>-23.380299999999998</c:v>
                </c:pt>
                <c:pt idx="161">
                  <c:v>-24.718299999999999</c:v>
                </c:pt>
                <c:pt idx="162">
                  <c:v>-24.718299999999999</c:v>
                </c:pt>
                <c:pt idx="163">
                  <c:v>-24.718299999999999</c:v>
                </c:pt>
                <c:pt idx="164">
                  <c:v>-25.211300000000001</c:v>
                </c:pt>
                <c:pt idx="165">
                  <c:v>-26.267600000000002</c:v>
                </c:pt>
                <c:pt idx="166">
                  <c:v>-26.126799999999999</c:v>
                </c:pt>
                <c:pt idx="167">
                  <c:v>-24.366199999999999</c:v>
                </c:pt>
                <c:pt idx="168">
                  <c:v>-24.2958</c:v>
                </c:pt>
                <c:pt idx="169">
                  <c:v>-24.2958</c:v>
                </c:pt>
                <c:pt idx="170">
                  <c:v>-24.2958</c:v>
                </c:pt>
                <c:pt idx="171">
                  <c:v>-26.267600000000002</c:v>
                </c:pt>
                <c:pt idx="172">
                  <c:v>-25.070399999999999</c:v>
                </c:pt>
                <c:pt idx="173">
                  <c:v>-23.873200000000001</c:v>
                </c:pt>
                <c:pt idx="174">
                  <c:v>-22.323899999999998</c:v>
                </c:pt>
                <c:pt idx="175">
                  <c:v>-22.323899999999998</c:v>
                </c:pt>
                <c:pt idx="176">
                  <c:v>-22.323899999999998</c:v>
                </c:pt>
                <c:pt idx="177">
                  <c:v>-22.323899999999998</c:v>
                </c:pt>
                <c:pt idx="178">
                  <c:v>-21.619700000000002</c:v>
                </c:pt>
                <c:pt idx="179">
                  <c:v>-20.7042</c:v>
                </c:pt>
                <c:pt idx="180">
                  <c:v>-21.478899999999999</c:v>
                </c:pt>
                <c:pt idx="181">
                  <c:v>-22.042300000000001</c:v>
                </c:pt>
                <c:pt idx="182">
                  <c:v>-22.042300000000001</c:v>
                </c:pt>
                <c:pt idx="183">
                  <c:v>-22.042300000000001</c:v>
                </c:pt>
                <c:pt idx="184">
                  <c:v>-22.042300000000001</c:v>
                </c:pt>
                <c:pt idx="185">
                  <c:v>-21.126799999999999</c:v>
                </c:pt>
                <c:pt idx="186">
                  <c:v>-19.014099999999999</c:v>
                </c:pt>
                <c:pt idx="187">
                  <c:v>-18.2394</c:v>
                </c:pt>
                <c:pt idx="188">
                  <c:v>-18.802800000000001</c:v>
                </c:pt>
                <c:pt idx="189">
                  <c:v>-20.070399999999999</c:v>
                </c:pt>
                <c:pt idx="190">
                  <c:v>-20.070399999999999</c:v>
                </c:pt>
                <c:pt idx="191">
                  <c:v>-20.070399999999999</c:v>
                </c:pt>
                <c:pt idx="192">
                  <c:v>-21.690100000000001</c:v>
                </c:pt>
                <c:pt idx="193">
                  <c:v>-21.4085</c:v>
                </c:pt>
                <c:pt idx="194">
                  <c:v>-18.802800000000001</c:v>
                </c:pt>
                <c:pt idx="195">
                  <c:v>-17.676100000000002</c:v>
                </c:pt>
                <c:pt idx="196">
                  <c:v>-18.661999999999999</c:v>
                </c:pt>
                <c:pt idx="197">
                  <c:v>-18.661999999999999</c:v>
                </c:pt>
                <c:pt idx="198">
                  <c:v>-18.661999999999999</c:v>
                </c:pt>
                <c:pt idx="199">
                  <c:v>-17.957699999999999</c:v>
                </c:pt>
                <c:pt idx="200">
                  <c:v>-20.281700000000001</c:v>
                </c:pt>
                <c:pt idx="201">
                  <c:v>-18.5915</c:v>
                </c:pt>
                <c:pt idx="202">
                  <c:v>-19.154900000000001</c:v>
                </c:pt>
                <c:pt idx="203">
                  <c:v>-20.985900000000001</c:v>
                </c:pt>
                <c:pt idx="204">
                  <c:v>-20.985900000000001</c:v>
                </c:pt>
                <c:pt idx="205">
                  <c:v>-20.985900000000001</c:v>
                </c:pt>
                <c:pt idx="206">
                  <c:v>-26.0563</c:v>
                </c:pt>
                <c:pt idx="207">
                  <c:v>-25.7042</c:v>
                </c:pt>
                <c:pt idx="208">
                  <c:v>-24.2254</c:v>
                </c:pt>
                <c:pt idx="209">
                  <c:v>-23.309899999999999</c:v>
                </c:pt>
                <c:pt idx="210">
                  <c:v>-25.563400000000001</c:v>
                </c:pt>
                <c:pt idx="211">
                  <c:v>-25.563400000000001</c:v>
                </c:pt>
                <c:pt idx="212">
                  <c:v>-25.563400000000001</c:v>
                </c:pt>
                <c:pt idx="213">
                  <c:v>-25.492999999999999</c:v>
                </c:pt>
                <c:pt idx="214">
                  <c:v>-24.6479</c:v>
                </c:pt>
                <c:pt idx="215">
                  <c:v>-25.563400000000001</c:v>
                </c:pt>
                <c:pt idx="216">
                  <c:v>-25.281700000000001</c:v>
                </c:pt>
                <c:pt idx="217">
                  <c:v>-27.323899999999998</c:v>
                </c:pt>
                <c:pt idx="218">
                  <c:v>-27.323899999999998</c:v>
                </c:pt>
                <c:pt idx="219">
                  <c:v>-27.323899999999998</c:v>
                </c:pt>
                <c:pt idx="220">
                  <c:v>-26.126799999999999</c:v>
                </c:pt>
                <c:pt idx="221">
                  <c:v>-26.0563</c:v>
                </c:pt>
                <c:pt idx="222">
                  <c:v>-23.2394</c:v>
                </c:pt>
                <c:pt idx="223">
                  <c:v>-22.1831</c:v>
                </c:pt>
                <c:pt idx="224">
                  <c:v>-24.436599999999999</c:v>
                </c:pt>
                <c:pt idx="225">
                  <c:v>-24.436599999999999</c:v>
                </c:pt>
                <c:pt idx="226">
                  <c:v>-24.436599999999999</c:v>
                </c:pt>
                <c:pt idx="227">
                  <c:v>-26.4085</c:v>
                </c:pt>
                <c:pt idx="228">
                  <c:v>-24.436599999999999</c:v>
                </c:pt>
                <c:pt idx="229">
                  <c:v>-24.154900000000001</c:v>
                </c:pt>
                <c:pt idx="230">
                  <c:v>-25.7042</c:v>
                </c:pt>
                <c:pt idx="231">
                  <c:v>-26.0563</c:v>
                </c:pt>
                <c:pt idx="232">
                  <c:v>-26.0563</c:v>
                </c:pt>
                <c:pt idx="233">
                  <c:v>-26.0563</c:v>
                </c:pt>
                <c:pt idx="234">
                  <c:v>-28.802800000000001</c:v>
                </c:pt>
                <c:pt idx="235">
                  <c:v>-29.2958</c:v>
                </c:pt>
                <c:pt idx="236">
                  <c:v>-31.690100000000001</c:v>
                </c:pt>
                <c:pt idx="237">
                  <c:v>-35.915500000000002</c:v>
                </c:pt>
                <c:pt idx="238">
                  <c:v>-34.2958</c:v>
                </c:pt>
                <c:pt idx="239">
                  <c:v>-34.2958</c:v>
                </c:pt>
                <c:pt idx="240">
                  <c:v>-34.2958</c:v>
                </c:pt>
                <c:pt idx="241">
                  <c:v>-35.387300000000003</c:v>
                </c:pt>
                <c:pt idx="242">
                  <c:v>-39.929600000000001</c:v>
                </c:pt>
                <c:pt idx="243">
                  <c:v>-39.859200000000001</c:v>
                </c:pt>
                <c:pt idx="244">
                  <c:v>-40.668999999999997</c:v>
                </c:pt>
                <c:pt idx="245">
                  <c:v>-43.485900000000001</c:v>
                </c:pt>
                <c:pt idx="246">
                  <c:v>-43.485900000000001</c:v>
                </c:pt>
                <c:pt idx="247">
                  <c:v>-43.485900000000001</c:v>
                </c:pt>
                <c:pt idx="248">
                  <c:v>-42.816899999999997</c:v>
                </c:pt>
                <c:pt idx="249">
                  <c:v>-41.760599999999997</c:v>
                </c:pt>
                <c:pt idx="250">
                  <c:v>-38.2746</c:v>
                </c:pt>
                <c:pt idx="251">
                  <c:v>-40.598599999999998</c:v>
                </c:pt>
                <c:pt idx="252">
                  <c:v>-38.802799999999998</c:v>
                </c:pt>
                <c:pt idx="253">
                  <c:v>-38.802799999999998</c:v>
                </c:pt>
                <c:pt idx="254">
                  <c:v>-38.802799999999998</c:v>
                </c:pt>
                <c:pt idx="255">
                  <c:v>-35.809899999999999</c:v>
                </c:pt>
                <c:pt idx="256">
                  <c:v>-37.112699999999997</c:v>
                </c:pt>
                <c:pt idx="257">
                  <c:v>-34.718299999999999</c:v>
                </c:pt>
                <c:pt idx="258">
                  <c:v>-35.7746</c:v>
                </c:pt>
                <c:pt idx="259">
                  <c:v>-36.161999999999999</c:v>
                </c:pt>
                <c:pt idx="260">
                  <c:v>-36.161999999999999</c:v>
                </c:pt>
                <c:pt idx="261">
                  <c:v>-36.161999999999999</c:v>
                </c:pt>
                <c:pt idx="262">
                  <c:v>-35.985900000000001</c:v>
                </c:pt>
                <c:pt idx="263">
                  <c:v>-35.176099999999998</c:v>
                </c:pt>
                <c:pt idx="264">
                  <c:v>-36.408499999999997</c:v>
                </c:pt>
                <c:pt idx="265">
                  <c:v>-37.253500000000003</c:v>
                </c:pt>
                <c:pt idx="266">
                  <c:v>-38.661999999999999</c:v>
                </c:pt>
                <c:pt idx="267">
                  <c:v>-38.661999999999999</c:v>
                </c:pt>
                <c:pt idx="268">
                  <c:v>-38.661999999999999</c:v>
                </c:pt>
                <c:pt idx="269">
                  <c:v>-38.098599999999998</c:v>
                </c:pt>
                <c:pt idx="270">
                  <c:v>-35.3521</c:v>
                </c:pt>
                <c:pt idx="271">
                  <c:v>-38.380299999999998</c:v>
                </c:pt>
                <c:pt idx="272">
                  <c:v>-40.598599999999998</c:v>
                </c:pt>
                <c:pt idx="273">
                  <c:v>-41.197200000000002</c:v>
                </c:pt>
                <c:pt idx="274">
                  <c:v>-41.197200000000002</c:v>
                </c:pt>
                <c:pt idx="275">
                  <c:v>-41.197200000000002</c:v>
                </c:pt>
                <c:pt idx="276">
                  <c:v>-41.7254</c:v>
                </c:pt>
                <c:pt idx="277">
                  <c:v>-45.035200000000003</c:v>
                </c:pt>
                <c:pt idx="278">
                  <c:v>-46.690100000000001</c:v>
                </c:pt>
                <c:pt idx="279">
                  <c:v>-47.816899999999997</c:v>
                </c:pt>
                <c:pt idx="280">
                  <c:v>-46.197200000000002</c:v>
                </c:pt>
                <c:pt idx="281">
                  <c:v>-46.197200000000002</c:v>
                </c:pt>
                <c:pt idx="282">
                  <c:v>-46.197200000000002</c:v>
                </c:pt>
                <c:pt idx="283">
                  <c:v>-46.7254</c:v>
                </c:pt>
                <c:pt idx="284">
                  <c:v>-47.183100000000003</c:v>
                </c:pt>
                <c:pt idx="285">
                  <c:v>-47.112699999999997</c:v>
                </c:pt>
                <c:pt idx="286">
                  <c:v>-47.5</c:v>
                </c:pt>
                <c:pt idx="287">
                  <c:v>-47.5</c:v>
                </c:pt>
                <c:pt idx="288">
                  <c:v>-47.5</c:v>
                </c:pt>
                <c:pt idx="289">
                  <c:v>-47.5</c:v>
                </c:pt>
                <c:pt idx="290">
                  <c:v>-47.5</c:v>
                </c:pt>
                <c:pt idx="291">
                  <c:v>-45.985900000000001</c:v>
                </c:pt>
                <c:pt idx="292">
                  <c:v>-44.401400000000002</c:v>
                </c:pt>
                <c:pt idx="293">
                  <c:v>-42.746499999999997</c:v>
                </c:pt>
                <c:pt idx="294">
                  <c:v>-43.168999999999997</c:v>
                </c:pt>
                <c:pt idx="295">
                  <c:v>-43.168999999999997</c:v>
                </c:pt>
                <c:pt idx="296">
                  <c:v>-43.168999999999997</c:v>
                </c:pt>
                <c:pt idx="297">
                  <c:v>-45.387300000000003</c:v>
                </c:pt>
                <c:pt idx="298">
                  <c:v>-46.408499999999997</c:v>
                </c:pt>
                <c:pt idx="299">
                  <c:v>-46.0563</c:v>
                </c:pt>
                <c:pt idx="300">
                  <c:v>-45.070399999999999</c:v>
                </c:pt>
                <c:pt idx="301">
                  <c:v>-43.908499999999997</c:v>
                </c:pt>
                <c:pt idx="302">
                  <c:v>-43.908499999999997</c:v>
                </c:pt>
                <c:pt idx="303">
                  <c:v>-43.908499999999997</c:v>
                </c:pt>
                <c:pt idx="304">
                  <c:v>-44.718299999999999</c:v>
                </c:pt>
                <c:pt idx="305">
                  <c:v>-43.133800000000001</c:v>
                </c:pt>
                <c:pt idx="306">
                  <c:v>-43.380299999999998</c:v>
                </c:pt>
                <c:pt idx="307">
                  <c:v>-45.528199999999998</c:v>
                </c:pt>
                <c:pt idx="308">
                  <c:v>-44.577500000000001</c:v>
                </c:pt>
                <c:pt idx="309">
                  <c:v>-44.577500000000001</c:v>
                </c:pt>
                <c:pt idx="310">
                  <c:v>-44.577500000000001</c:v>
                </c:pt>
                <c:pt idx="311">
                  <c:v>-45.7746</c:v>
                </c:pt>
                <c:pt idx="312">
                  <c:v>-46.267600000000002</c:v>
                </c:pt>
                <c:pt idx="313">
                  <c:v>-44.471800000000002</c:v>
                </c:pt>
                <c:pt idx="314">
                  <c:v>-44.154899999999998</c:v>
                </c:pt>
                <c:pt idx="315">
                  <c:v>-42.183100000000003</c:v>
                </c:pt>
                <c:pt idx="316">
                  <c:v>-42.183100000000003</c:v>
                </c:pt>
                <c:pt idx="317">
                  <c:v>-42.183100000000003</c:v>
                </c:pt>
                <c:pt idx="318">
                  <c:v>-41.7958</c:v>
                </c:pt>
                <c:pt idx="319">
                  <c:v>-40.211300000000001</c:v>
                </c:pt>
                <c:pt idx="320">
                  <c:v>-39.859200000000001</c:v>
                </c:pt>
                <c:pt idx="321">
                  <c:v>-41.197200000000002</c:v>
                </c:pt>
                <c:pt idx="322">
                  <c:v>-42.429600000000001</c:v>
                </c:pt>
                <c:pt idx="323">
                  <c:v>-42.429600000000001</c:v>
                </c:pt>
                <c:pt idx="324">
                  <c:v>-42.429600000000001</c:v>
                </c:pt>
                <c:pt idx="325">
                  <c:v>-42.112699999999997</c:v>
                </c:pt>
                <c:pt idx="326">
                  <c:v>-43.5563</c:v>
                </c:pt>
                <c:pt idx="327">
                  <c:v>-41.584499999999998</c:v>
                </c:pt>
                <c:pt idx="328">
                  <c:v>-40.7042</c:v>
                </c:pt>
                <c:pt idx="329">
                  <c:v>-39.190100000000001</c:v>
                </c:pt>
                <c:pt idx="330">
                  <c:v>-39.190100000000001</c:v>
                </c:pt>
                <c:pt idx="331">
                  <c:v>-39.190100000000001</c:v>
                </c:pt>
                <c:pt idx="332">
                  <c:v>-37.746499999999997</c:v>
                </c:pt>
                <c:pt idx="333">
                  <c:v>-39.612699999999997</c:v>
                </c:pt>
                <c:pt idx="334">
                  <c:v>-39.2254</c:v>
                </c:pt>
                <c:pt idx="335">
                  <c:v>-38.661999999999999</c:v>
                </c:pt>
                <c:pt idx="336">
                  <c:v>-38.697200000000002</c:v>
                </c:pt>
                <c:pt idx="337">
                  <c:v>-38.697200000000002</c:v>
                </c:pt>
                <c:pt idx="338">
                  <c:v>-38.697200000000002</c:v>
                </c:pt>
                <c:pt idx="339">
                  <c:v>-36.584499999999998</c:v>
                </c:pt>
                <c:pt idx="340">
                  <c:v>-38.133800000000001</c:v>
                </c:pt>
                <c:pt idx="341">
                  <c:v>-37.816899999999997</c:v>
                </c:pt>
                <c:pt idx="342">
                  <c:v>-40.281700000000001</c:v>
                </c:pt>
                <c:pt idx="343">
                  <c:v>-42.359200000000001</c:v>
                </c:pt>
                <c:pt idx="344">
                  <c:v>-42.359200000000001</c:v>
                </c:pt>
                <c:pt idx="345">
                  <c:v>-42.359200000000001</c:v>
                </c:pt>
                <c:pt idx="346">
                  <c:v>-45.119500000000002</c:v>
                </c:pt>
                <c:pt idx="347">
                  <c:v>-46.136499999999998</c:v>
                </c:pt>
                <c:pt idx="348">
                  <c:v>-44.393099999999997</c:v>
                </c:pt>
                <c:pt idx="349">
                  <c:v>-47.2988</c:v>
                </c:pt>
                <c:pt idx="350">
                  <c:v>-45.628</c:v>
                </c:pt>
                <c:pt idx="351">
                  <c:v>-45.628</c:v>
                </c:pt>
                <c:pt idx="352">
                  <c:v>-45.628</c:v>
                </c:pt>
                <c:pt idx="353">
                  <c:v>-44.465800000000002</c:v>
                </c:pt>
                <c:pt idx="354">
                  <c:v>-43.848300000000002</c:v>
                </c:pt>
                <c:pt idx="355">
                  <c:v>-45.809600000000003</c:v>
                </c:pt>
                <c:pt idx="356">
                  <c:v>-48.3521</c:v>
                </c:pt>
                <c:pt idx="357">
                  <c:v>-47.625599999999999</c:v>
                </c:pt>
                <c:pt idx="358">
                  <c:v>-47.625599999999999</c:v>
                </c:pt>
                <c:pt idx="359">
                  <c:v>-47.625599999999999</c:v>
                </c:pt>
                <c:pt idx="360">
                  <c:v>-46.499699999999997</c:v>
                </c:pt>
                <c:pt idx="361">
                  <c:v>-45.555399999999999</c:v>
                </c:pt>
                <c:pt idx="362">
                  <c:v>-47.589300000000001</c:v>
                </c:pt>
                <c:pt idx="363">
                  <c:v>-49.296399999999998</c:v>
                </c:pt>
                <c:pt idx="364">
                  <c:v>-49.369</c:v>
                </c:pt>
                <c:pt idx="365">
                  <c:v>-49.369</c:v>
                </c:pt>
                <c:pt idx="366">
                  <c:v>-49.369</c:v>
                </c:pt>
                <c:pt idx="367">
                  <c:v>-50.240699999999997</c:v>
                </c:pt>
                <c:pt idx="368">
                  <c:v>-51.766199999999998</c:v>
                </c:pt>
                <c:pt idx="369">
                  <c:v>-50.749200000000002</c:v>
                </c:pt>
                <c:pt idx="370">
                  <c:v>-47.843600000000002</c:v>
                </c:pt>
                <c:pt idx="371">
                  <c:v>-46.318100000000001</c:v>
                </c:pt>
                <c:pt idx="372">
                  <c:v>-46.318100000000001</c:v>
                </c:pt>
                <c:pt idx="373">
                  <c:v>-46.318100000000001</c:v>
                </c:pt>
                <c:pt idx="374">
                  <c:v>-48.3157</c:v>
                </c:pt>
                <c:pt idx="375">
                  <c:v>-47.7346</c:v>
                </c:pt>
                <c:pt idx="376">
                  <c:v>-48.243099999999998</c:v>
                </c:pt>
                <c:pt idx="377">
                  <c:v>-49.369</c:v>
                </c:pt>
                <c:pt idx="378">
                  <c:v>-48.206800000000001</c:v>
                </c:pt>
                <c:pt idx="379">
                  <c:v>-48.206800000000001</c:v>
                </c:pt>
                <c:pt idx="380">
                  <c:v>-48.206800000000001</c:v>
                </c:pt>
                <c:pt idx="381">
                  <c:v>-47.2988</c:v>
                </c:pt>
                <c:pt idx="382">
                  <c:v>-45.628</c:v>
                </c:pt>
                <c:pt idx="383">
                  <c:v>-46.027500000000003</c:v>
                </c:pt>
                <c:pt idx="384">
                  <c:v>-46.608699999999999</c:v>
                </c:pt>
                <c:pt idx="385">
                  <c:v>-46.427100000000003</c:v>
                </c:pt>
                <c:pt idx="386">
                  <c:v>-46.427100000000003</c:v>
                </c:pt>
                <c:pt idx="387">
                  <c:v>-46.427100000000003</c:v>
                </c:pt>
                <c:pt idx="388">
                  <c:v>-46.063899999999997</c:v>
                </c:pt>
                <c:pt idx="389">
                  <c:v>-47.698300000000003</c:v>
                </c:pt>
                <c:pt idx="390">
                  <c:v>-47.552999999999997</c:v>
                </c:pt>
                <c:pt idx="391">
                  <c:v>-45.882300000000001</c:v>
                </c:pt>
                <c:pt idx="392">
                  <c:v>-44.901600000000002</c:v>
                </c:pt>
                <c:pt idx="393">
                  <c:v>-44.901600000000002</c:v>
                </c:pt>
                <c:pt idx="394">
                  <c:v>-44.901600000000002</c:v>
                </c:pt>
                <c:pt idx="395">
                  <c:v>-47.153500000000001</c:v>
                </c:pt>
                <c:pt idx="396">
                  <c:v>-46.862900000000003</c:v>
                </c:pt>
                <c:pt idx="397">
                  <c:v>-46.027500000000003</c:v>
                </c:pt>
                <c:pt idx="398">
                  <c:v>-44.756300000000003</c:v>
                </c:pt>
                <c:pt idx="399">
                  <c:v>-45.083199999999998</c:v>
                </c:pt>
                <c:pt idx="400">
                  <c:v>-45.083199999999998</c:v>
                </c:pt>
                <c:pt idx="401">
                  <c:v>-45.083199999999998</c:v>
                </c:pt>
                <c:pt idx="402">
                  <c:v>-43.920900000000003</c:v>
                </c:pt>
                <c:pt idx="403">
                  <c:v>-45.046900000000001</c:v>
                </c:pt>
                <c:pt idx="404">
                  <c:v>-42.795000000000002</c:v>
                </c:pt>
                <c:pt idx="405">
                  <c:v>-43.557699999999997</c:v>
                </c:pt>
                <c:pt idx="406">
                  <c:v>-43.594099999999997</c:v>
                </c:pt>
                <c:pt idx="407">
                  <c:v>-43.594099999999997</c:v>
                </c:pt>
                <c:pt idx="408">
                  <c:v>-43.594099999999997</c:v>
                </c:pt>
                <c:pt idx="409">
                  <c:v>-44.3568</c:v>
                </c:pt>
                <c:pt idx="410">
                  <c:v>-43.376100000000001</c:v>
                </c:pt>
                <c:pt idx="411">
                  <c:v>-45.628</c:v>
                </c:pt>
                <c:pt idx="412">
                  <c:v>-45.700699999999998</c:v>
                </c:pt>
                <c:pt idx="413">
                  <c:v>-46.717599999999997</c:v>
                </c:pt>
                <c:pt idx="414">
                  <c:v>-46.717599999999997</c:v>
                </c:pt>
                <c:pt idx="415">
                  <c:v>-46.717599999999997</c:v>
                </c:pt>
                <c:pt idx="416">
                  <c:v>-49.114800000000002</c:v>
                </c:pt>
                <c:pt idx="417">
                  <c:v>-48.606299999999997</c:v>
                </c:pt>
                <c:pt idx="418">
                  <c:v>-48.57</c:v>
                </c:pt>
                <c:pt idx="419">
                  <c:v>-48.896900000000002</c:v>
                </c:pt>
                <c:pt idx="420">
                  <c:v>-49.913800000000002</c:v>
                </c:pt>
                <c:pt idx="421">
                  <c:v>-49.913800000000002</c:v>
                </c:pt>
                <c:pt idx="422">
                  <c:v>-49.913800000000002</c:v>
                </c:pt>
                <c:pt idx="423">
                  <c:v>-48.642600000000002</c:v>
                </c:pt>
                <c:pt idx="424">
                  <c:v>-48.243099999999998</c:v>
                </c:pt>
                <c:pt idx="425">
                  <c:v>-48.7879</c:v>
                </c:pt>
                <c:pt idx="426">
                  <c:v>-50.4587</c:v>
                </c:pt>
                <c:pt idx="427">
                  <c:v>-48.969499999999996</c:v>
                </c:pt>
                <c:pt idx="428">
                  <c:v>-48.969499999999996</c:v>
                </c:pt>
                <c:pt idx="429">
                  <c:v>-48.969499999999996</c:v>
                </c:pt>
                <c:pt idx="430">
                  <c:v>-51.221400000000003</c:v>
                </c:pt>
                <c:pt idx="431">
                  <c:v>-50.676600000000001</c:v>
                </c:pt>
                <c:pt idx="432">
                  <c:v>-50.603900000000003</c:v>
                </c:pt>
                <c:pt idx="433">
                  <c:v>-51.003500000000003</c:v>
                </c:pt>
                <c:pt idx="434">
                  <c:v>-49.841200000000001</c:v>
                </c:pt>
                <c:pt idx="435">
                  <c:v>-49.841200000000001</c:v>
                </c:pt>
                <c:pt idx="436">
                  <c:v>-49.841200000000001</c:v>
                </c:pt>
                <c:pt idx="437">
                  <c:v>-47.952500000000001</c:v>
                </c:pt>
                <c:pt idx="438">
                  <c:v>-49.950200000000002</c:v>
                </c:pt>
                <c:pt idx="439">
                  <c:v>-51.112400000000001</c:v>
                </c:pt>
                <c:pt idx="440">
                  <c:v>-50.858199999999997</c:v>
                </c:pt>
                <c:pt idx="441">
                  <c:v>-51.221400000000003</c:v>
                </c:pt>
                <c:pt idx="442">
                  <c:v>-51.221400000000003</c:v>
                </c:pt>
                <c:pt idx="443">
                  <c:v>-51.221400000000003</c:v>
                </c:pt>
                <c:pt idx="444">
                  <c:v>-50.131799999999998</c:v>
                </c:pt>
                <c:pt idx="445">
                  <c:v>-51.076099999999997</c:v>
                </c:pt>
                <c:pt idx="446">
                  <c:v>-50.676600000000001</c:v>
                </c:pt>
                <c:pt idx="447">
                  <c:v>-52.056800000000003</c:v>
                </c:pt>
                <c:pt idx="448">
                  <c:v>-53.691200000000002</c:v>
                </c:pt>
                <c:pt idx="449">
                  <c:v>-53.691200000000002</c:v>
                </c:pt>
                <c:pt idx="450">
                  <c:v>-53.691200000000002</c:v>
                </c:pt>
                <c:pt idx="451">
                  <c:v>-54.163400000000003</c:v>
                </c:pt>
                <c:pt idx="452">
                  <c:v>-54.6355</c:v>
                </c:pt>
                <c:pt idx="453">
                  <c:v>-55.216700000000003</c:v>
                </c:pt>
                <c:pt idx="454">
                  <c:v>-57.032699999999998</c:v>
                </c:pt>
                <c:pt idx="455">
                  <c:v>-55.543500000000002</c:v>
                </c:pt>
                <c:pt idx="456">
                  <c:v>-55.543500000000002</c:v>
                </c:pt>
                <c:pt idx="457">
                  <c:v>-55.543500000000002</c:v>
                </c:pt>
                <c:pt idx="458">
                  <c:v>-54.1997</c:v>
                </c:pt>
                <c:pt idx="459">
                  <c:v>-51.766199999999998</c:v>
                </c:pt>
                <c:pt idx="460">
                  <c:v>-53.291699999999999</c:v>
                </c:pt>
                <c:pt idx="461">
                  <c:v>-53.182699999999997</c:v>
                </c:pt>
                <c:pt idx="462">
                  <c:v>-53.691200000000002</c:v>
                </c:pt>
                <c:pt idx="463">
                  <c:v>-53.691200000000002</c:v>
                </c:pt>
                <c:pt idx="464">
                  <c:v>-53.691200000000002</c:v>
                </c:pt>
                <c:pt idx="465">
                  <c:v>-54.889800000000001</c:v>
                </c:pt>
                <c:pt idx="466">
                  <c:v>-55.688800000000001</c:v>
                </c:pt>
                <c:pt idx="467">
                  <c:v>-55.398299999999999</c:v>
                </c:pt>
                <c:pt idx="468">
                  <c:v>-55.143999999999998</c:v>
                </c:pt>
                <c:pt idx="469">
                  <c:v>-55.143999999999998</c:v>
                </c:pt>
                <c:pt idx="470">
                  <c:v>-55.143999999999998</c:v>
                </c:pt>
                <c:pt idx="471">
                  <c:v>-55.143999999999998</c:v>
                </c:pt>
                <c:pt idx="472">
                  <c:v>-54.090699999999998</c:v>
                </c:pt>
                <c:pt idx="473">
                  <c:v>-53.291699999999999</c:v>
                </c:pt>
                <c:pt idx="474">
                  <c:v>-53.328000000000003</c:v>
                </c:pt>
                <c:pt idx="475">
                  <c:v>-54.599200000000003</c:v>
                </c:pt>
                <c:pt idx="476">
                  <c:v>-55.325600000000001</c:v>
                </c:pt>
                <c:pt idx="477">
                  <c:v>-55.325600000000001</c:v>
                </c:pt>
                <c:pt idx="478">
                  <c:v>-55.325600000000001</c:v>
                </c:pt>
                <c:pt idx="479">
                  <c:v>-54.998699999999999</c:v>
                </c:pt>
                <c:pt idx="480">
                  <c:v>-53.073700000000002</c:v>
                </c:pt>
                <c:pt idx="481">
                  <c:v>-51.838799999999999</c:v>
                </c:pt>
                <c:pt idx="482">
                  <c:v>-50.494999999999997</c:v>
                </c:pt>
                <c:pt idx="483">
                  <c:v>-53.945399999999999</c:v>
                </c:pt>
                <c:pt idx="484">
                  <c:v>-53.945399999999999</c:v>
                </c:pt>
                <c:pt idx="485">
                  <c:v>-53.945399999999999</c:v>
                </c:pt>
                <c:pt idx="486">
                  <c:v>-54.127000000000002</c:v>
                </c:pt>
                <c:pt idx="487">
                  <c:v>-52.456299999999999</c:v>
                </c:pt>
                <c:pt idx="488">
                  <c:v>-52.42</c:v>
                </c:pt>
                <c:pt idx="489">
                  <c:v>-52.710500000000003</c:v>
                </c:pt>
                <c:pt idx="490">
                  <c:v>-49.841200000000001</c:v>
                </c:pt>
                <c:pt idx="491">
                  <c:v>-49.841200000000001</c:v>
                </c:pt>
                <c:pt idx="492">
                  <c:v>-49.841200000000001</c:v>
                </c:pt>
                <c:pt idx="493">
                  <c:v>-49.1511</c:v>
                </c:pt>
                <c:pt idx="494">
                  <c:v>-48.025199999999998</c:v>
                </c:pt>
                <c:pt idx="495">
                  <c:v>-47.5167</c:v>
                </c:pt>
                <c:pt idx="496">
                  <c:v>-46.354399999999998</c:v>
                </c:pt>
                <c:pt idx="497">
                  <c:v>-44.429400000000001</c:v>
                </c:pt>
                <c:pt idx="498">
                  <c:v>-44.429400000000001</c:v>
                </c:pt>
                <c:pt idx="499">
                  <c:v>-44.429400000000001</c:v>
                </c:pt>
                <c:pt idx="500">
                  <c:v>-44.502099999999999</c:v>
                </c:pt>
                <c:pt idx="501">
                  <c:v>-44.901600000000002</c:v>
                </c:pt>
                <c:pt idx="502">
                  <c:v>-46.390700000000002</c:v>
                </c:pt>
                <c:pt idx="503">
                  <c:v>-46.2455</c:v>
                </c:pt>
                <c:pt idx="504">
                  <c:v>-45.8459</c:v>
                </c:pt>
                <c:pt idx="505">
                  <c:v>-45.8459</c:v>
                </c:pt>
                <c:pt idx="506">
                  <c:v>-45.8459</c:v>
                </c:pt>
                <c:pt idx="507">
                  <c:v>-46.209099999999999</c:v>
                </c:pt>
                <c:pt idx="508">
                  <c:v>-45.954900000000002</c:v>
                </c:pt>
                <c:pt idx="509">
                  <c:v>-45.555399999999999</c:v>
                </c:pt>
                <c:pt idx="510">
                  <c:v>-45.083199999999998</c:v>
                </c:pt>
                <c:pt idx="511">
                  <c:v>-44.284100000000002</c:v>
                </c:pt>
                <c:pt idx="512">
                  <c:v>-44.284100000000002</c:v>
                </c:pt>
                <c:pt idx="513">
                  <c:v>-44.284100000000002</c:v>
                </c:pt>
                <c:pt idx="514">
                  <c:v>-45.8459</c:v>
                </c:pt>
                <c:pt idx="515">
                  <c:v>-45.337400000000002</c:v>
                </c:pt>
                <c:pt idx="516">
                  <c:v>-44.756300000000003</c:v>
                </c:pt>
                <c:pt idx="517">
                  <c:v>-44.5747</c:v>
                </c:pt>
                <c:pt idx="518">
                  <c:v>-44.1389</c:v>
                </c:pt>
                <c:pt idx="519">
                  <c:v>-44.1389</c:v>
                </c:pt>
                <c:pt idx="520">
                  <c:v>-44.1389</c:v>
                </c:pt>
                <c:pt idx="521">
                  <c:v>-45.519100000000002</c:v>
                </c:pt>
                <c:pt idx="522">
                  <c:v>-45.991199999999999</c:v>
                </c:pt>
                <c:pt idx="523">
                  <c:v>-47.2624</c:v>
                </c:pt>
                <c:pt idx="524">
                  <c:v>-46.971899999999998</c:v>
                </c:pt>
                <c:pt idx="525">
                  <c:v>-45.628</c:v>
                </c:pt>
                <c:pt idx="526">
                  <c:v>-45.628</c:v>
                </c:pt>
                <c:pt idx="527">
                  <c:v>-45.628</c:v>
                </c:pt>
                <c:pt idx="528">
                  <c:v>-46.645000000000003</c:v>
                </c:pt>
                <c:pt idx="529">
                  <c:v>-45.954900000000002</c:v>
                </c:pt>
                <c:pt idx="530">
                  <c:v>-46.4634</c:v>
                </c:pt>
                <c:pt idx="531">
                  <c:v>-47.843600000000002</c:v>
                </c:pt>
                <c:pt idx="532">
                  <c:v>-48.025199999999998</c:v>
                </c:pt>
                <c:pt idx="533">
                  <c:v>-48.025199999999998</c:v>
                </c:pt>
                <c:pt idx="534">
                  <c:v>-48.025199999999998</c:v>
                </c:pt>
                <c:pt idx="535">
                  <c:v>-47.552999999999997</c:v>
                </c:pt>
                <c:pt idx="536">
                  <c:v>-47.988900000000001</c:v>
                </c:pt>
                <c:pt idx="537">
                  <c:v>-47.807200000000002</c:v>
                </c:pt>
                <c:pt idx="538">
                  <c:v>-49.296399999999998</c:v>
                </c:pt>
                <c:pt idx="539">
                  <c:v>-48.388399999999997</c:v>
                </c:pt>
                <c:pt idx="540">
                  <c:v>-48.388399999999997</c:v>
                </c:pt>
                <c:pt idx="541">
                  <c:v>-48.388399999999997</c:v>
                </c:pt>
                <c:pt idx="542">
                  <c:v>-48.388399999999997</c:v>
                </c:pt>
                <c:pt idx="543">
                  <c:v>-48.170499999999997</c:v>
                </c:pt>
                <c:pt idx="544">
                  <c:v>-49.078499999999998</c:v>
                </c:pt>
                <c:pt idx="545">
                  <c:v>-48.497300000000003</c:v>
                </c:pt>
                <c:pt idx="546">
                  <c:v>-48.678899999999999</c:v>
                </c:pt>
                <c:pt idx="547">
                  <c:v>-48.678899999999999</c:v>
                </c:pt>
                <c:pt idx="548">
                  <c:v>-48.678899999999999</c:v>
                </c:pt>
                <c:pt idx="549">
                  <c:v>-47.552999999999997</c:v>
                </c:pt>
                <c:pt idx="550">
                  <c:v>-47.480400000000003</c:v>
                </c:pt>
                <c:pt idx="551">
                  <c:v>-46.862900000000003</c:v>
                </c:pt>
                <c:pt idx="552">
                  <c:v>-45.954900000000002</c:v>
                </c:pt>
                <c:pt idx="553">
                  <c:v>-44.865299999999998</c:v>
                </c:pt>
                <c:pt idx="554">
                  <c:v>-44.865299999999998</c:v>
                </c:pt>
                <c:pt idx="555">
                  <c:v>-44.865299999999998</c:v>
                </c:pt>
                <c:pt idx="556">
                  <c:v>-45.301099999999998</c:v>
                </c:pt>
                <c:pt idx="557">
                  <c:v>-45.773299999999999</c:v>
                </c:pt>
                <c:pt idx="558">
                  <c:v>-44.756300000000003</c:v>
                </c:pt>
                <c:pt idx="559">
                  <c:v>-42.758699999999997</c:v>
                </c:pt>
                <c:pt idx="560">
                  <c:v>-43.012900000000002</c:v>
                </c:pt>
                <c:pt idx="561">
                  <c:v>-43.012900000000002</c:v>
                </c:pt>
                <c:pt idx="562">
                  <c:v>-43.012900000000002</c:v>
                </c:pt>
                <c:pt idx="563">
                  <c:v>-42.976599999999998</c:v>
                </c:pt>
                <c:pt idx="564">
                  <c:v>-42.395499999999998</c:v>
                </c:pt>
                <c:pt idx="565">
                  <c:v>-40.216200000000001</c:v>
                </c:pt>
                <c:pt idx="566">
                  <c:v>-41.6691</c:v>
                </c:pt>
                <c:pt idx="567">
                  <c:v>-41.196899999999999</c:v>
                </c:pt>
                <c:pt idx="568">
                  <c:v>-41.196899999999999</c:v>
                </c:pt>
                <c:pt idx="569">
                  <c:v>-41.196899999999999</c:v>
                </c:pt>
                <c:pt idx="570">
                  <c:v>-40.761000000000003</c:v>
                </c:pt>
                <c:pt idx="571">
                  <c:v>-41.523800000000001</c:v>
                </c:pt>
                <c:pt idx="572">
                  <c:v>-41.741700000000002</c:v>
                </c:pt>
                <c:pt idx="573">
                  <c:v>-41.923299999999998</c:v>
                </c:pt>
                <c:pt idx="574">
                  <c:v>-41.087899999999998</c:v>
                </c:pt>
                <c:pt idx="575">
                  <c:v>-41.087899999999998</c:v>
                </c:pt>
                <c:pt idx="576">
                  <c:v>-41.087899999999998</c:v>
                </c:pt>
                <c:pt idx="577">
                  <c:v>-41.923299999999998</c:v>
                </c:pt>
                <c:pt idx="578">
                  <c:v>-42.4681</c:v>
                </c:pt>
                <c:pt idx="579">
                  <c:v>-41.887</c:v>
                </c:pt>
                <c:pt idx="580">
                  <c:v>-41.015300000000003</c:v>
                </c:pt>
                <c:pt idx="581">
                  <c:v>-40.978999999999999</c:v>
                </c:pt>
                <c:pt idx="582">
                  <c:v>-40.978999999999999</c:v>
                </c:pt>
                <c:pt idx="583">
                  <c:v>-40.978999999999999</c:v>
                </c:pt>
                <c:pt idx="584">
                  <c:v>-41.160600000000002</c:v>
                </c:pt>
                <c:pt idx="585">
                  <c:v>-40.325200000000002</c:v>
                </c:pt>
                <c:pt idx="586">
                  <c:v>-42.032299999999999</c:v>
                </c:pt>
                <c:pt idx="587">
                  <c:v>-40.688400000000001</c:v>
                </c:pt>
                <c:pt idx="588">
                  <c:v>-41.596400000000003</c:v>
                </c:pt>
                <c:pt idx="589">
                  <c:v>-41.596400000000003</c:v>
                </c:pt>
                <c:pt idx="590">
                  <c:v>-41.596400000000003</c:v>
                </c:pt>
                <c:pt idx="591">
                  <c:v>-41.887</c:v>
                </c:pt>
                <c:pt idx="592">
                  <c:v>-42.177599999999998</c:v>
                </c:pt>
                <c:pt idx="593">
                  <c:v>-42.322800000000001</c:v>
                </c:pt>
                <c:pt idx="594">
                  <c:v>-42.359200000000001</c:v>
                </c:pt>
                <c:pt idx="595">
                  <c:v>-42.322800000000001</c:v>
                </c:pt>
                <c:pt idx="596">
                  <c:v>-42.322800000000001</c:v>
                </c:pt>
                <c:pt idx="597">
                  <c:v>-42.322800000000001</c:v>
                </c:pt>
                <c:pt idx="598">
                  <c:v>-42.4681</c:v>
                </c:pt>
                <c:pt idx="599">
                  <c:v>-43.703000000000003</c:v>
                </c:pt>
                <c:pt idx="600">
                  <c:v>-44.429400000000001</c:v>
                </c:pt>
                <c:pt idx="601">
                  <c:v>-43.775700000000001</c:v>
                </c:pt>
                <c:pt idx="602">
                  <c:v>-44.247799999999998</c:v>
                </c:pt>
                <c:pt idx="603">
                  <c:v>-44.247799999999998</c:v>
                </c:pt>
                <c:pt idx="604">
                  <c:v>-44.247799999999998</c:v>
                </c:pt>
                <c:pt idx="605">
                  <c:v>-43.666699999999999</c:v>
                </c:pt>
                <c:pt idx="606">
                  <c:v>-43.811999999999998</c:v>
                </c:pt>
                <c:pt idx="607">
                  <c:v>-43.703000000000003</c:v>
                </c:pt>
                <c:pt idx="608">
                  <c:v>-42.940300000000001</c:v>
                </c:pt>
                <c:pt idx="609">
                  <c:v>-41.451099999999997</c:v>
                </c:pt>
                <c:pt idx="610">
                  <c:v>-41.451099999999997</c:v>
                </c:pt>
                <c:pt idx="611">
                  <c:v>-41.451099999999997</c:v>
                </c:pt>
                <c:pt idx="612">
                  <c:v>-38.327599999999997</c:v>
                </c:pt>
                <c:pt idx="613">
                  <c:v>-34.695500000000003</c:v>
                </c:pt>
                <c:pt idx="614">
                  <c:v>-34.622900000000001</c:v>
                </c:pt>
                <c:pt idx="615">
                  <c:v>-33.823799999999999</c:v>
                </c:pt>
                <c:pt idx="616">
                  <c:v>-34.7318</c:v>
                </c:pt>
                <c:pt idx="617">
                  <c:v>-34.7318</c:v>
                </c:pt>
                <c:pt idx="618">
                  <c:v>-34.7318</c:v>
                </c:pt>
                <c:pt idx="619">
                  <c:v>-38.000700000000002</c:v>
                </c:pt>
                <c:pt idx="620">
                  <c:v>-36.293599999999998</c:v>
                </c:pt>
                <c:pt idx="621">
                  <c:v>-39.707700000000003</c:v>
                </c:pt>
                <c:pt idx="622">
                  <c:v>-37.8917</c:v>
                </c:pt>
                <c:pt idx="623">
                  <c:v>-38.908700000000003</c:v>
                </c:pt>
                <c:pt idx="624">
                  <c:v>-38.908700000000003</c:v>
                </c:pt>
                <c:pt idx="625">
                  <c:v>-38.908700000000003</c:v>
                </c:pt>
                <c:pt idx="626">
                  <c:v>-38.218600000000002</c:v>
                </c:pt>
                <c:pt idx="627">
                  <c:v>-36.6205</c:v>
                </c:pt>
                <c:pt idx="628">
                  <c:v>-35.894100000000002</c:v>
                </c:pt>
                <c:pt idx="629">
                  <c:v>-36.765799999999999</c:v>
                </c:pt>
                <c:pt idx="630">
                  <c:v>-38.291200000000003</c:v>
                </c:pt>
                <c:pt idx="631">
                  <c:v>-38.291200000000003</c:v>
                </c:pt>
                <c:pt idx="632">
                  <c:v>-38.291200000000003</c:v>
                </c:pt>
                <c:pt idx="633">
                  <c:v>-36.511499999999998</c:v>
                </c:pt>
                <c:pt idx="634">
                  <c:v>-36.039400000000001</c:v>
                </c:pt>
                <c:pt idx="635">
                  <c:v>-36.003</c:v>
                </c:pt>
                <c:pt idx="636">
                  <c:v>-34.622900000000001</c:v>
                </c:pt>
                <c:pt idx="637">
                  <c:v>-34.5139</c:v>
                </c:pt>
                <c:pt idx="638">
                  <c:v>-34.5139</c:v>
                </c:pt>
                <c:pt idx="639">
                  <c:v>-34.5139</c:v>
                </c:pt>
                <c:pt idx="640">
                  <c:v>-34.223300000000002</c:v>
                </c:pt>
                <c:pt idx="641">
                  <c:v>-32.6252</c:v>
                </c:pt>
                <c:pt idx="642">
                  <c:v>-34.7318</c:v>
                </c:pt>
                <c:pt idx="643">
                  <c:v>-36.547899999999998</c:v>
                </c:pt>
                <c:pt idx="644">
                  <c:v>-36.547899999999998</c:v>
                </c:pt>
                <c:pt idx="645">
                  <c:v>-36.547899999999998</c:v>
                </c:pt>
                <c:pt idx="646">
                  <c:v>-36.547899999999998</c:v>
                </c:pt>
                <c:pt idx="647">
                  <c:v>-36.547899999999998</c:v>
                </c:pt>
                <c:pt idx="648">
                  <c:v>-35.712499999999999</c:v>
                </c:pt>
                <c:pt idx="649">
                  <c:v>-31.063400000000001</c:v>
                </c:pt>
                <c:pt idx="650">
                  <c:v>-30.482299999999999</c:v>
                </c:pt>
                <c:pt idx="651">
                  <c:v>-29.538</c:v>
                </c:pt>
                <c:pt idx="652">
                  <c:v>-29.538</c:v>
                </c:pt>
                <c:pt idx="653">
                  <c:v>-29.538</c:v>
                </c:pt>
                <c:pt idx="654">
                  <c:v>-24.8889</c:v>
                </c:pt>
                <c:pt idx="655">
                  <c:v>-24.453099999999999</c:v>
                </c:pt>
                <c:pt idx="656">
                  <c:v>-25.833300000000001</c:v>
                </c:pt>
                <c:pt idx="657">
                  <c:v>-24.670999999999999</c:v>
                </c:pt>
                <c:pt idx="658">
                  <c:v>-27.140799999999999</c:v>
                </c:pt>
                <c:pt idx="659">
                  <c:v>-27.140799999999999</c:v>
                </c:pt>
                <c:pt idx="660">
                  <c:v>-27.140799999999999</c:v>
                </c:pt>
                <c:pt idx="661">
                  <c:v>-26.414400000000001</c:v>
                </c:pt>
                <c:pt idx="662">
                  <c:v>-25.833300000000001</c:v>
                </c:pt>
                <c:pt idx="663">
                  <c:v>-25.252099999999999</c:v>
                </c:pt>
                <c:pt idx="664">
                  <c:v>-25.3248</c:v>
                </c:pt>
                <c:pt idx="665">
                  <c:v>-24.017199999999999</c:v>
                </c:pt>
                <c:pt idx="666">
                  <c:v>-24.017199999999999</c:v>
                </c:pt>
                <c:pt idx="667">
                  <c:v>-24.017199999999999</c:v>
                </c:pt>
                <c:pt idx="668">
                  <c:v>-24.017199999999999</c:v>
                </c:pt>
                <c:pt idx="669">
                  <c:v>-26.922899999999998</c:v>
                </c:pt>
                <c:pt idx="670">
                  <c:v>-26.7776</c:v>
                </c:pt>
                <c:pt idx="671">
                  <c:v>-26.922899999999998</c:v>
                </c:pt>
                <c:pt idx="672">
                  <c:v>-25.1069</c:v>
                </c:pt>
                <c:pt idx="673">
                  <c:v>-25.1069</c:v>
                </c:pt>
                <c:pt idx="674">
                  <c:v>-25.1069</c:v>
                </c:pt>
                <c:pt idx="675">
                  <c:v>-25.1069</c:v>
                </c:pt>
                <c:pt idx="676">
                  <c:v>-25.034199999999998</c:v>
                </c:pt>
                <c:pt idx="677">
                  <c:v>-24.816299999999998</c:v>
                </c:pt>
                <c:pt idx="678">
                  <c:v>-24.453099999999999</c:v>
                </c:pt>
                <c:pt idx="679">
                  <c:v>-24.235199999999999</c:v>
                </c:pt>
                <c:pt idx="680">
                  <c:v>-24.235199999999999</c:v>
                </c:pt>
                <c:pt idx="681">
                  <c:v>-24.235199999999999</c:v>
                </c:pt>
                <c:pt idx="682">
                  <c:v>-23.363499999999998</c:v>
                </c:pt>
                <c:pt idx="683">
                  <c:v>-25.833300000000001</c:v>
                </c:pt>
                <c:pt idx="684">
                  <c:v>-26.704999999999998</c:v>
                </c:pt>
                <c:pt idx="685">
                  <c:v>-25.833300000000001</c:v>
                </c:pt>
                <c:pt idx="686">
                  <c:v>-25.1069</c:v>
                </c:pt>
                <c:pt idx="687">
                  <c:v>-25.1069</c:v>
                </c:pt>
                <c:pt idx="688">
                  <c:v>-25.1069</c:v>
                </c:pt>
                <c:pt idx="689">
                  <c:v>-25.905899999999999</c:v>
                </c:pt>
                <c:pt idx="690">
                  <c:v>-26.269100000000002</c:v>
                </c:pt>
                <c:pt idx="691">
                  <c:v>-28.847899999999999</c:v>
                </c:pt>
                <c:pt idx="692">
                  <c:v>-29.32</c:v>
                </c:pt>
                <c:pt idx="693">
                  <c:v>-28.557300000000001</c:v>
                </c:pt>
                <c:pt idx="694">
                  <c:v>-28.557300000000001</c:v>
                </c:pt>
                <c:pt idx="695">
                  <c:v>-28.557300000000001</c:v>
                </c:pt>
                <c:pt idx="696">
                  <c:v>-29.174800000000001</c:v>
                </c:pt>
                <c:pt idx="697">
                  <c:v>-29.7196</c:v>
                </c:pt>
                <c:pt idx="698">
                  <c:v>-31.753499999999999</c:v>
                </c:pt>
                <c:pt idx="699">
                  <c:v>-31.499300000000002</c:v>
                </c:pt>
                <c:pt idx="700">
                  <c:v>-28.811599999999999</c:v>
                </c:pt>
                <c:pt idx="701">
                  <c:v>-28.811599999999999</c:v>
                </c:pt>
                <c:pt idx="702">
                  <c:v>-28.811599999999999</c:v>
                </c:pt>
                <c:pt idx="703">
                  <c:v>-28.434899999999999</c:v>
                </c:pt>
                <c:pt idx="704">
                  <c:v>-29.715499999999999</c:v>
                </c:pt>
                <c:pt idx="705">
                  <c:v>-29.602499999999999</c:v>
                </c:pt>
                <c:pt idx="706">
                  <c:v>-29.301200000000001</c:v>
                </c:pt>
                <c:pt idx="707">
                  <c:v>-29.263500000000001</c:v>
                </c:pt>
                <c:pt idx="708">
                  <c:v>-29.263500000000001</c:v>
                </c:pt>
                <c:pt idx="709">
                  <c:v>-29.263500000000001</c:v>
                </c:pt>
                <c:pt idx="710">
                  <c:v>-28.510200000000001</c:v>
                </c:pt>
                <c:pt idx="711">
                  <c:v>-27.417899999999999</c:v>
                </c:pt>
                <c:pt idx="712">
                  <c:v>-26.062000000000001</c:v>
                </c:pt>
                <c:pt idx="713">
                  <c:v>-26.7776</c:v>
                </c:pt>
                <c:pt idx="714">
                  <c:v>-25.8736</c:v>
                </c:pt>
                <c:pt idx="715">
                  <c:v>-25.8736</c:v>
                </c:pt>
                <c:pt idx="716">
                  <c:v>-25.8736</c:v>
                </c:pt>
                <c:pt idx="717">
                  <c:v>-26.551600000000001</c:v>
                </c:pt>
                <c:pt idx="718">
                  <c:v>-28.0959</c:v>
                </c:pt>
                <c:pt idx="719">
                  <c:v>-28.246600000000001</c:v>
                </c:pt>
                <c:pt idx="720">
                  <c:v>-29.150600000000001</c:v>
                </c:pt>
                <c:pt idx="721">
                  <c:v>-28.9999</c:v>
                </c:pt>
                <c:pt idx="722">
                  <c:v>-28.9999</c:v>
                </c:pt>
                <c:pt idx="723">
                  <c:v>-28.9999</c:v>
                </c:pt>
                <c:pt idx="724">
                  <c:v>-28.8492</c:v>
                </c:pt>
                <c:pt idx="725">
                  <c:v>-28.2089</c:v>
                </c:pt>
                <c:pt idx="726">
                  <c:v>-27.3049</c:v>
                </c:pt>
                <c:pt idx="727">
                  <c:v>-26.7776</c:v>
                </c:pt>
                <c:pt idx="728">
                  <c:v>-26.174900000000001</c:v>
                </c:pt>
                <c:pt idx="729">
                  <c:v>-26.174900000000001</c:v>
                </c:pt>
                <c:pt idx="730">
                  <c:v>-26.174900000000001</c:v>
                </c:pt>
                <c:pt idx="731">
                  <c:v>-27.719200000000001</c:v>
                </c:pt>
                <c:pt idx="732">
                  <c:v>-29.188199999999998</c:v>
                </c:pt>
                <c:pt idx="733">
                  <c:v>-29.188199999999998</c:v>
                </c:pt>
                <c:pt idx="734">
                  <c:v>-31.4482</c:v>
                </c:pt>
                <c:pt idx="735">
                  <c:v>-30.845500000000001</c:v>
                </c:pt>
                <c:pt idx="736">
                  <c:v>-30.845500000000001</c:v>
                </c:pt>
                <c:pt idx="737">
                  <c:v>-30.845500000000001</c:v>
                </c:pt>
                <c:pt idx="738">
                  <c:v>-29.866199999999999</c:v>
                </c:pt>
                <c:pt idx="739">
                  <c:v>-28.397200000000002</c:v>
                </c:pt>
                <c:pt idx="740">
                  <c:v>-26.7776</c:v>
                </c:pt>
                <c:pt idx="741">
                  <c:v>-26.1373</c:v>
                </c:pt>
                <c:pt idx="742">
                  <c:v>-27.154299999999999</c:v>
                </c:pt>
                <c:pt idx="743">
                  <c:v>-27.154299999999999</c:v>
                </c:pt>
                <c:pt idx="744">
                  <c:v>-27.154299999999999</c:v>
                </c:pt>
                <c:pt idx="745">
                  <c:v>-26.965900000000001</c:v>
                </c:pt>
                <c:pt idx="746">
                  <c:v>-27.417899999999999</c:v>
                </c:pt>
                <c:pt idx="747">
                  <c:v>-28.246600000000001</c:v>
                </c:pt>
                <c:pt idx="748">
                  <c:v>-28.020600000000002</c:v>
                </c:pt>
                <c:pt idx="749">
                  <c:v>-28.510200000000001</c:v>
                </c:pt>
                <c:pt idx="750">
                  <c:v>-28.510200000000001</c:v>
                </c:pt>
                <c:pt idx="751">
                  <c:v>-28.510200000000001</c:v>
                </c:pt>
                <c:pt idx="752">
                  <c:v>-26.852900000000002</c:v>
                </c:pt>
                <c:pt idx="753">
                  <c:v>-26.890599999999999</c:v>
                </c:pt>
                <c:pt idx="754">
                  <c:v>-25.8736</c:v>
                </c:pt>
                <c:pt idx="755">
                  <c:v>-25.459299999999999</c:v>
                </c:pt>
                <c:pt idx="756">
                  <c:v>-25.421600000000002</c:v>
                </c:pt>
                <c:pt idx="757">
                  <c:v>-25.421600000000002</c:v>
                </c:pt>
                <c:pt idx="758">
                  <c:v>-25.421600000000002</c:v>
                </c:pt>
                <c:pt idx="759">
                  <c:v>-25.158000000000001</c:v>
                </c:pt>
                <c:pt idx="760">
                  <c:v>-23.764299999999999</c:v>
                </c:pt>
                <c:pt idx="761">
                  <c:v>-23.764299999999999</c:v>
                </c:pt>
                <c:pt idx="762">
                  <c:v>-25.308599999999998</c:v>
                </c:pt>
                <c:pt idx="763">
                  <c:v>-24.894300000000001</c:v>
                </c:pt>
                <c:pt idx="764">
                  <c:v>-24.894300000000001</c:v>
                </c:pt>
                <c:pt idx="765">
                  <c:v>-24.894300000000001</c:v>
                </c:pt>
                <c:pt idx="766">
                  <c:v>-25.195599999999999</c:v>
                </c:pt>
                <c:pt idx="767">
                  <c:v>-26.965900000000001</c:v>
                </c:pt>
                <c:pt idx="768">
                  <c:v>-25.2333</c:v>
                </c:pt>
                <c:pt idx="769">
                  <c:v>-23.990300000000001</c:v>
                </c:pt>
                <c:pt idx="770">
                  <c:v>-24.0657</c:v>
                </c:pt>
                <c:pt idx="771">
                  <c:v>-24.0657</c:v>
                </c:pt>
                <c:pt idx="772">
                  <c:v>-24.0657</c:v>
                </c:pt>
                <c:pt idx="773">
                  <c:v>-23.5383</c:v>
                </c:pt>
                <c:pt idx="774">
                  <c:v>-25.949000000000002</c:v>
                </c:pt>
                <c:pt idx="775">
                  <c:v>-24.291699999999999</c:v>
                </c:pt>
                <c:pt idx="776">
                  <c:v>-26.325600000000001</c:v>
                </c:pt>
                <c:pt idx="777">
                  <c:v>-28.0959</c:v>
                </c:pt>
                <c:pt idx="778">
                  <c:v>-28.0959</c:v>
                </c:pt>
                <c:pt idx="779">
                  <c:v>-28.0959</c:v>
                </c:pt>
                <c:pt idx="780">
                  <c:v>-27.869900000000001</c:v>
                </c:pt>
                <c:pt idx="781">
                  <c:v>-27.794599999999999</c:v>
                </c:pt>
                <c:pt idx="782">
                  <c:v>-28.058199999999999</c:v>
                </c:pt>
                <c:pt idx="783">
                  <c:v>-29.3765</c:v>
                </c:pt>
                <c:pt idx="784">
                  <c:v>-29.564900000000002</c:v>
                </c:pt>
                <c:pt idx="785">
                  <c:v>-29.564900000000002</c:v>
                </c:pt>
                <c:pt idx="786">
                  <c:v>-29.564900000000002</c:v>
                </c:pt>
                <c:pt idx="787">
                  <c:v>-28.623200000000001</c:v>
                </c:pt>
                <c:pt idx="788">
                  <c:v>-28.0959</c:v>
                </c:pt>
                <c:pt idx="789">
                  <c:v>-28.284199999999998</c:v>
                </c:pt>
                <c:pt idx="790">
                  <c:v>-28.4726</c:v>
                </c:pt>
                <c:pt idx="791">
                  <c:v>-27.756900000000002</c:v>
                </c:pt>
                <c:pt idx="792">
                  <c:v>-27.756900000000002</c:v>
                </c:pt>
                <c:pt idx="793">
                  <c:v>-27.756900000000002</c:v>
                </c:pt>
                <c:pt idx="794">
                  <c:v>-27.380299999999998</c:v>
                </c:pt>
                <c:pt idx="795">
                  <c:v>-28.284199999999998</c:v>
                </c:pt>
                <c:pt idx="796">
                  <c:v>-28.397200000000002</c:v>
                </c:pt>
                <c:pt idx="797">
                  <c:v>-29.037600000000001</c:v>
                </c:pt>
                <c:pt idx="798">
                  <c:v>-29.225899999999999</c:v>
                </c:pt>
                <c:pt idx="799">
                  <c:v>-29.225899999999999</c:v>
                </c:pt>
                <c:pt idx="800">
                  <c:v>-29.225899999999999</c:v>
                </c:pt>
                <c:pt idx="801">
                  <c:v>-28.698599999999999</c:v>
                </c:pt>
                <c:pt idx="802">
                  <c:v>-29.188199999999998</c:v>
                </c:pt>
                <c:pt idx="803">
                  <c:v>-30.129899999999999</c:v>
                </c:pt>
                <c:pt idx="804">
                  <c:v>-29.3765</c:v>
                </c:pt>
                <c:pt idx="805">
                  <c:v>-29.188199999999998</c:v>
                </c:pt>
                <c:pt idx="806">
                  <c:v>-29.188199999999998</c:v>
                </c:pt>
                <c:pt idx="807">
                  <c:v>-29.188199999999998</c:v>
                </c:pt>
                <c:pt idx="808">
                  <c:v>-29.9039</c:v>
                </c:pt>
                <c:pt idx="809">
                  <c:v>-29.3765</c:v>
                </c:pt>
                <c:pt idx="810">
                  <c:v>-28.321899999999999</c:v>
                </c:pt>
                <c:pt idx="811">
                  <c:v>-29.1129</c:v>
                </c:pt>
                <c:pt idx="812">
                  <c:v>-28.2089</c:v>
                </c:pt>
                <c:pt idx="813">
                  <c:v>-28.2089</c:v>
                </c:pt>
                <c:pt idx="814">
                  <c:v>-28.2089</c:v>
                </c:pt>
                <c:pt idx="815">
                  <c:v>-27.530899999999999</c:v>
                </c:pt>
                <c:pt idx="816">
                  <c:v>-28.284199999999998</c:v>
                </c:pt>
                <c:pt idx="817">
                  <c:v>-27.1919</c:v>
                </c:pt>
                <c:pt idx="818">
                  <c:v>-26.174900000000001</c:v>
                </c:pt>
                <c:pt idx="819">
                  <c:v>-24.931999999999999</c:v>
                </c:pt>
                <c:pt idx="820">
                  <c:v>-24.931999999999999</c:v>
                </c:pt>
                <c:pt idx="821">
                  <c:v>-24.931999999999999</c:v>
                </c:pt>
                <c:pt idx="822">
                  <c:v>-25.195599999999999</c:v>
                </c:pt>
                <c:pt idx="823">
                  <c:v>-25.497</c:v>
                </c:pt>
                <c:pt idx="824">
                  <c:v>-25.2333</c:v>
                </c:pt>
                <c:pt idx="825">
                  <c:v>-25.949000000000002</c:v>
                </c:pt>
                <c:pt idx="826">
                  <c:v>-25.497</c:v>
                </c:pt>
                <c:pt idx="827">
                  <c:v>-25.497</c:v>
                </c:pt>
                <c:pt idx="828">
                  <c:v>-25.497</c:v>
                </c:pt>
                <c:pt idx="829">
                  <c:v>-29.527200000000001</c:v>
                </c:pt>
                <c:pt idx="830">
                  <c:v>-27.869900000000001</c:v>
                </c:pt>
                <c:pt idx="831">
                  <c:v>-26.9283</c:v>
                </c:pt>
                <c:pt idx="832">
                  <c:v>-26.325600000000001</c:v>
                </c:pt>
                <c:pt idx="833">
                  <c:v>-26.890599999999999</c:v>
                </c:pt>
                <c:pt idx="834">
                  <c:v>-26.890599999999999</c:v>
                </c:pt>
                <c:pt idx="835">
                  <c:v>-26.890599999999999</c:v>
                </c:pt>
                <c:pt idx="836">
                  <c:v>-26.815300000000001</c:v>
                </c:pt>
                <c:pt idx="837">
                  <c:v>-27.5686</c:v>
                </c:pt>
                <c:pt idx="838">
                  <c:v>-27.530899999999999</c:v>
                </c:pt>
                <c:pt idx="839">
                  <c:v>-29.4895</c:v>
                </c:pt>
                <c:pt idx="840">
                  <c:v>-31.3352</c:v>
                </c:pt>
                <c:pt idx="841">
                  <c:v>-31.3352</c:v>
                </c:pt>
                <c:pt idx="842">
                  <c:v>-31.3352</c:v>
                </c:pt>
                <c:pt idx="843">
                  <c:v>-31.787199999999999</c:v>
                </c:pt>
                <c:pt idx="844">
                  <c:v>-32.766500000000001</c:v>
                </c:pt>
                <c:pt idx="845">
                  <c:v>-33.143099999999997</c:v>
                </c:pt>
                <c:pt idx="846">
                  <c:v>-28.962199999999999</c:v>
                </c:pt>
                <c:pt idx="847">
                  <c:v>-28.8492</c:v>
                </c:pt>
                <c:pt idx="848">
                  <c:v>-28.8492</c:v>
                </c:pt>
                <c:pt idx="849">
                  <c:v>-28.8492</c:v>
                </c:pt>
                <c:pt idx="850">
                  <c:v>-29.715499999999999</c:v>
                </c:pt>
                <c:pt idx="851">
                  <c:v>-29.979199999999999</c:v>
                </c:pt>
                <c:pt idx="852">
                  <c:v>-30.506499999999999</c:v>
                </c:pt>
                <c:pt idx="853">
                  <c:v>-29.527200000000001</c:v>
                </c:pt>
                <c:pt idx="854">
                  <c:v>-28.321899999999999</c:v>
                </c:pt>
                <c:pt idx="855">
                  <c:v>-28.321899999999999</c:v>
                </c:pt>
                <c:pt idx="856">
                  <c:v>-28.321899999999999</c:v>
                </c:pt>
                <c:pt idx="857">
                  <c:v>-28.623200000000001</c:v>
                </c:pt>
                <c:pt idx="858">
                  <c:v>-30.0169</c:v>
                </c:pt>
                <c:pt idx="859">
                  <c:v>-28.7362</c:v>
                </c:pt>
                <c:pt idx="860">
                  <c:v>-28.660900000000002</c:v>
                </c:pt>
                <c:pt idx="861">
                  <c:v>-29.6402</c:v>
                </c:pt>
                <c:pt idx="862">
                  <c:v>-29.6402</c:v>
                </c:pt>
                <c:pt idx="863">
                  <c:v>-29.6402</c:v>
                </c:pt>
                <c:pt idx="864">
                  <c:v>-29.7532</c:v>
                </c:pt>
                <c:pt idx="865">
                  <c:v>-28.547899999999998</c:v>
                </c:pt>
                <c:pt idx="866">
                  <c:v>-27.380299999999998</c:v>
                </c:pt>
                <c:pt idx="867">
                  <c:v>-29.037600000000001</c:v>
                </c:pt>
                <c:pt idx="868">
                  <c:v>-28.3596</c:v>
                </c:pt>
                <c:pt idx="869">
                  <c:v>-28.3596</c:v>
                </c:pt>
                <c:pt idx="870">
                  <c:v>-28.3596</c:v>
                </c:pt>
                <c:pt idx="871">
                  <c:v>-27.5686</c:v>
                </c:pt>
                <c:pt idx="872">
                  <c:v>-28.585599999999999</c:v>
                </c:pt>
                <c:pt idx="873">
                  <c:v>-28.246600000000001</c:v>
                </c:pt>
                <c:pt idx="874">
                  <c:v>-26.965900000000001</c:v>
                </c:pt>
                <c:pt idx="875">
                  <c:v>-26.0243</c:v>
                </c:pt>
                <c:pt idx="876">
                  <c:v>-26.0243</c:v>
                </c:pt>
                <c:pt idx="877">
                  <c:v>-26.0243</c:v>
                </c:pt>
                <c:pt idx="878">
                  <c:v>-25.61</c:v>
                </c:pt>
                <c:pt idx="879">
                  <c:v>-24.818999999999999</c:v>
                </c:pt>
                <c:pt idx="880">
                  <c:v>-24.668299999999999</c:v>
                </c:pt>
                <c:pt idx="881">
                  <c:v>-25.534600000000001</c:v>
                </c:pt>
                <c:pt idx="882">
                  <c:v>-24.0657</c:v>
                </c:pt>
                <c:pt idx="883">
                  <c:v>-24.0657</c:v>
                </c:pt>
                <c:pt idx="884">
                  <c:v>-24.0657</c:v>
                </c:pt>
                <c:pt idx="885">
                  <c:v>-23.5383</c:v>
                </c:pt>
                <c:pt idx="886">
                  <c:v>-22.860399999999998</c:v>
                </c:pt>
                <c:pt idx="887">
                  <c:v>-22.2577</c:v>
                </c:pt>
                <c:pt idx="888">
                  <c:v>-22.785</c:v>
                </c:pt>
                <c:pt idx="889">
                  <c:v>-21.805700000000002</c:v>
                </c:pt>
                <c:pt idx="890">
                  <c:v>-21.805700000000002</c:v>
                </c:pt>
                <c:pt idx="891">
                  <c:v>-21.805700000000002</c:v>
                </c:pt>
                <c:pt idx="892">
                  <c:v>-21.655000000000001</c:v>
                </c:pt>
                <c:pt idx="893">
                  <c:v>-22.785</c:v>
                </c:pt>
                <c:pt idx="894">
                  <c:v>-22.4084</c:v>
                </c:pt>
                <c:pt idx="895">
                  <c:v>-20.9771</c:v>
                </c:pt>
                <c:pt idx="896">
                  <c:v>-20.751100000000001</c:v>
                </c:pt>
                <c:pt idx="897">
                  <c:v>-20.751100000000001</c:v>
                </c:pt>
                <c:pt idx="898">
                  <c:v>-20.751100000000001</c:v>
                </c:pt>
                <c:pt idx="899">
                  <c:v>-19.9224</c:v>
                </c:pt>
                <c:pt idx="900">
                  <c:v>-19.771799999999999</c:v>
                </c:pt>
                <c:pt idx="901">
                  <c:v>-18.491099999999999</c:v>
                </c:pt>
                <c:pt idx="902">
                  <c:v>-18.943100000000001</c:v>
                </c:pt>
                <c:pt idx="903">
                  <c:v>-18.340499999999999</c:v>
                </c:pt>
                <c:pt idx="904">
                  <c:v>-18.340499999999999</c:v>
                </c:pt>
                <c:pt idx="905">
                  <c:v>-18.340499999999999</c:v>
                </c:pt>
                <c:pt idx="906">
                  <c:v>-18.340499999999999</c:v>
                </c:pt>
                <c:pt idx="907">
                  <c:v>-18.340499999999999</c:v>
                </c:pt>
                <c:pt idx="908">
                  <c:v>-17.662500000000001</c:v>
                </c:pt>
                <c:pt idx="909">
                  <c:v>-18.491099999999999</c:v>
                </c:pt>
                <c:pt idx="910">
                  <c:v>-19.696400000000001</c:v>
                </c:pt>
                <c:pt idx="911">
                  <c:v>-19.696400000000001</c:v>
                </c:pt>
                <c:pt idx="912">
                  <c:v>-19.696400000000001</c:v>
                </c:pt>
                <c:pt idx="913">
                  <c:v>-19.696400000000001</c:v>
                </c:pt>
                <c:pt idx="914">
                  <c:v>-20.299099999999999</c:v>
                </c:pt>
                <c:pt idx="915">
                  <c:v>-22.935700000000001</c:v>
                </c:pt>
                <c:pt idx="916">
                  <c:v>-22.709700000000002</c:v>
                </c:pt>
                <c:pt idx="917">
                  <c:v>-22.634399999999999</c:v>
                </c:pt>
                <c:pt idx="918">
                  <c:v>-22.634399999999999</c:v>
                </c:pt>
                <c:pt idx="919">
                  <c:v>-22.634399999999999</c:v>
                </c:pt>
                <c:pt idx="920">
                  <c:v>-19.093800000000002</c:v>
                </c:pt>
                <c:pt idx="921">
                  <c:v>-18.867799999999999</c:v>
                </c:pt>
                <c:pt idx="922">
                  <c:v>-19.0184</c:v>
                </c:pt>
                <c:pt idx="923">
                  <c:v>-19.093800000000002</c:v>
                </c:pt>
                <c:pt idx="924">
                  <c:v>-17.888500000000001</c:v>
                </c:pt>
                <c:pt idx="925">
                  <c:v>-17.888500000000001</c:v>
                </c:pt>
                <c:pt idx="926">
                  <c:v>-17.888500000000001</c:v>
                </c:pt>
                <c:pt idx="927">
                  <c:v>-16.4572</c:v>
                </c:pt>
                <c:pt idx="928">
                  <c:v>-16.683199999999999</c:v>
                </c:pt>
                <c:pt idx="929">
                  <c:v>-15.779199999999999</c:v>
                </c:pt>
                <c:pt idx="930">
                  <c:v>-15.9298</c:v>
                </c:pt>
                <c:pt idx="931">
                  <c:v>-16.532499999999999</c:v>
                </c:pt>
                <c:pt idx="932">
                  <c:v>-16.532499999999999</c:v>
                </c:pt>
                <c:pt idx="933">
                  <c:v>-16.532499999999999</c:v>
                </c:pt>
                <c:pt idx="934">
                  <c:v>-16.155799999999999</c:v>
                </c:pt>
                <c:pt idx="935">
                  <c:v>-14.5739</c:v>
                </c:pt>
                <c:pt idx="936">
                  <c:v>-14.6492</c:v>
                </c:pt>
                <c:pt idx="937">
                  <c:v>-14.347899999999999</c:v>
                </c:pt>
                <c:pt idx="938">
                  <c:v>-14.4985</c:v>
                </c:pt>
                <c:pt idx="939">
                  <c:v>-14.4985</c:v>
                </c:pt>
                <c:pt idx="940">
                  <c:v>-14.4985</c:v>
                </c:pt>
                <c:pt idx="941">
                  <c:v>-14.9505</c:v>
                </c:pt>
                <c:pt idx="942">
                  <c:v>-14.5739</c:v>
                </c:pt>
                <c:pt idx="943">
                  <c:v>-14.4232</c:v>
                </c:pt>
                <c:pt idx="944">
                  <c:v>-14.1219</c:v>
                </c:pt>
                <c:pt idx="945">
                  <c:v>-13.0672</c:v>
                </c:pt>
                <c:pt idx="946">
                  <c:v>-13.0672</c:v>
                </c:pt>
                <c:pt idx="947">
                  <c:v>-13.0672</c:v>
                </c:pt>
                <c:pt idx="948">
                  <c:v>-14.4985</c:v>
                </c:pt>
                <c:pt idx="949">
                  <c:v>-14.799899999999999</c:v>
                </c:pt>
                <c:pt idx="950">
                  <c:v>-13.745200000000001</c:v>
                </c:pt>
                <c:pt idx="951">
                  <c:v>-13.293200000000001</c:v>
                </c:pt>
                <c:pt idx="952">
                  <c:v>-14.347899999999999</c:v>
                </c:pt>
                <c:pt idx="953">
                  <c:v>-14.347899999999999</c:v>
                </c:pt>
                <c:pt idx="954">
                  <c:v>-14.347899999999999</c:v>
                </c:pt>
                <c:pt idx="955">
                  <c:v>-14.5739</c:v>
                </c:pt>
                <c:pt idx="956">
                  <c:v>-13.9712</c:v>
                </c:pt>
                <c:pt idx="957">
                  <c:v>-13.5946</c:v>
                </c:pt>
                <c:pt idx="958">
                  <c:v>-12.841200000000001</c:v>
                </c:pt>
                <c:pt idx="959">
                  <c:v>-10.581300000000001</c:v>
                </c:pt>
                <c:pt idx="960">
                  <c:v>-10.581300000000001</c:v>
                </c:pt>
                <c:pt idx="961">
                  <c:v>-10.581300000000001</c:v>
                </c:pt>
                <c:pt idx="962">
                  <c:v>-11.2593</c:v>
                </c:pt>
                <c:pt idx="963">
                  <c:v>-12.087899999999999</c:v>
                </c:pt>
                <c:pt idx="964">
                  <c:v>-11.485300000000001</c:v>
                </c:pt>
                <c:pt idx="965">
                  <c:v>-10.9579</c:v>
                </c:pt>
                <c:pt idx="966">
                  <c:v>-10.731999999999999</c:v>
                </c:pt>
                <c:pt idx="967">
                  <c:v>-10.731999999999999</c:v>
                </c:pt>
                <c:pt idx="968">
                  <c:v>-10.731999999999999</c:v>
                </c:pt>
                <c:pt idx="969">
                  <c:v>-9.3007000000000009</c:v>
                </c:pt>
                <c:pt idx="970">
                  <c:v>-7.7187000000000001</c:v>
                </c:pt>
                <c:pt idx="971">
                  <c:v>-7.3419999999999996</c:v>
                </c:pt>
                <c:pt idx="972">
                  <c:v>-7.7939999999999996</c:v>
                </c:pt>
                <c:pt idx="973">
                  <c:v>-2.0688</c:v>
                </c:pt>
                <c:pt idx="974">
                  <c:v>-2.0688</c:v>
                </c:pt>
                <c:pt idx="975">
                  <c:v>-2.0688</c:v>
                </c:pt>
                <c:pt idx="976">
                  <c:v>-0.41149999999999998</c:v>
                </c:pt>
                <c:pt idx="977">
                  <c:v>7.3475999999999999</c:v>
                </c:pt>
                <c:pt idx="978">
                  <c:v>14.2028</c:v>
                </c:pt>
                <c:pt idx="979">
                  <c:v>16.688800000000001</c:v>
                </c:pt>
                <c:pt idx="980">
                  <c:v>18.421399999999998</c:v>
                </c:pt>
                <c:pt idx="981">
                  <c:v>18.421399999999998</c:v>
                </c:pt>
                <c:pt idx="982">
                  <c:v>18.421399999999998</c:v>
                </c:pt>
                <c:pt idx="983">
                  <c:v>19.551400000000001</c:v>
                </c:pt>
                <c:pt idx="984">
                  <c:v>22.64</c:v>
                </c:pt>
                <c:pt idx="985">
                  <c:v>23.242599999999999</c:v>
                </c:pt>
                <c:pt idx="986">
                  <c:v>19.7774</c:v>
                </c:pt>
                <c:pt idx="987">
                  <c:v>23.9206</c:v>
                </c:pt>
                <c:pt idx="988">
                  <c:v>23.9206</c:v>
                </c:pt>
                <c:pt idx="989">
                  <c:v>23.9206</c:v>
                </c:pt>
                <c:pt idx="990">
                  <c:v>23.845300000000002</c:v>
                </c:pt>
                <c:pt idx="991">
                  <c:v>27.5365</c:v>
                </c:pt>
                <c:pt idx="992">
                  <c:v>26.858599999999999</c:v>
                </c:pt>
                <c:pt idx="993">
                  <c:v>29.570499999999999</c:v>
                </c:pt>
                <c:pt idx="994">
                  <c:v>29.1938</c:v>
                </c:pt>
                <c:pt idx="995">
                  <c:v>29.1938</c:v>
                </c:pt>
                <c:pt idx="996">
                  <c:v>29.1938</c:v>
                </c:pt>
                <c:pt idx="997">
                  <c:v>29.269200000000001</c:v>
                </c:pt>
                <c:pt idx="998">
                  <c:v>30.173100000000002</c:v>
                </c:pt>
                <c:pt idx="999">
                  <c:v>27.9132</c:v>
                </c:pt>
                <c:pt idx="1000">
                  <c:v>25.5779</c:v>
                </c:pt>
                <c:pt idx="1001">
                  <c:v>25.5779</c:v>
                </c:pt>
                <c:pt idx="1002">
                  <c:v>25.5779</c:v>
                </c:pt>
                <c:pt idx="1003">
                  <c:v>25.5779</c:v>
                </c:pt>
                <c:pt idx="1004">
                  <c:v>25.5779</c:v>
                </c:pt>
                <c:pt idx="1005">
                  <c:v>26.3689</c:v>
                </c:pt>
                <c:pt idx="1006">
                  <c:v>25.427299999999999</c:v>
                </c:pt>
                <c:pt idx="1007">
                  <c:v>30.5121</c:v>
                </c:pt>
                <c:pt idx="1008">
                  <c:v>30.1355</c:v>
                </c:pt>
                <c:pt idx="1009">
                  <c:v>30.1355</c:v>
                </c:pt>
                <c:pt idx="1010">
                  <c:v>30.1355</c:v>
                </c:pt>
                <c:pt idx="1011">
                  <c:v>33.525399999999998</c:v>
                </c:pt>
                <c:pt idx="1012">
                  <c:v>32.207099999999997</c:v>
                </c:pt>
                <c:pt idx="1013">
                  <c:v>31.453800000000001</c:v>
                </c:pt>
                <c:pt idx="1014">
                  <c:v>30.323799999999999</c:v>
                </c:pt>
                <c:pt idx="1015">
                  <c:v>30.5121</c:v>
                </c:pt>
                <c:pt idx="1016">
                  <c:v>30.5121</c:v>
                </c:pt>
                <c:pt idx="1017">
                  <c:v>30.5121</c:v>
                </c:pt>
                <c:pt idx="1018">
                  <c:v>31.265499999999999</c:v>
                </c:pt>
                <c:pt idx="1019">
                  <c:v>26.7456</c:v>
                </c:pt>
                <c:pt idx="1020">
                  <c:v>28.4405</c:v>
                </c:pt>
                <c:pt idx="1021">
                  <c:v>30.8888</c:v>
                </c:pt>
                <c:pt idx="1022">
                  <c:v>28.4405</c:v>
                </c:pt>
                <c:pt idx="1023">
                  <c:v>28.4405</c:v>
                </c:pt>
                <c:pt idx="1024">
                  <c:v>28.4405</c:v>
                </c:pt>
                <c:pt idx="1025">
                  <c:v>27.498899999999999</c:v>
                </c:pt>
                <c:pt idx="1026">
                  <c:v>30.8888</c:v>
                </c:pt>
                <c:pt idx="1027">
                  <c:v>30.8888</c:v>
                </c:pt>
                <c:pt idx="1028">
                  <c:v>27.687200000000001</c:v>
                </c:pt>
                <c:pt idx="1029">
                  <c:v>23.167300000000001</c:v>
                </c:pt>
                <c:pt idx="1030">
                  <c:v>23.167300000000001</c:v>
                </c:pt>
                <c:pt idx="1031">
                  <c:v>23.167300000000001</c:v>
                </c:pt>
                <c:pt idx="1032">
                  <c:v>29.947199999999999</c:v>
                </c:pt>
                <c:pt idx="1033">
                  <c:v>25.615600000000001</c:v>
                </c:pt>
                <c:pt idx="1034">
                  <c:v>25.615600000000001</c:v>
                </c:pt>
                <c:pt idx="1035">
                  <c:v>26.180599999999998</c:v>
                </c:pt>
                <c:pt idx="1036">
                  <c:v>22.414000000000001</c:v>
                </c:pt>
                <c:pt idx="1037">
                  <c:v>22.414000000000001</c:v>
                </c:pt>
                <c:pt idx="1038">
                  <c:v>22.414000000000001</c:v>
                </c:pt>
                <c:pt idx="1039">
                  <c:v>23.9206</c:v>
                </c:pt>
                <c:pt idx="1040">
                  <c:v>24.862300000000001</c:v>
                </c:pt>
                <c:pt idx="1041">
                  <c:v>26.3689</c:v>
                </c:pt>
                <c:pt idx="1042">
                  <c:v>26.180599999999998</c:v>
                </c:pt>
                <c:pt idx="1043">
                  <c:v>27.687200000000001</c:v>
                </c:pt>
                <c:pt idx="1044">
                  <c:v>27.687200000000001</c:v>
                </c:pt>
                <c:pt idx="1045">
                  <c:v>27.687200000000001</c:v>
                </c:pt>
                <c:pt idx="1046">
                  <c:v>27.498899999999999</c:v>
                </c:pt>
                <c:pt idx="1047">
                  <c:v>22.037299999999998</c:v>
                </c:pt>
                <c:pt idx="1048">
                  <c:v>23.9206</c:v>
                </c:pt>
                <c:pt idx="1049">
                  <c:v>22.037299999999998</c:v>
                </c:pt>
                <c:pt idx="1050">
                  <c:v>22.037299999999998</c:v>
                </c:pt>
                <c:pt idx="1051">
                  <c:v>22.037299999999998</c:v>
                </c:pt>
                <c:pt idx="1052">
                  <c:v>22.037299999999998</c:v>
                </c:pt>
                <c:pt idx="1053">
                  <c:v>21.660699999999999</c:v>
                </c:pt>
                <c:pt idx="1054">
                  <c:v>22.037299999999998</c:v>
                </c:pt>
                <c:pt idx="1055">
                  <c:v>21.283999999999999</c:v>
                </c:pt>
                <c:pt idx="1056">
                  <c:v>22.790600000000001</c:v>
                </c:pt>
                <c:pt idx="1057">
                  <c:v>22.978999999999999</c:v>
                </c:pt>
                <c:pt idx="1058">
                  <c:v>22.978999999999999</c:v>
                </c:pt>
                <c:pt idx="1059">
                  <c:v>22.978999999999999</c:v>
                </c:pt>
                <c:pt idx="1060">
                  <c:v>24.108899999999998</c:v>
                </c:pt>
                <c:pt idx="1061">
                  <c:v>22.414000000000001</c:v>
                </c:pt>
                <c:pt idx="1062">
                  <c:v>16.764099999999999</c:v>
                </c:pt>
                <c:pt idx="1063">
                  <c:v>21.095700000000001</c:v>
                </c:pt>
                <c:pt idx="1064">
                  <c:v>23.355599999999999</c:v>
                </c:pt>
                <c:pt idx="1065">
                  <c:v>23.355599999999999</c:v>
                </c:pt>
                <c:pt idx="1066">
                  <c:v>23.355599999999999</c:v>
                </c:pt>
                <c:pt idx="1067">
                  <c:v>26.7456</c:v>
                </c:pt>
                <c:pt idx="1068">
                  <c:v>27.875499999999999</c:v>
                </c:pt>
                <c:pt idx="1069">
                  <c:v>30.8888</c:v>
                </c:pt>
                <c:pt idx="1070">
                  <c:v>24.6739</c:v>
                </c:pt>
                <c:pt idx="1071">
                  <c:v>21.283999999999999</c:v>
                </c:pt>
                <c:pt idx="1072">
                  <c:v>21.283999999999999</c:v>
                </c:pt>
                <c:pt idx="1073">
                  <c:v>21.283999999999999</c:v>
                </c:pt>
                <c:pt idx="1074">
                  <c:v>23.9206</c:v>
                </c:pt>
                <c:pt idx="1075">
                  <c:v>22.414000000000001</c:v>
                </c:pt>
                <c:pt idx="1076">
                  <c:v>25.803899999999999</c:v>
                </c:pt>
                <c:pt idx="1077">
                  <c:v>20.907399999999999</c:v>
                </c:pt>
                <c:pt idx="1078">
                  <c:v>17.3291</c:v>
                </c:pt>
                <c:pt idx="1079">
                  <c:v>17.3291</c:v>
                </c:pt>
                <c:pt idx="1080">
                  <c:v>17.3291</c:v>
                </c:pt>
                <c:pt idx="1081">
                  <c:v>18.714099999999998</c:v>
                </c:pt>
                <c:pt idx="1082">
                  <c:v>20.0991</c:v>
                </c:pt>
                <c:pt idx="1083">
                  <c:v>20.692699999999999</c:v>
                </c:pt>
                <c:pt idx="1084">
                  <c:v>20.890499999999999</c:v>
                </c:pt>
                <c:pt idx="1085">
                  <c:v>16.141999999999999</c:v>
                </c:pt>
                <c:pt idx="1086">
                  <c:v>16.141999999999999</c:v>
                </c:pt>
                <c:pt idx="1087">
                  <c:v>16.141999999999999</c:v>
                </c:pt>
                <c:pt idx="1088">
                  <c:v>20.297000000000001</c:v>
                </c:pt>
                <c:pt idx="1089">
                  <c:v>17.724799999999998</c:v>
                </c:pt>
                <c:pt idx="1090">
                  <c:v>17.527000000000001</c:v>
                </c:pt>
                <c:pt idx="1091">
                  <c:v>18.516200000000001</c:v>
                </c:pt>
                <c:pt idx="1092">
                  <c:v>20.890499999999999</c:v>
                </c:pt>
                <c:pt idx="1093">
                  <c:v>20.890499999999999</c:v>
                </c:pt>
                <c:pt idx="1094">
                  <c:v>20.890499999999999</c:v>
                </c:pt>
                <c:pt idx="1095">
                  <c:v>21.484100000000002</c:v>
                </c:pt>
                <c:pt idx="1096">
                  <c:v>20.0991</c:v>
                </c:pt>
                <c:pt idx="1097">
                  <c:v>21.879799999999999</c:v>
                </c:pt>
                <c:pt idx="1098">
                  <c:v>22.671199999999999</c:v>
                </c:pt>
                <c:pt idx="1099">
                  <c:v>22.473400000000002</c:v>
                </c:pt>
                <c:pt idx="1100">
                  <c:v>22.473400000000002</c:v>
                </c:pt>
                <c:pt idx="1101">
                  <c:v>22.473400000000002</c:v>
                </c:pt>
                <c:pt idx="1102">
                  <c:v>21.0884</c:v>
                </c:pt>
                <c:pt idx="1103">
                  <c:v>18.1205</c:v>
                </c:pt>
                <c:pt idx="1104">
                  <c:v>20.0991</c:v>
                </c:pt>
                <c:pt idx="1105">
                  <c:v>20.890499999999999</c:v>
                </c:pt>
                <c:pt idx="1106">
                  <c:v>23.462700000000002</c:v>
                </c:pt>
                <c:pt idx="1107">
                  <c:v>23.462700000000002</c:v>
                </c:pt>
                <c:pt idx="1108">
                  <c:v>23.462700000000002</c:v>
                </c:pt>
                <c:pt idx="1109">
                  <c:v>22.671199999999999</c:v>
                </c:pt>
                <c:pt idx="1110">
                  <c:v>22.275500000000001</c:v>
                </c:pt>
                <c:pt idx="1111">
                  <c:v>19.703399999999998</c:v>
                </c:pt>
                <c:pt idx="1112">
                  <c:v>25.441199999999998</c:v>
                </c:pt>
                <c:pt idx="1113">
                  <c:v>22.671199999999999</c:v>
                </c:pt>
                <c:pt idx="1114">
                  <c:v>22.671199999999999</c:v>
                </c:pt>
                <c:pt idx="1115">
                  <c:v>22.671199999999999</c:v>
                </c:pt>
                <c:pt idx="1116">
                  <c:v>24.8477</c:v>
                </c:pt>
                <c:pt idx="1117">
                  <c:v>22.275500000000001</c:v>
                </c:pt>
                <c:pt idx="1118">
                  <c:v>16.933399999999999</c:v>
                </c:pt>
                <c:pt idx="1119">
                  <c:v>13.7677</c:v>
                </c:pt>
                <c:pt idx="1120">
                  <c:v>14.559100000000001</c:v>
                </c:pt>
                <c:pt idx="1121">
                  <c:v>14.559100000000001</c:v>
                </c:pt>
                <c:pt idx="1122">
                  <c:v>14.559100000000001</c:v>
                </c:pt>
                <c:pt idx="1123">
                  <c:v>12.3827</c:v>
                </c:pt>
                <c:pt idx="1124">
                  <c:v>11.987</c:v>
                </c:pt>
                <c:pt idx="1125">
                  <c:v>15.548400000000001</c:v>
                </c:pt>
                <c:pt idx="1126">
                  <c:v>11.789099999999999</c:v>
                </c:pt>
                <c:pt idx="1127">
                  <c:v>8.8213000000000008</c:v>
                </c:pt>
                <c:pt idx="1128">
                  <c:v>8.8213000000000008</c:v>
                </c:pt>
                <c:pt idx="1129">
                  <c:v>8.8213000000000008</c:v>
                </c:pt>
                <c:pt idx="1130">
                  <c:v>6.8426999999999998</c:v>
                </c:pt>
                <c:pt idx="1131">
                  <c:v>6.4470000000000001</c:v>
                </c:pt>
                <c:pt idx="1132">
                  <c:v>7.6341000000000001</c:v>
                </c:pt>
                <c:pt idx="1133">
                  <c:v>5.6555</c:v>
                </c:pt>
                <c:pt idx="1134">
                  <c:v>5.6555</c:v>
                </c:pt>
                <c:pt idx="1135">
                  <c:v>5.6555</c:v>
                </c:pt>
                <c:pt idx="1136">
                  <c:v>5.6555</c:v>
                </c:pt>
                <c:pt idx="1137">
                  <c:v>5.6555</c:v>
                </c:pt>
                <c:pt idx="1138">
                  <c:v>6.6448</c:v>
                </c:pt>
                <c:pt idx="1139">
                  <c:v>6.8426999999999998</c:v>
                </c:pt>
                <c:pt idx="1140">
                  <c:v>9.8104999999999993</c:v>
                </c:pt>
                <c:pt idx="1141">
                  <c:v>11.789099999999999</c:v>
                </c:pt>
                <c:pt idx="1142">
                  <c:v>11.789099999999999</c:v>
                </c:pt>
                <c:pt idx="1143">
                  <c:v>11.789099999999999</c:v>
                </c:pt>
                <c:pt idx="1144">
                  <c:v>12.3827</c:v>
                </c:pt>
                <c:pt idx="1145">
                  <c:v>11.789099999999999</c:v>
                </c:pt>
                <c:pt idx="1146">
                  <c:v>13.174099999999999</c:v>
                </c:pt>
                <c:pt idx="1147">
                  <c:v>12.184799999999999</c:v>
                </c:pt>
                <c:pt idx="1148">
                  <c:v>15.944100000000001</c:v>
                </c:pt>
                <c:pt idx="1149">
                  <c:v>15.944100000000001</c:v>
                </c:pt>
                <c:pt idx="1150">
                  <c:v>15.944100000000001</c:v>
                </c:pt>
                <c:pt idx="1151">
                  <c:v>18.1205</c:v>
                </c:pt>
                <c:pt idx="1152">
                  <c:v>15.152699999999999</c:v>
                </c:pt>
                <c:pt idx="1153">
                  <c:v>16.537700000000001</c:v>
                </c:pt>
                <c:pt idx="1154">
                  <c:v>17.1312</c:v>
                </c:pt>
                <c:pt idx="1155">
                  <c:v>18.3184</c:v>
                </c:pt>
                <c:pt idx="1156">
                  <c:v>18.3184</c:v>
                </c:pt>
                <c:pt idx="1157">
                  <c:v>18.3184</c:v>
                </c:pt>
                <c:pt idx="1158">
                  <c:v>18.714099999999998</c:v>
                </c:pt>
                <c:pt idx="1159">
                  <c:v>14.954800000000001</c:v>
                </c:pt>
                <c:pt idx="1160">
                  <c:v>12.580500000000001</c:v>
                </c:pt>
                <c:pt idx="1161">
                  <c:v>13.7677</c:v>
                </c:pt>
                <c:pt idx="1162">
                  <c:v>11.591200000000001</c:v>
                </c:pt>
                <c:pt idx="1163">
                  <c:v>11.591200000000001</c:v>
                </c:pt>
                <c:pt idx="1164">
                  <c:v>11.591200000000001</c:v>
                </c:pt>
                <c:pt idx="1165">
                  <c:v>9.2170000000000005</c:v>
                </c:pt>
                <c:pt idx="1166">
                  <c:v>6.4470000000000001</c:v>
                </c:pt>
                <c:pt idx="1167">
                  <c:v>7.6341000000000001</c:v>
                </c:pt>
                <c:pt idx="1168">
                  <c:v>9.2170000000000005</c:v>
                </c:pt>
                <c:pt idx="1169">
                  <c:v>11.987</c:v>
                </c:pt>
                <c:pt idx="1170">
                  <c:v>11.987</c:v>
                </c:pt>
                <c:pt idx="1171">
                  <c:v>11.987</c:v>
                </c:pt>
                <c:pt idx="1172">
                  <c:v>11.987</c:v>
                </c:pt>
                <c:pt idx="1173">
                  <c:v>13.9655</c:v>
                </c:pt>
                <c:pt idx="1174">
                  <c:v>16.537700000000001</c:v>
                </c:pt>
                <c:pt idx="1175">
                  <c:v>17.527000000000001</c:v>
                </c:pt>
                <c:pt idx="1176">
                  <c:v>15.7462</c:v>
                </c:pt>
                <c:pt idx="1177">
                  <c:v>15.7462</c:v>
                </c:pt>
                <c:pt idx="1178">
                  <c:v>15.7462</c:v>
                </c:pt>
                <c:pt idx="1179">
                  <c:v>16.141999999999999</c:v>
                </c:pt>
                <c:pt idx="1180">
                  <c:v>18.714099999999998</c:v>
                </c:pt>
                <c:pt idx="1181">
                  <c:v>18.3184</c:v>
                </c:pt>
                <c:pt idx="1182">
                  <c:v>22.8691</c:v>
                </c:pt>
                <c:pt idx="1183">
                  <c:v>22.671199999999999</c:v>
                </c:pt>
                <c:pt idx="1184">
                  <c:v>22.671199999999999</c:v>
                </c:pt>
                <c:pt idx="1185">
                  <c:v>22.671199999999999</c:v>
                </c:pt>
                <c:pt idx="1186">
                  <c:v>16.3398</c:v>
                </c:pt>
                <c:pt idx="1187">
                  <c:v>13.569800000000001</c:v>
                </c:pt>
                <c:pt idx="1188">
                  <c:v>10.9977</c:v>
                </c:pt>
                <c:pt idx="1189">
                  <c:v>12.184799999999999</c:v>
                </c:pt>
                <c:pt idx="1190">
                  <c:v>12.7784</c:v>
                </c:pt>
                <c:pt idx="1191">
                  <c:v>12.7784</c:v>
                </c:pt>
                <c:pt idx="1192">
                  <c:v>12.7784</c:v>
                </c:pt>
                <c:pt idx="1193">
                  <c:v>13.7677</c:v>
                </c:pt>
                <c:pt idx="1194">
                  <c:v>13.372</c:v>
                </c:pt>
                <c:pt idx="1195">
                  <c:v>16.141999999999999</c:v>
                </c:pt>
                <c:pt idx="1196">
                  <c:v>14.163399999999999</c:v>
                </c:pt>
                <c:pt idx="1197">
                  <c:v>18.3184</c:v>
                </c:pt>
                <c:pt idx="1198">
                  <c:v>18.3184</c:v>
                </c:pt>
                <c:pt idx="1199">
                  <c:v>18.3184</c:v>
                </c:pt>
                <c:pt idx="1200">
                  <c:v>18.714099999999998</c:v>
                </c:pt>
                <c:pt idx="1201">
                  <c:v>17.527000000000001</c:v>
                </c:pt>
                <c:pt idx="1202">
                  <c:v>16.141999999999999</c:v>
                </c:pt>
                <c:pt idx="1203">
                  <c:v>16.141999999999999</c:v>
                </c:pt>
                <c:pt idx="1204">
                  <c:v>20.890499999999999</c:v>
                </c:pt>
                <c:pt idx="1205">
                  <c:v>20.890499999999999</c:v>
                </c:pt>
                <c:pt idx="1206">
                  <c:v>20.890499999999999</c:v>
                </c:pt>
                <c:pt idx="1207">
                  <c:v>20.297000000000001</c:v>
                </c:pt>
                <c:pt idx="1208">
                  <c:v>22.473400000000002</c:v>
                </c:pt>
                <c:pt idx="1209">
                  <c:v>21.286200000000001</c:v>
                </c:pt>
                <c:pt idx="1210">
                  <c:v>18.911999999999999</c:v>
                </c:pt>
                <c:pt idx="1211">
                  <c:v>23.264800000000001</c:v>
                </c:pt>
                <c:pt idx="1212">
                  <c:v>23.264800000000001</c:v>
                </c:pt>
                <c:pt idx="1213">
                  <c:v>23.264800000000001</c:v>
                </c:pt>
                <c:pt idx="1214">
                  <c:v>19.1098</c:v>
                </c:pt>
                <c:pt idx="1215">
                  <c:v>20.890499999999999</c:v>
                </c:pt>
                <c:pt idx="1216">
                  <c:v>16.141999999999999</c:v>
                </c:pt>
                <c:pt idx="1217">
                  <c:v>16.3398</c:v>
                </c:pt>
                <c:pt idx="1218">
                  <c:v>15.3505</c:v>
                </c:pt>
                <c:pt idx="1219">
                  <c:v>15.3505</c:v>
                </c:pt>
                <c:pt idx="1220">
                  <c:v>15.3505</c:v>
                </c:pt>
                <c:pt idx="1221">
                  <c:v>15.944100000000001</c:v>
                </c:pt>
                <c:pt idx="1222">
                  <c:v>17.922699999999999</c:v>
                </c:pt>
                <c:pt idx="1223">
                  <c:v>19.307700000000001</c:v>
                </c:pt>
                <c:pt idx="1224">
                  <c:v>25.441199999999998</c:v>
                </c:pt>
                <c:pt idx="1225">
                  <c:v>22.473400000000002</c:v>
                </c:pt>
                <c:pt idx="1226">
                  <c:v>22.473400000000002</c:v>
                </c:pt>
                <c:pt idx="1227">
                  <c:v>22.473400000000002</c:v>
                </c:pt>
                <c:pt idx="1228">
                  <c:v>25.441199999999998</c:v>
                </c:pt>
                <c:pt idx="1229">
                  <c:v>22.473400000000002</c:v>
                </c:pt>
                <c:pt idx="1230">
                  <c:v>21.484100000000002</c:v>
                </c:pt>
                <c:pt idx="1231">
                  <c:v>20.297000000000001</c:v>
                </c:pt>
                <c:pt idx="1232">
                  <c:v>18.911999999999999</c:v>
                </c:pt>
                <c:pt idx="1233">
                  <c:v>18.911999999999999</c:v>
                </c:pt>
                <c:pt idx="1234">
                  <c:v>18.911999999999999</c:v>
                </c:pt>
                <c:pt idx="1235">
                  <c:v>16.933399999999999</c:v>
                </c:pt>
                <c:pt idx="1236">
                  <c:v>16.141999999999999</c:v>
                </c:pt>
                <c:pt idx="1237">
                  <c:v>13.569800000000001</c:v>
                </c:pt>
                <c:pt idx="1238">
                  <c:v>13.569800000000001</c:v>
                </c:pt>
                <c:pt idx="1239">
                  <c:v>13.569800000000001</c:v>
                </c:pt>
                <c:pt idx="1240">
                  <c:v>13.569800000000001</c:v>
                </c:pt>
                <c:pt idx="1241">
                  <c:v>13.569800000000001</c:v>
                </c:pt>
                <c:pt idx="1242">
                  <c:v>13.7677</c:v>
                </c:pt>
                <c:pt idx="1243">
                  <c:v>8.8213000000000008</c:v>
                </c:pt>
                <c:pt idx="1244">
                  <c:v>11.195499999999999</c:v>
                </c:pt>
                <c:pt idx="1245">
                  <c:v>13.7677</c:v>
                </c:pt>
                <c:pt idx="1246">
                  <c:v>13.569800000000001</c:v>
                </c:pt>
                <c:pt idx="1247">
                  <c:v>13.569800000000001</c:v>
                </c:pt>
                <c:pt idx="1248">
                  <c:v>13.569800000000001</c:v>
                </c:pt>
                <c:pt idx="1249">
                  <c:v>13.569800000000001</c:v>
                </c:pt>
                <c:pt idx="1250">
                  <c:v>16.735499999999998</c:v>
                </c:pt>
                <c:pt idx="1251">
                  <c:v>18.911999999999999</c:v>
                </c:pt>
                <c:pt idx="1252">
                  <c:v>19.505500000000001</c:v>
                </c:pt>
                <c:pt idx="1253">
                  <c:v>19.901199999999999</c:v>
                </c:pt>
                <c:pt idx="1254">
                  <c:v>19.901199999999999</c:v>
                </c:pt>
                <c:pt idx="1255">
                  <c:v>19.901199999999999</c:v>
                </c:pt>
                <c:pt idx="1256">
                  <c:v>19.505500000000001</c:v>
                </c:pt>
                <c:pt idx="1257">
                  <c:v>19.901199999999999</c:v>
                </c:pt>
                <c:pt idx="1258">
                  <c:v>20.890499999999999</c:v>
                </c:pt>
                <c:pt idx="1259">
                  <c:v>22.671199999999999</c:v>
                </c:pt>
                <c:pt idx="1260">
                  <c:v>22.8691</c:v>
                </c:pt>
                <c:pt idx="1261">
                  <c:v>22.8691</c:v>
                </c:pt>
                <c:pt idx="1262">
                  <c:v>22.8691</c:v>
                </c:pt>
                <c:pt idx="1263">
                  <c:v>13.569800000000001</c:v>
                </c:pt>
                <c:pt idx="1264">
                  <c:v>13.569800000000001</c:v>
                </c:pt>
                <c:pt idx="1265">
                  <c:v>13.174099999999999</c:v>
                </c:pt>
                <c:pt idx="1266">
                  <c:v>11.3934</c:v>
                </c:pt>
                <c:pt idx="1267">
                  <c:v>9.2170000000000005</c:v>
                </c:pt>
                <c:pt idx="1268">
                  <c:v>9.2170000000000005</c:v>
                </c:pt>
                <c:pt idx="1269">
                  <c:v>9.2170000000000005</c:v>
                </c:pt>
                <c:pt idx="1270">
                  <c:v>9.8104999999999993</c:v>
                </c:pt>
                <c:pt idx="1271">
                  <c:v>9.8104999999999993</c:v>
                </c:pt>
                <c:pt idx="1272">
                  <c:v>9.8104999999999993</c:v>
                </c:pt>
                <c:pt idx="1273">
                  <c:v>9.8104999999999993</c:v>
                </c:pt>
                <c:pt idx="1274">
                  <c:v>10.799799999999999</c:v>
                </c:pt>
                <c:pt idx="1275">
                  <c:v>10.799799999999999</c:v>
                </c:pt>
                <c:pt idx="1276">
                  <c:v>10.799799999999999</c:v>
                </c:pt>
                <c:pt idx="1277">
                  <c:v>10.602</c:v>
                </c:pt>
                <c:pt idx="1278">
                  <c:v>10.602</c:v>
                </c:pt>
                <c:pt idx="1279">
                  <c:v>10.602</c:v>
                </c:pt>
                <c:pt idx="1280">
                  <c:v>11.591200000000001</c:v>
                </c:pt>
                <c:pt idx="1281">
                  <c:v>11.591200000000001</c:v>
                </c:pt>
                <c:pt idx="1282">
                  <c:v>11.591200000000001</c:v>
                </c:pt>
                <c:pt idx="1283">
                  <c:v>11.591200000000001</c:v>
                </c:pt>
                <c:pt idx="1284">
                  <c:v>17.527000000000001</c:v>
                </c:pt>
                <c:pt idx="1285">
                  <c:v>15.7462</c:v>
                </c:pt>
                <c:pt idx="1286">
                  <c:v>14.3612</c:v>
                </c:pt>
                <c:pt idx="1287">
                  <c:v>15.3505</c:v>
                </c:pt>
                <c:pt idx="1288">
                  <c:v>4.6662999999999997</c:v>
                </c:pt>
                <c:pt idx="1289">
                  <c:v>4.6662999999999997</c:v>
                </c:pt>
                <c:pt idx="1290">
                  <c:v>4.6662999999999997</c:v>
                </c:pt>
                <c:pt idx="1291">
                  <c:v>3.0834000000000001</c:v>
                </c:pt>
                <c:pt idx="1292">
                  <c:v>6.0513000000000003</c:v>
                </c:pt>
                <c:pt idx="1293">
                  <c:v>5.8533999999999997</c:v>
                </c:pt>
                <c:pt idx="1294">
                  <c:v>5.8533999999999997</c:v>
                </c:pt>
                <c:pt idx="1295">
                  <c:v>10.0084</c:v>
                </c:pt>
                <c:pt idx="1296">
                  <c:v>10.0084</c:v>
                </c:pt>
                <c:pt idx="1297">
                  <c:v>10.0084</c:v>
                </c:pt>
                <c:pt idx="1298">
                  <c:v>9.8104999999999993</c:v>
                </c:pt>
                <c:pt idx="1299">
                  <c:v>10.206300000000001</c:v>
                </c:pt>
                <c:pt idx="1300">
                  <c:v>10.9977</c:v>
                </c:pt>
                <c:pt idx="1301">
                  <c:v>12.580500000000001</c:v>
                </c:pt>
                <c:pt idx="1302">
                  <c:v>12.580500000000001</c:v>
                </c:pt>
                <c:pt idx="1303">
                  <c:v>12.580500000000001</c:v>
                </c:pt>
                <c:pt idx="1304">
                  <c:v>12.580500000000001</c:v>
                </c:pt>
                <c:pt idx="1305">
                  <c:v>11.195499999999999</c:v>
                </c:pt>
                <c:pt idx="1306">
                  <c:v>10.602</c:v>
                </c:pt>
                <c:pt idx="1307">
                  <c:v>18.1205</c:v>
                </c:pt>
                <c:pt idx="1308">
                  <c:v>19.901199999999999</c:v>
                </c:pt>
                <c:pt idx="1309">
                  <c:v>18.3184</c:v>
                </c:pt>
                <c:pt idx="1310">
                  <c:v>18.3184</c:v>
                </c:pt>
                <c:pt idx="1311">
                  <c:v>18.3184</c:v>
                </c:pt>
                <c:pt idx="1312">
                  <c:v>16.735499999999998</c:v>
                </c:pt>
                <c:pt idx="1313">
                  <c:v>18.1205</c:v>
                </c:pt>
                <c:pt idx="1314">
                  <c:v>17.1312</c:v>
                </c:pt>
                <c:pt idx="1315">
                  <c:v>20.692699999999999</c:v>
                </c:pt>
                <c:pt idx="1316">
                  <c:v>23.264800000000001</c:v>
                </c:pt>
                <c:pt idx="1317">
                  <c:v>23.264800000000001</c:v>
                </c:pt>
                <c:pt idx="1318">
                  <c:v>23.264800000000001</c:v>
                </c:pt>
                <c:pt idx="1319">
                  <c:v>24.254100000000001</c:v>
                </c:pt>
                <c:pt idx="1320">
                  <c:v>25.639099999999999</c:v>
                </c:pt>
                <c:pt idx="1321">
                  <c:v>25.8369</c:v>
                </c:pt>
                <c:pt idx="1322">
                  <c:v>32.366199999999999</c:v>
                </c:pt>
                <c:pt idx="1323">
                  <c:v>33.751199999999997</c:v>
                </c:pt>
                <c:pt idx="1324">
                  <c:v>33.751199999999997</c:v>
                </c:pt>
                <c:pt idx="1325">
                  <c:v>33.751199999999997</c:v>
                </c:pt>
                <c:pt idx="1326">
                  <c:v>37.5105</c:v>
                </c:pt>
                <c:pt idx="1327">
                  <c:v>41.467599999999997</c:v>
                </c:pt>
                <c:pt idx="1328">
                  <c:v>36.323399999999999</c:v>
                </c:pt>
                <c:pt idx="1329">
                  <c:v>36.323399999999999</c:v>
                </c:pt>
                <c:pt idx="1330">
                  <c:v>36.5212</c:v>
                </c:pt>
                <c:pt idx="1331">
                  <c:v>36.5212</c:v>
                </c:pt>
                <c:pt idx="1332">
                  <c:v>36.5212</c:v>
                </c:pt>
                <c:pt idx="1333">
                  <c:v>37.114800000000002</c:v>
                </c:pt>
                <c:pt idx="1334">
                  <c:v>42.456899999999997</c:v>
                </c:pt>
                <c:pt idx="1335">
                  <c:v>45.820500000000003</c:v>
                </c:pt>
                <c:pt idx="1336">
                  <c:v>42.654800000000002</c:v>
                </c:pt>
                <c:pt idx="1337">
                  <c:v>43.644100000000002</c:v>
                </c:pt>
                <c:pt idx="1338">
                  <c:v>43.644100000000002</c:v>
                </c:pt>
                <c:pt idx="1339">
                  <c:v>43.644100000000002</c:v>
                </c:pt>
                <c:pt idx="1340">
                  <c:v>46.611899999999999</c:v>
                </c:pt>
                <c:pt idx="1341">
                  <c:v>39.093299999999999</c:v>
                </c:pt>
                <c:pt idx="1342">
                  <c:v>46.018300000000004</c:v>
                </c:pt>
                <c:pt idx="1343">
                  <c:v>51.558300000000003</c:v>
                </c:pt>
                <c:pt idx="1344">
                  <c:v>51.162599999999998</c:v>
                </c:pt>
                <c:pt idx="1345">
                  <c:v>51.162599999999998</c:v>
                </c:pt>
                <c:pt idx="1346">
                  <c:v>51.162599999999998</c:v>
                </c:pt>
                <c:pt idx="1347">
                  <c:v>46.809800000000003</c:v>
                </c:pt>
                <c:pt idx="1348">
                  <c:v>34.938400000000001</c:v>
                </c:pt>
                <c:pt idx="1349">
                  <c:v>36.125500000000002</c:v>
                </c:pt>
                <c:pt idx="1350">
                  <c:v>32.564100000000003</c:v>
                </c:pt>
                <c:pt idx="1351">
                  <c:v>37.5105</c:v>
                </c:pt>
                <c:pt idx="1352">
                  <c:v>37.5105</c:v>
                </c:pt>
                <c:pt idx="1353">
                  <c:v>37.5105</c:v>
                </c:pt>
                <c:pt idx="1354">
                  <c:v>37.5105</c:v>
                </c:pt>
                <c:pt idx="1355">
                  <c:v>40.874099999999999</c:v>
                </c:pt>
                <c:pt idx="1356">
                  <c:v>32.168399999999998</c:v>
                </c:pt>
                <c:pt idx="1357">
                  <c:v>29.200500000000002</c:v>
                </c:pt>
                <c:pt idx="1358">
                  <c:v>27.024100000000001</c:v>
                </c:pt>
                <c:pt idx="1359">
                  <c:v>27.024100000000001</c:v>
                </c:pt>
                <c:pt idx="1360">
                  <c:v>27.024100000000001</c:v>
                </c:pt>
                <c:pt idx="1361">
                  <c:v>28.8048</c:v>
                </c:pt>
                <c:pt idx="1362">
                  <c:v>31.179099999999998</c:v>
                </c:pt>
                <c:pt idx="1363">
                  <c:v>29.398399999999999</c:v>
                </c:pt>
                <c:pt idx="1364">
                  <c:v>29.7941</c:v>
                </c:pt>
                <c:pt idx="1365">
                  <c:v>26.8262</c:v>
                </c:pt>
                <c:pt idx="1366">
                  <c:v>26.8262</c:v>
                </c:pt>
                <c:pt idx="1367">
                  <c:v>26.8262</c:v>
                </c:pt>
                <c:pt idx="1368">
                  <c:v>23.0669</c:v>
                </c:pt>
                <c:pt idx="1369">
                  <c:v>25.8369</c:v>
                </c:pt>
                <c:pt idx="1370">
                  <c:v>25.243400000000001</c:v>
                </c:pt>
                <c:pt idx="1371">
                  <c:v>19.307700000000001</c:v>
                </c:pt>
                <c:pt idx="1372">
                  <c:v>12.3827</c:v>
                </c:pt>
                <c:pt idx="1373">
                  <c:v>12.3827</c:v>
                </c:pt>
                <c:pt idx="1374">
                  <c:v>12.3827</c:v>
                </c:pt>
                <c:pt idx="1375">
                  <c:v>7.7133000000000003</c:v>
                </c:pt>
                <c:pt idx="1376">
                  <c:v>8.5046999999999997</c:v>
                </c:pt>
                <c:pt idx="1377">
                  <c:v>3.6400000000000002E-2</c:v>
                </c:pt>
                <c:pt idx="1378">
                  <c:v>2.0941000000000001</c:v>
                </c:pt>
                <c:pt idx="1379">
                  <c:v>2.4897999999999998</c:v>
                </c:pt>
                <c:pt idx="1380">
                  <c:v>2.4897999999999998</c:v>
                </c:pt>
                <c:pt idx="1381">
                  <c:v>2.4897999999999998</c:v>
                </c:pt>
                <c:pt idx="1382">
                  <c:v>6.2095000000000002</c:v>
                </c:pt>
                <c:pt idx="1383">
                  <c:v>8.0297999999999998</c:v>
                </c:pt>
                <c:pt idx="1384">
                  <c:v>5.4180999999999999</c:v>
                </c:pt>
                <c:pt idx="1385">
                  <c:v>3.9144000000000001</c:v>
                </c:pt>
                <c:pt idx="1386">
                  <c:v>3.9144000000000001</c:v>
                </c:pt>
                <c:pt idx="1387">
                  <c:v>3.9144000000000001</c:v>
                </c:pt>
                <c:pt idx="1388">
                  <c:v>3.9144000000000001</c:v>
                </c:pt>
                <c:pt idx="1389">
                  <c:v>3.9144000000000001</c:v>
                </c:pt>
                <c:pt idx="1390">
                  <c:v>4.9432999999999998</c:v>
                </c:pt>
                <c:pt idx="1391">
                  <c:v>8.3463999999999992</c:v>
                </c:pt>
                <c:pt idx="1392">
                  <c:v>9.9292999999999996</c:v>
                </c:pt>
                <c:pt idx="1393">
                  <c:v>10.641500000000001</c:v>
                </c:pt>
                <c:pt idx="1394">
                  <c:v>10.641500000000001</c:v>
                </c:pt>
                <c:pt idx="1395">
                  <c:v>10.641500000000001</c:v>
                </c:pt>
                <c:pt idx="1396">
                  <c:v>18.793199999999999</c:v>
                </c:pt>
                <c:pt idx="1397">
                  <c:v>14.519500000000001</c:v>
                </c:pt>
                <c:pt idx="1398">
                  <c:v>14.3612</c:v>
                </c:pt>
                <c:pt idx="1399">
                  <c:v>14.3612</c:v>
                </c:pt>
                <c:pt idx="1400">
                  <c:v>15.865</c:v>
                </c:pt>
                <c:pt idx="1401">
                  <c:v>15.865</c:v>
                </c:pt>
                <c:pt idx="1402">
                  <c:v>15.865</c:v>
                </c:pt>
                <c:pt idx="1403">
                  <c:v>16.023199999999999</c:v>
                </c:pt>
                <c:pt idx="1404">
                  <c:v>13.174099999999999</c:v>
                </c:pt>
                <c:pt idx="1405">
                  <c:v>12.224399999999999</c:v>
                </c:pt>
                <c:pt idx="1406">
                  <c:v>15.7858</c:v>
                </c:pt>
                <c:pt idx="1407">
                  <c:v>18.2392</c:v>
                </c:pt>
                <c:pt idx="1408">
                  <c:v>18.2392</c:v>
                </c:pt>
                <c:pt idx="1409">
                  <c:v>18.2392</c:v>
                </c:pt>
                <c:pt idx="1410">
                  <c:v>23.8584</c:v>
                </c:pt>
                <c:pt idx="1411">
                  <c:v>26.549199999999999</c:v>
                </c:pt>
                <c:pt idx="1412">
                  <c:v>26.390899999999998</c:v>
                </c:pt>
                <c:pt idx="1413">
                  <c:v>26.7867</c:v>
                </c:pt>
                <c:pt idx="1414">
                  <c:v>25.700199999999999</c:v>
                </c:pt>
                <c:pt idx="1415">
                  <c:v>25.700199999999999</c:v>
                </c:pt>
                <c:pt idx="1416">
                  <c:v>25.700199999999999</c:v>
                </c:pt>
                <c:pt idx="1417">
                  <c:v>28.2075</c:v>
                </c:pt>
                <c:pt idx="1418">
                  <c:v>28.959700000000002</c:v>
                </c:pt>
                <c:pt idx="1419">
                  <c:v>27.956700000000001</c:v>
                </c:pt>
                <c:pt idx="1420">
                  <c:v>26.034500000000001</c:v>
                </c:pt>
                <c:pt idx="1421">
                  <c:v>26.619499999999999</c:v>
                </c:pt>
                <c:pt idx="1422">
                  <c:v>26.619499999999999</c:v>
                </c:pt>
                <c:pt idx="1423">
                  <c:v>26.619499999999999</c:v>
                </c:pt>
                <c:pt idx="1424">
                  <c:v>29.544699999999999</c:v>
                </c:pt>
                <c:pt idx="1425">
                  <c:v>29.544699999999999</c:v>
                </c:pt>
                <c:pt idx="1426">
                  <c:v>30.296900000000001</c:v>
                </c:pt>
                <c:pt idx="1427">
                  <c:v>30.464099999999998</c:v>
                </c:pt>
                <c:pt idx="1428">
                  <c:v>30.046199999999999</c:v>
                </c:pt>
                <c:pt idx="1429">
                  <c:v>30.046199999999999</c:v>
                </c:pt>
                <c:pt idx="1430">
                  <c:v>30.046199999999999</c:v>
                </c:pt>
                <c:pt idx="1431">
                  <c:v>25.533000000000001</c:v>
                </c:pt>
                <c:pt idx="1432">
                  <c:v>26.2852</c:v>
                </c:pt>
                <c:pt idx="1433">
                  <c:v>25.449400000000001</c:v>
                </c:pt>
                <c:pt idx="1434">
                  <c:v>22.774899999999999</c:v>
                </c:pt>
                <c:pt idx="1435">
                  <c:v>22.0228</c:v>
                </c:pt>
                <c:pt idx="1436">
                  <c:v>22.0228</c:v>
                </c:pt>
                <c:pt idx="1437">
                  <c:v>22.0228</c:v>
                </c:pt>
                <c:pt idx="1438">
                  <c:v>22.0228</c:v>
                </c:pt>
                <c:pt idx="1439">
                  <c:v>23.610700000000001</c:v>
                </c:pt>
                <c:pt idx="1440">
                  <c:v>21.688400000000001</c:v>
                </c:pt>
                <c:pt idx="1441">
                  <c:v>20.351199999999999</c:v>
                </c:pt>
                <c:pt idx="1442">
                  <c:v>18.512499999999999</c:v>
                </c:pt>
                <c:pt idx="1443">
                  <c:v>18.512499999999999</c:v>
                </c:pt>
                <c:pt idx="1444">
                  <c:v>18.512499999999999</c:v>
                </c:pt>
                <c:pt idx="1445">
                  <c:v>19.0975</c:v>
                </c:pt>
                <c:pt idx="1446">
                  <c:v>16.924499999999998</c:v>
                </c:pt>
                <c:pt idx="1447">
                  <c:v>16.1723</c:v>
                </c:pt>
                <c:pt idx="1448">
                  <c:v>13.8322</c:v>
                </c:pt>
                <c:pt idx="1449">
                  <c:v>13.915800000000001</c:v>
                </c:pt>
                <c:pt idx="1450">
                  <c:v>13.915800000000001</c:v>
                </c:pt>
                <c:pt idx="1451">
                  <c:v>13.915800000000001</c:v>
                </c:pt>
                <c:pt idx="1452">
                  <c:v>13.4979</c:v>
                </c:pt>
                <c:pt idx="1453">
                  <c:v>15.837999999999999</c:v>
                </c:pt>
                <c:pt idx="1454">
                  <c:v>15.085800000000001</c:v>
                </c:pt>
                <c:pt idx="1455">
                  <c:v>10.1548</c:v>
                </c:pt>
                <c:pt idx="1456">
                  <c:v>14.2501</c:v>
                </c:pt>
                <c:pt idx="1457">
                  <c:v>14.2501</c:v>
                </c:pt>
                <c:pt idx="1458">
                  <c:v>14.2501</c:v>
                </c:pt>
                <c:pt idx="1459">
                  <c:v>15.0023</c:v>
                </c:pt>
                <c:pt idx="1460">
                  <c:v>15.837999999999999</c:v>
                </c:pt>
                <c:pt idx="1461">
                  <c:v>18.6797</c:v>
                </c:pt>
                <c:pt idx="1462">
                  <c:v>18.345400000000001</c:v>
                </c:pt>
                <c:pt idx="1463">
                  <c:v>17.425999999999998</c:v>
                </c:pt>
                <c:pt idx="1464">
                  <c:v>17.425999999999998</c:v>
                </c:pt>
                <c:pt idx="1465">
                  <c:v>17.425999999999998</c:v>
                </c:pt>
                <c:pt idx="1466">
                  <c:v>20.184100000000001</c:v>
                </c:pt>
                <c:pt idx="1467">
                  <c:v>23.192799999999998</c:v>
                </c:pt>
                <c:pt idx="1468">
                  <c:v>26.703099999999999</c:v>
                </c:pt>
                <c:pt idx="1469">
                  <c:v>28.876100000000001</c:v>
                </c:pt>
                <c:pt idx="1470">
                  <c:v>25.198699999999999</c:v>
                </c:pt>
                <c:pt idx="1471">
                  <c:v>25.198699999999999</c:v>
                </c:pt>
                <c:pt idx="1472">
                  <c:v>25.198699999999999</c:v>
                </c:pt>
                <c:pt idx="1473">
                  <c:v>22.5242</c:v>
                </c:pt>
                <c:pt idx="1474">
                  <c:v>25.3658</c:v>
                </c:pt>
                <c:pt idx="1475">
                  <c:v>23.610700000000001</c:v>
                </c:pt>
                <c:pt idx="1476">
                  <c:v>23.36</c:v>
                </c:pt>
                <c:pt idx="1477">
                  <c:v>23.025700000000001</c:v>
                </c:pt>
                <c:pt idx="1478">
                  <c:v>23.025700000000001</c:v>
                </c:pt>
                <c:pt idx="1479">
                  <c:v>23.025700000000001</c:v>
                </c:pt>
                <c:pt idx="1480">
                  <c:v>26.034500000000001</c:v>
                </c:pt>
                <c:pt idx="1481">
                  <c:v>26.7867</c:v>
                </c:pt>
                <c:pt idx="1482">
                  <c:v>36.4816</c:v>
                </c:pt>
                <c:pt idx="1483">
                  <c:v>37.818800000000003</c:v>
                </c:pt>
                <c:pt idx="1484">
                  <c:v>32.135599999999997</c:v>
                </c:pt>
                <c:pt idx="1485">
                  <c:v>32.135599999999997</c:v>
                </c:pt>
                <c:pt idx="1486">
                  <c:v>32.135599999999997</c:v>
                </c:pt>
                <c:pt idx="1487">
                  <c:v>25.700199999999999</c:v>
                </c:pt>
                <c:pt idx="1488">
                  <c:v>27.455300000000001</c:v>
                </c:pt>
                <c:pt idx="1489">
                  <c:v>25.533000000000001</c:v>
                </c:pt>
                <c:pt idx="1490">
                  <c:v>25.950900000000001</c:v>
                </c:pt>
                <c:pt idx="1491">
                  <c:v>22.9421</c:v>
                </c:pt>
                <c:pt idx="1492">
                  <c:v>22.9421</c:v>
                </c:pt>
                <c:pt idx="1493">
                  <c:v>22.9421</c:v>
                </c:pt>
                <c:pt idx="1494">
                  <c:v>22.5242</c:v>
                </c:pt>
                <c:pt idx="1495">
                  <c:v>24.028600000000001</c:v>
                </c:pt>
                <c:pt idx="1496">
                  <c:v>24.3629</c:v>
                </c:pt>
                <c:pt idx="1497">
                  <c:v>29.544699999999999</c:v>
                </c:pt>
                <c:pt idx="1498">
                  <c:v>33.222099999999998</c:v>
                </c:pt>
                <c:pt idx="1499">
                  <c:v>33.222099999999998</c:v>
                </c:pt>
                <c:pt idx="1500">
                  <c:v>33.222099999999998</c:v>
                </c:pt>
                <c:pt idx="1501">
                  <c:v>31.884899999999998</c:v>
                </c:pt>
                <c:pt idx="1502">
                  <c:v>32.5535</c:v>
                </c:pt>
                <c:pt idx="1503">
                  <c:v>33.138500000000001</c:v>
                </c:pt>
                <c:pt idx="1504">
                  <c:v>33.64</c:v>
                </c:pt>
                <c:pt idx="1505">
                  <c:v>32.720599999999997</c:v>
                </c:pt>
                <c:pt idx="1506">
                  <c:v>32.720599999999997</c:v>
                </c:pt>
                <c:pt idx="1507">
                  <c:v>32.720599999999997</c:v>
                </c:pt>
                <c:pt idx="1508">
                  <c:v>30.547599999999999</c:v>
                </c:pt>
                <c:pt idx="1509">
                  <c:v>33.723599999999998</c:v>
                </c:pt>
                <c:pt idx="1510">
                  <c:v>31.968399999999999</c:v>
                </c:pt>
                <c:pt idx="1511">
                  <c:v>31.216200000000001</c:v>
                </c:pt>
                <c:pt idx="1512">
                  <c:v>36.648800000000001</c:v>
                </c:pt>
                <c:pt idx="1513">
                  <c:v>36.648800000000001</c:v>
                </c:pt>
                <c:pt idx="1514">
                  <c:v>36.648800000000001</c:v>
                </c:pt>
                <c:pt idx="1515">
                  <c:v>35.478700000000003</c:v>
                </c:pt>
                <c:pt idx="1516">
                  <c:v>34.225000000000001</c:v>
                </c:pt>
                <c:pt idx="1517">
                  <c:v>32.887799999999999</c:v>
                </c:pt>
                <c:pt idx="1518">
                  <c:v>32.469900000000003</c:v>
                </c:pt>
                <c:pt idx="1519">
                  <c:v>32.052</c:v>
                </c:pt>
                <c:pt idx="1520">
                  <c:v>32.052</c:v>
                </c:pt>
                <c:pt idx="1521">
                  <c:v>32.052</c:v>
                </c:pt>
                <c:pt idx="1522">
                  <c:v>31.383400000000002</c:v>
                </c:pt>
                <c:pt idx="1523">
                  <c:v>26.953800000000001</c:v>
                </c:pt>
                <c:pt idx="1524">
                  <c:v>24.948</c:v>
                </c:pt>
                <c:pt idx="1525">
                  <c:v>24.4465</c:v>
                </c:pt>
                <c:pt idx="1526">
                  <c:v>26.3688</c:v>
                </c:pt>
                <c:pt idx="1527">
                  <c:v>26.3688</c:v>
                </c:pt>
                <c:pt idx="1528">
                  <c:v>26.3688</c:v>
                </c:pt>
                <c:pt idx="1529">
                  <c:v>29.126799999999999</c:v>
                </c:pt>
                <c:pt idx="1530">
                  <c:v>28.7089</c:v>
                </c:pt>
                <c:pt idx="1531">
                  <c:v>26.452300000000001</c:v>
                </c:pt>
                <c:pt idx="1532">
                  <c:v>27.7896</c:v>
                </c:pt>
                <c:pt idx="1533">
                  <c:v>27.2881</c:v>
                </c:pt>
                <c:pt idx="1534">
                  <c:v>27.2881</c:v>
                </c:pt>
                <c:pt idx="1535">
                  <c:v>27.2881</c:v>
                </c:pt>
                <c:pt idx="1536">
                  <c:v>28.040299999999998</c:v>
                </c:pt>
                <c:pt idx="1537">
                  <c:v>27.204499999999999</c:v>
                </c:pt>
                <c:pt idx="1538">
                  <c:v>27.120999999999999</c:v>
                </c:pt>
                <c:pt idx="1539">
                  <c:v>27.120999999999999</c:v>
                </c:pt>
                <c:pt idx="1540">
                  <c:v>24.8644</c:v>
                </c:pt>
                <c:pt idx="1541">
                  <c:v>24.8644</c:v>
                </c:pt>
                <c:pt idx="1542">
                  <c:v>24.8644</c:v>
                </c:pt>
                <c:pt idx="1543">
                  <c:v>22.9421</c:v>
                </c:pt>
                <c:pt idx="1544">
                  <c:v>24.530100000000001</c:v>
                </c:pt>
                <c:pt idx="1545">
                  <c:v>21.4377</c:v>
                </c:pt>
                <c:pt idx="1546">
                  <c:v>18.010999999999999</c:v>
                </c:pt>
                <c:pt idx="1547">
                  <c:v>15.0023</c:v>
                </c:pt>
                <c:pt idx="1548">
                  <c:v>15.0023</c:v>
                </c:pt>
                <c:pt idx="1549">
                  <c:v>15.0023</c:v>
                </c:pt>
                <c:pt idx="1550">
                  <c:v>15.085800000000001</c:v>
                </c:pt>
                <c:pt idx="1551">
                  <c:v>13.9993</c:v>
                </c:pt>
                <c:pt idx="1552">
                  <c:v>14.2501</c:v>
                </c:pt>
                <c:pt idx="1553">
                  <c:v>15.0023</c:v>
                </c:pt>
                <c:pt idx="1554">
                  <c:v>17.342400000000001</c:v>
                </c:pt>
                <c:pt idx="1555">
                  <c:v>17.342400000000001</c:v>
                </c:pt>
                <c:pt idx="1556">
                  <c:v>17.342400000000001</c:v>
                </c:pt>
                <c:pt idx="1557">
                  <c:v>16.6738</c:v>
                </c:pt>
                <c:pt idx="1558">
                  <c:v>13.163600000000001</c:v>
                </c:pt>
                <c:pt idx="1559">
                  <c:v>11.993499999999999</c:v>
                </c:pt>
                <c:pt idx="1560">
                  <c:v>11.5756</c:v>
                </c:pt>
                <c:pt idx="1561">
                  <c:v>9.6532999999999998</c:v>
                </c:pt>
                <c:pt idx="1562">
                  <c:v>9.6532999999999998</c:v>
                </c:pt>
                <c:pt idx="1563">
                  <c:v>9.6532999999999998</c:v>
                </c:pt>
                <c:pt idx="1564">
                  <c:v>10.990600000000001</c:v>
                </c:pt>
                <c:pt idx="1565">
                  <c:v>9.3190000000000008</c:v>
                </c:pt>
                <c:pt idx="1566">
                  <c:v>9.4862000000000002</c:v>
                </c:pt>
                <c:pt idx="1567">
                  <c:v>11.0741</c:v>
                </c:pt>
                <c:pt idx="1568">
                  <c:v>8.1488999999999994</c:v>
                </c:pt>
                <c:pt idx="1569">
                  <c:v>8.1488999999999994</c:v>
                </c:pt>
                <c:pt idx="1570">
                  <c:v>8.1488999999999994</c:v>
                </c:pt>
                <c:pt idx="1571">
                  <c:v>9.8204999999999991</c:v>
                </c:pt>
                <c:pt idx="1572">
                  <c:v>9.5696999999999992</c:v>
                </c:pt>
                <c:pt idx="1573">
                  <c:v>9.4862000000000002</c:v>
                </c:pt>
                <c:pt idx="1574">
                  <c:v>9.8204999999999991</c:v>
                </c:pt>
                <c:pt idx="1575">
                  <c:v>10.6562</c:v>
                </c:pt>
                <c:pt idx="1576">
                  <c:v>10.6562</c:v>
                </c:pt>
                <c:pt idx="1577">
                  <c:v>10.6562</c:v>
                </c:pt>
                <c:pt idx="1578">
                  <c:v>11.993499999999999</c:v>
                </c:pt>
                <c:pt idx="1579">
                  <c:v>12.4114</c:v>
                </c:pt>
                <c:pt idx="1580">
                  <c:v>15.5037</c:v>
                </c:pt>
                <c:pt idx="1581">
                  <c:v>16.590199999999999</c:v>
                </c:pt>
                <c:pt idx="1582">
                  <c:v>16.339500000000001</c:v>
                </c:pt>
                <c:pt idx="1583">
                  <c:v>16.339500000000001</c:v>
                </c:pt>
                <c:pt idx="1584">
                  <c:v>16.339500000000001</c:v>
                </c:pt>
                <c:pt idx="1585">
                  <c:v>15.9216</c:v>
                </c:pt>
                <c:pt idx="1586">
                  <c:v>13.664999999999999</c:v>
                </c:pt>
                <c:pt idx="1587">
                  <c:v>17.342400000000001</c:v>
                </c:pt>
                <c:pt idx="1588">
                  <c:v>15.7545</c:v>
                </c:pt>
                <c:pt idx="1589">
                  <c:v>15.587300000000001</c:v>
                </c:pt>
                <c:pt idx="1590">
                  <c:v>15.587300000000001</c:v>
                </c:pt>
                <c:pt idx="1591">
                  <c:v>15.587300000000001</c:v>
                </c:pt>
                <c:pt idx="1592">
                  <c:v>16.924499999999998</c:v>
                </c:pt>
                <c:pt idx="1593">
                  <c:v>18.512499999999999</c:v>
                </c:pt>
                <c:pt idx="1594">
                  <c:v>21.187000000000001</c:v>
                </c:pt>
                <c:pt idx="1595">
                  <c:v>21.187000000000001</c:v>
                </c:pt>
                <c:pt idx="1596">
                  <c:v>18.6797</c:v>
                </c:pt>
                <c:pt idx="1597">
                  <c:v>18.6797</c:v>
                </c:pt>
                <c:pt idx="1598">
                  <c:v>18.6797</c:v>
                </c:pt>
                <c:pt idx="1599">
                  <c:v>17.091699999999999</c:v>
                </c:pt>
                <c:pt idx="1600">
                  <c:v>15.336600000000001</c:v>
                </c:pt>
                <c:pt idx="1601">
                  <c:v>19.431899999999999</c:v>
                </c:pt>
                <c:pt idx="1602">
                  <c:v>16.1723</c:v>
                </c:pt>
                <c:pt idx="1603">
                  <c:v>18.930399999999999</c:v>
                </c:pt>
                <c:pt idx="1604">
                  <c:v>18.930399999999999</c:v>
                </c:pt>
                <c:pt idx="1605">
                  <c:v>18.930399999999999</c:v>
                </c:pt>
                <c:pt idx="1606">
                  <c:v>20.936199999999999</c:v>
                </c:pt>
                <c:pt idx="1607">
                  <c:v>23.276399999999999</c:v>
                </c:pt>
                <c:pt idx="1608">
                  <c:v>22.5242</c:v>
                </c:pt>
                <c:pt idx="1609">
                  <c:v>22.858499999999999</c:v>
                </c:pt>
                <c:pt idx="1610">
                  <c:v>22.691400000000002</c:v>
                </c:pt>
                <c:pt idx="1611">
                  <c:v>22.691400000000002</c:v>
                </c:pt>
                <c:pt idx="1612">
                  <c:v>22.691400000000002</c:v>
                </c:pt>
                <c:pt idx="1613">
                  <c:v>20.685500000000001</c:v>
                </c:pt>
                <c:pt idx="1614">
                  <c:v>19.431899999999999</c:v>
                </c:pt>
                <c:pt idx="1615">
                  <c:v>17.6767</c:v>
                </c:pt>
                <c:pt idx="1616">
                  <c:v>20.936199999999999</c:v>
                </c:pt>
                <c:pt idx="1617">
                  <c:v>23.276399999999999</c:v>
                </c:pt>
                <c:pt idx="1618">
                  <c:v>23.276399999999999</c:v>
                </c:pt>
                <c:pt idx="1619">
                  <c:v>23.276399999999999</c:v>
                </c:pt>
                <c:pt idx="1620">
                  <c:v>22.0228</c:v>
                </c:pt>
                <c:pt idx="1621">
                  <c:v>19.933299999999999</c:v>
                </c:pt>
                <c:pt idx="1622">
                  <c:v>21.103400000000001</c:v>
                </c:pt>
                <c:pt idx="1623">
                  <c:v>25.449400000000001</c:v>
                </c:pt>
                <c:pt idx="1624">
                  <c:v>27.706</c:v>
                </c:pt>
                <c:pt idx="1625">
                  <c:v>27.706</c:v>
                </c:pt>
                <c:pt idx="1626">
                  <c:v>27.706</c:v>
                </c:pt>
                <c:pt idx="1627">
                  <c:v>27.538799999999998</c:v>
                </c:pt>
                <c:pt idx="1628">
                  <c:v>26.535900000000002</c:v>
                </c:pt>
                <c:pt idx="1629">
                  <c:v>26.2852</c:v>
                </c:pt>
                <c:pt idx="1630">
                  <c:v>27.538799999999998</c:v>
                </c:pt>
                <c:pt idx="1631">
                  <c:v>26.953800000000001</c:v>
                </c:pt>
                <c:pt idx="1632">
                  <c:v>26.953800000000001</c:v>
                </c:pt>
                <c:pt idx="1633">
                  <c:v>26.953800000000001</c:v>
                </c:pt>
                <c:pt idx="1634">
                  <c:v>25.449400000000001</c:v>
                </c:pt>
                <c:pt idx="1635">
                  <c:v>25.198699999999999</c:v>
                </c:pt>
                <c:pt idx="1636">
                  <c:v>25.198699999999999</c:v>
                </c:pt>
                <c:pt idx="1637">
                  <c:v>25.198699999999999</c:v>
                </c:pt>
                <c:pt idx="1638">
                  <c:v>25.198699999999999</c:v>
                </c:pt>
                <c:pt idx="1639">
                  <c:v>25.198699999999999</c:v>
                </c:pt>
                <c:pt idx="1640">
                  <c:v>25.198699999999999</c:v>
                </c:pt>
                <c:pt idx="1641">
                  <c:v>27.371700000000001</c:v>
                </c:pt>
                <c:pt idx="1642">
                  <c:v>27.455300000000001</c:v>
                </c:pt>
                <c:pt idx="1643">
                  <c:v>27.455300000000001</c:v>
                </c:pt>
                <c:pt idx="1644">
                  <c:v>27.455300000000001</c:v>
                </c:pt>
                <c:pt idx="1645">
                  <c:v>31.1327</c:v>
                </c:pt>
                <c:pt idx="1646">
                  <c:v>31.1327</c:v>
                </c:pt>
                <c:pt idx="1647">
                  <c:v>31.1327</c:v>
                </c:pt>
                <c:pt idx="1648">
                  <c:v>28.876100000000001</c:v>
                </c:pt>
                <c:pt idx="1649">
                  <c:v>32.804200000000002</c:v>
                </c:pt>
                <c:pt idx="1650">
                  <c:v>34.726500000000001</c:v>
                </c:pt>
                <c:pt idx="1651">
                  <c:v>32.386299999999999</c:v>
                </c:pt>
                <c:pt idx="1652">
                  <c:v>31.717700000000001</c:v>
                </c:pt>
                <c:pt idx="1653">
                  <c:v>31.717700000000001</c:v>
                </c:pt>
                <c:pt idx="1654">
                  <c:v>31.717700000000001</c:v>
                </c:pt>
                <c:pt idx="1655">
                  <c:v>31.299800000000001</c:v>
                </c:pt>
                <c:pt idx="1656">
                  <c:v>29.043199999999999</c:v>
                </c:pt>
                <c:pt idx="1657">
                  <c:v>28.7089</c:v>
                </c:pt>
                <c:pt idx="1658">
                  <c:v>30.798400000000001</c:v>
                </c:pt>
                <c:pt idx="1659">
                  <c:v>29.7119</c:v>
                </c:pt>
                <c:pt idx="1660">
                  <c:v>29.7119</c:v>
                </c:pt>
                <c:pt idx="1661">
                  <c:v>29.7119</c:v>
                </c:pt>
                <c:pt idx="1662">
                  <c:v>26.703099999999999</c:v>
                </c:pt>
                <c:pt idx="1663">
                  <c:v>23.36</c:v>
                </c:pt>
                <c:pt idx="1664">
                  <c:v>30.881900000000002</c:v>
                </c:pt>
                <c:pt idx="1665">
                  <c:v>31.299800000000001</c:v>
                </c:pt>
                <c:pt idx="1666">
                  <c:v>31.1327</c:v>
                </c:pt>
                <c:pt idx="1667">
                  <c:v>31.1327</c:v>
                </c:pt>
                <c:pt idx="1668">
                  <c:v>31.1327</c:v>
                </c:pt>
                <c:pt idx="1669">
                  <c:v>30.380500000000001</c:v>
                </c:pt>
                <c:pt idx="1670">
                  <c:v>32.386299999999999</c:v>
                </c:pt>
                <c:pt idx="1671">
                  <c:v>36.565199999999997</c:v>
                </c:pt>
                <c:pt idx="1672">
                  <c:v>35.645800000000001</c:v>
                </c:pt>
                <c:pt idx="1673">
                  <c:v>37.651699999999998</c:v>
                </c:pt>
                <c:pt idx="1674">
                  <c:v>37.651699999999998</c:v>
                </c:pt>
                <c:pt idx="1675">
                  <c:v>37.651699999999998</c:v>
                </c:pt>
                <c:pt idx="1676">
                  <c:v>38.821800000000003</c:v>
                </c:pt>
                <c:pt idx="1677">
                  <c:v>46.845199999999998</c:v>
                </c:pt>
                <c:pt idx="1678">
                  <c:v>51.943399999999997</c:v>
                </c:pt>
                <c:pt idx="1679">
                  <c:v>50.439</c:v>
                </c:pt>
                <c:pt idx="1680">
                  <c:v>51.191200000000002</c:v>
                </c:pt>
                <c:pt idx="1681">
                  <c:v>51.191200000000002</c:v>
                </c:pt>
                <c:pt idx="1682">
                  <c:v>51.191200000000002</c:v>
                </c:pt>
                <c:pt idx="1683">
                  <c:v>50.355400000000003</c:v>
                </c:pt>
                <c:pt idx="1684">
                  <c:v>51.191200000000002</c:v>
                </c:pt>
                <c:pt idx="1685">
                  <c:v>53.7821</c:v>
                </c:pt>
                <c:pt idx="1686">
                  <c:v>51.692700000000002</c:v>
                </c:pt>
                <c:pt idx="1687">
                  <c:v>52.3613</c:v>
                </c:pt>
                <c:pt idx="1688">
                  <c:v>52.3613</c:v>
                </c:pt>
                <c:pt idx="1689">
                  <c:v>52.3613</c:v>
                </c:pt>
                <c:pt idx="1690">
                  <c:v>51.024000000000001</c:v>
                </c:pt>
                <c:pt idx="1691">
                  <c:v>50.773299999999999</c:v>
                </c:pt>
                <c:pt idx="1692">
                  <c:v>53.698500000000003</c:v>
                </c:pt>
                <c:pt idx="1693">
                  <c:v>52.444899999999997</c:v>
                </c:pt>
                <c:pt idx="1694">
                  <c:v>54.784999999999997</c:v>
                </c:pt>
                <c:pt idx="1695">
                  <c:v>54.784999999999997</c:v>
                </c:pt>
                <c:pt idx="1696">
                  <c:v>54.784999999999997</c:v>
                </c:pt>
                <c:pt idx="1697">
                  <c:v>52.444899999999997</c:v>
                </c:pt>
                <c:pt idx="1698">
                  <c:v>52.862699999999997</c:v>
                </c:pt>
                <c:pt idx="1699">
                  <c:v>51.441899999999997</c:v>
                </c:pt>
                <c:pt idx="1700">
                  <c:v>49.686799999999998</c:v>
                </c:pt>
                <c:pt idx="1701">
                  <c:v>50.606200000000001</c:v>
                </c:pt>
                <c:pt idx="1702">
                  <c:v>50.606200000000001</c:v>
                </c:pt>
                <c:pt idx="1703">
                  <c:v>50.606200000000001</c:v>
                </c:pt>
                <c:pt idx="1704">
                  <c:v>44.672199999999997</c:v>
                </c:pt>
                <c:pt idx="1705">
                  <c:v>37.233800000000002</c:v>
                </c:pt>
                <c:pt idx="1706">
                  <c:v>32.887799999999999</c:v>
                </c:pt>
                <c:pt idx="1707">
                  <c:v>31.049099999999999</c:v>
                </c:pt>
                <c:pt idx="1708">
                  <c:v>31.216200000000001</c:v>
                </c:pt>
                <c:pt idx="1709">
                  <c:v>31.216200000000001</c:v>
                </c:pt>
                <c:pt idx="1710">
                  <c:v>31.216200000000001</c:v>
                </c:pt>
                <c:pt idx="1711">
                  <c:v>26.452300000000001</c:v>
                </c:pt>
                <c:pt idx="1712">
                  <c:v>32.469900000000003</c:v>
                </c:pt>
                <c:pt idx="1713">
                  <c:v>32.804200000000002</c:v>
                </c:pt>
                <c:pt idx="1714">
                  <c:v>31.717700000000001</c:v>
                </c:pt>
                <c:pt idx="1715">
                  <c:v>29.126799999999999</c:v>
                </c:pt>
                <c:pt idx="1716">
                  <c:v>29.126799999999999</c:v>
                </c:pt>
                <c:pt idx="1717">
                  <c:v>29.126799999999999</c:v>
                </c:pt>
                <c:pt idx="1718">
                  <c:v>26.619499999999999</c:v>
                </c:pt>
                <c:pt idx="1719">
                  <c:v>27.120999999999999</c:v>
                </c:pt>
                <c:pt idx="1720">
                  <c:v>26.2852</c:v>
                </c:pt>
                <c:pt idx="1721">
                  <c:v>21.604900000000001</c:v>
                </c:pt>
                <c:pt idx="1722">
                  <c:v>21.187000000000001</c:v>
                </c:pt>
                <c:pt idx="1723">
                  <c:v>21.187000000000001</c:v>
                </c:pt>
                <c:pt idx="1724">
                  <c:v>21.187000000000001</c:v>
                </c:pt>
                <c:pt idx="1725">
                  <c:v>25.198699999999999</c:v>
                </c:pt>
                <c:pt idx="1726">
                  <c:v>27.2881</c:v>
                </c:pt>
                <c:pt idx="1727">
                  <c:v>30.2133</c:v>
                </c:pt>
                <c:pt idx="1728">
                  <c:v>27.873200000000001</c:v>
                </c:pt>
                <c:pt idx="1729">
                  <c:v>27.037400000000002</c:v>
                </c:pt>
                <c:pt idx="1730">
                  <c:v>27.037400000000002</c:v>
                </c:pt>
                <c:pt idx="1731">
                  <c:v>27.037400000000002</c:v>
                </c:pt>
                <c:pt idx="1732">
                  <c:v>25.3658</c:v>
                </c:pt>
                <c:pt idx="1733">
                  <c:v>28.7925</c:v>
                </c:pt>
                <c:pt idx="1734">
                  <c:v>32.5535</c:v>
                </c:pt>
                <c:pt idx="1735">
                  <c:v>31.717700000000001</c:v>
                </c:pt>
                <c:pt idx="1736">
                  <c:v>31.717700000000001</c:v>
                </c:pt>
                <c:pt idx="1737">
                  <c:v>31.717700000000001</c:v>
                </c:pt>
                <c:pt idx="1738">
                  <c:v>31.717700000000001</c:v>
                </c:pt>
                <c:pt idx="1739">
                  <c:v>31.717700000000001</c:v>
                </c:pt>
                <c:pt idx="1740">
                  <c:v>27.873200000000001</c:v>
                </c:pt>
                <c:pt idx="1741">
                  <c:v>39.741100000000003</c:v>
                </c:pt>
                <c:pt idx="1742">
                  <c:v>36.899500000000003</c:v>
                </c:pt>
                <c:pt idx="1743">
                  <c:v>39.156100000000002</c:v>
                </c:pt>
                <c:pt idx="1744">
                  <c:v>39.156100000000002</c:v>
                </c:pt>
                <c:pt idx="1745">
                  <c:v>39.156100000000002</c:v>
                </c:pt>
                <c:pt idx="1746">
                  <c:v>38.236699999999999</c:v>
                </c:pt>
                <c:pt idx="1747">
                  <c:v>35.645800000000001</c:v>
                </c:pt>
                <c:pt idx="1748">
                  <c:v>33.305700000000002</c:v>
                </c:pt>
                <c:pt idx="1749">
                  <c:v>30.965499999999999</c:v>
                </c:pt>
                <c:pt idx="1750">
                  <c:v>36.230899999999998</c:v>
                </c:pt>
                <c:pt idx="1751">
                  <c:v>36.230899999999998</c:v>
                </c:pt>
                <c:pt idx="1752">
                  <c:v>36.230899999999998</c:v>
                </c:pt>
                <c:pt idx="1753">
                  <c:v>34.392200000000003</c:v>
                </c:pt>
                <c:pt idx="1754">
                  <c:v>33.472799999999999</c:v>
                </c:pt>
                <c:pt idx="1755">
                  <c:v>32.887799999999999</c:v>
                </c:pt>
                <c:pt idx="1756">
                  <c:v>33.974299999999999</c:v>
                </c:pt>
                <c:pt idx="1757">
                  <c:v>32.720599999999997</c:v>
                </c:pt>
                <c:pt idx="1758">
                  <c:v>32.720599999999997</c:v>
                </c:pt>
                <c:pt idx="1759">
                  <c:v>32.720599999999997</c:v>
                </c:pt>
                <c:pt idx="1760">
                  <c:v>31.1327</c:v>
                </c:pt>
                <c:pt idx="1761">
                  <c:v>28.625399999999999</c:v>
                </c:pt>
                <c:pt idx="1762">
                  <c:v>30.296900000000001</c:v>
                </c:pt>
                <c:pt idx="1763">
                  <c:v>34.893599999999999</c:v>
                </c:pt>
                <c:pt idx="1764">
                  <c:v>34.893599999999999</c:v>
                </c:pt>
                <c:pt idx="1765">
                  <c:v>34.893599999999999</c:v>
                </c:pt>
                <c:pt idx="1766">
                  <c:v>34.893599999999999</c:v>
                </c:pt>
                <c:pt idx="1767">
                  <c:v>32.052</c:v>
                </c:pt>
                <c:pt idx="1768">
                  <c:v>36.230899999999998</c:v>
                </c:pt>
                <c:pt idx="1769">
                  <c:v>39.490400000000001</c:v>
                </c:pt>
                <c:pt idx="1770">
                  <c:v>39.072499999999998</c:v>
                </c:pt>
                <c:pt idx="1771">
                  <c:v>37.9024</c:v>
                </c:pt>
                <c:pt idx="1772">
                  <c:v>37.9024</c:v>
                </c:pt>
                <c:pt idx="1773">
                  <c:v>37.9024</c:v>
                </c:pt>
                <c:pt idx="1774">
                  <c:v>40.242600000000003</c:v>
                </c:pt>
                <c:pt idx="1775">
                  <c:v>35.478700000000003</c:v>
                </c:pt>
                <c:pt idx="1776">
                  <c:v>36.398000000000003</c:v>
                </c:pt>
                <c:pt idx="1777">
                  <c:v>37.735300000000002</c:v>
                </c:pt>
                <c:pt idx="1778">
                  <c:v>36.398000000000003</c:v>
                </c:pt>
                <c:pt idx="1779">
                  <c:v>36.398000000000003</c:v>
                </c:pt>
                <c:pt idx="1780">
                  <c:v>36.398000000000003</c:v>
                </c:pt>
                <c:pt idx="1781">
                  <c:v>34.726500000000001</c:v>
                </c:pt>
                <c:pt idx="1782">
                  <c:v>31.717700000000001</c:v>
                </c:pt>
                <c:pt idx="1783">
                  <c:v>33.054900000000004</c:v>
                </c:pt>
                <c:pt idx="1784">
                  <c:v>33.723599999999998</c:v>
                </c:pt>
                <c:pt idx="1785">
                  <c:v>35.228000000000002</c:v>
                </c:pt>
                <c:pt idx="1786">
                  <c:v>35.228000000000002</c:v>
                </c:pt>
                <c:pt idx="1787">
                  <c:v>35.228000000000002</c:v>
                </c:pt>
                <c:pt idx="1788">
                  <c:v>41.161900000000003</c:v>
                </c:pt>
                <c:pt idx="1789">
                  <c:v>40.911200000000001</c:v>
                </c:pt>
                <c:pt idx="1790">
                  <c:v>44.0871</c:v>
                </c:pt>
                <c:pt idx="1791">
                  <c:v>43.334899999999998</c:v>
                </c:pt>
                <c:pt idx="1792">
                  <c:v>41.078400000000002</c:v>
                </c:pt>
                <c:pt idx="1793">
                  <c:v>41.078400000000002</c:v>
                </c:pt>
                <c:pt idx="1794">
                  <c:v>41.078400000000002</c:v>
                </c:pt>
                <c:pt idx="1795">
                  <c:v>40.3262</c:v>
                </c:pt>
                <c:pt idx="1796">
                  <c:v>44.505000000000003</c:v>
                </c:pt>
                <c:pt idx="1797">
                  <c:v>45.1736</c:v>
                </c:pt>
                <c:pt idx="1798">
                  <c:v>44.5886</c:v>
                </c:pt>
                <c:pt idx="1799">
                  <c:v>41.329099999999997</c:v>
                </c:pt>
                <c:pt idx="1800">
                  <c:v>41.329099999999997</c:v>
                </c:pt>
                <c:pt idx="1801">
                  <c:v>41.329099999999997</c:v>
                </c:pt>
                <c:pt idx="1802">
                  <c:v>42.415599999999998</c:v>
                </c:pt>
                <c:pt idx="1803">
                  <c:v>41.496200000000002</c:v>
                </c:pt>
                <c:pt idx="1804">
                  <c:v>36.732300000000002</c:v>
                </c:pt>
                <c:pt idx="1805">
                  <c:v>37.985999999999997</c:v>
                </c:pt>
                <c:pt idx="1806">
                  <c:v>41.914099999999998</c:v>
                </c:pt>
                <c:pt idx="1807">
                  <c:v>41.914099999999998</c:v>
                </c:pt>
                <c:pt idx="1808">
                  <c:v>41.914099999999998</c:v>
                </c:pt>
                <c:pt idx="1809">
                  <c:v>44.0871</c:v>
                </c:pt>
                <c:pt idx="1810">
                  <c:v>45.842300000000002</c:v>
                </c:pt>
                <c:pt idx="1811">
                  <c:v>45.549700000000001</c:v>
                </c:pt>
                <c:pt idx="1812">
                  <c:v>45.635599999999997</c:v>
                </c:pt>
                <c:pt idx="1813">
                  <c:v>42.286700000000003</c:v>
                </c:pt>
                <c:pt idx="1814">
                  <c:v>42.286700000000003</c:v>
                </c:pt>
                <c:pt idx="1815">
                  <c:v>42.286700000000003</c:v>
                </c:pt>
                <c:pt idx="1816">
                  <c:v>41.943199999999997</c:v>
                </c:pt>
                <c:pt idx="1817">
                  <c:v>38.164900000000003</c:v>
                </c:pt>
                <c:pt idx="1818">
                  <c:v>35.502899999999997</c:v>
                </c:pt>
                <c:pt idx="1819">
                  <c:v>39.796399999999998</c:v>
                </c:pt>
                <c:pt idx="1820">
                  <c:v>37.134500000000003</c:v>
                </c:pt>
                <c:pt idx="1821">
                  <c:v>37.134500000000003</c:v>
                </c:pt>
                <c:pt idx="1822">
                  <c:v>37.134500000000003</c:v>
                </c:pt>
                <c:pt idx="1823">
                  <c:v>36.876899999999999</c:v>
                </c:pt>
                <c:pt idx="1824">
                  <c:v>42.458399999999997</c:v>
                </c:pt>
                <c:pt idx="1825">
                  <c:v>43.231299999999997</c:v>
                </c:pt>
              </c:numCache>
            </c:numRef>
          </c:val>
          <c:smooth val="0"/>
          <c:extLst>
            <c:ext xmlns:c16="http://schemas.microsoft.com/office/drawing/2014/chart" uri="{C3380CC4-5D6E-409C-BE32-E72D297353CC}">
              <c16:uniqueId val="{00000000-81E7-47B7-B363-5B4CBBCE8A50}"/>
            </c:ext>
          </c:extLst>
        </c:ser>
        <c:ser>
          <c:idx val="1"/>
          <c:order val="1"/>
          <c:tx>
            <c:strRef>
              <c:f>'Calc Data'!$S$27</c:f>
              <c:strCache>
                <c:ptCount val="1"/>
                <c:pt idx="0">
                  <c:v>#NAME?</c:v>
                </c:pt>
              </c:strCache>
            </c:strRef>
          </c:tx>
          <c:spPr>
            <a:ln w="25400">
              <a:solidFill>
                <a:srgbClr val="008000"/>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[0]!BB_TRA_SEC2</c:f>
              <c:numCache>
                <c:formatCode>General</c:formatCode>
                <c:ptCount val="1826"/>
                <c:pt idx="0">
                  <c:v>0.30370000000000003</c:v>
                </c:pt>
                <c:pt idx="1">
                  <c:v>0.30370000000000003</c:v>
                </c:pt>
                <c:pt idx="2">
                  <c:v>0.30370000000000003</c:v>
                </c:pt>
                <c:pt idx="3">
                  <c:v>0.37980000000000003</c:v>
                </c:pt>
                <c:pt idx="4">
                  <c:v>-0.58530000000000004</c:v>
                </c:pt>
                <c:pt idx="5">
                  <c:v>0.57679999999999998</c:v>
                </c:pt>
                <c:pt idx="6">
                  <c:v>-1.1669</c:v>
                </c:pt>
                <c:pt idx="7">
                  <c:v>0.54620000000000002</c:v>
                </c:pt>
                <c:pt idx="8">
                  <c:v>0.54620000000000002</c:v>
                </c:pt>
                <c:pt idx="9">
                  <c:v>0.54620000000000002</c:v>
                </c:pt>
                <c:pt idx="10">
                  <c:v>1.2036</c:v>
                </c:pt>
                <c:pt idx="11">
                  <c:v>1.1980999999999999</c:v>
                </c:pt>
                <c:pt idx="12">
                  <c:v>1.1938</c:v>
                </c:pt>
                <c:pt idx="13">
                  <c:v>0.17269999999999999</c:v>
                </c:pt>
                <c:pt idx="14">
                  <c:v>-0.39989999999999998</c:v>
                </c:pt>
                <c:pt idx="15">
                  <c:v>-0.39989999999999998</c:v>
                </c:pt>
                <c:pt idx="16">
                  <c:v>-0.39989999999999998</c:v>
                </c:pt>
                <c:pt idx="17">
                  <c:v>-3.0091999999999999</c:v>
                </c:pt>
                <c:pt idx="18">
                  <c:v>-2.4767000000000001</c:v>
                </c:pt>
                <c:pt idx="19">
                  <c:v>-1.155</c:v>
                </c:pt>
                <c:pt idx="20">
                  <c:v>-0.56510000000000005</c:v>
                </c:pt>
                <c:pt idx="21">
                  <c:v>0.42670000000000002</c:v>
                </c:pt>
                <c:pt idx="22">
                  <c:v>0.42670000000000002</c:v>
                </c:pt>
                <c:pt idx="23">
                  <c:v>0.42670000000000002</c:v>
                </c:pt>
                <c:pt idx="24">
                  <c:v>0.1043</c:v>
                </c:pt>
                <c:pt idx="25">
                  <c:v>-0.53569999999999995</c:v>
                </c:pt>
                <c:pt idx="26">
                  <c:v>-0.20730000000000001</c:v>
                </c:pt>
                <c:pt idx="27">
                  <c:v>0.24199999999999999</c:v>
                </c:pt>
                <c:pt idx="28">
                  <c:v>-0.37380000000000002</c:v>
                </c:pt>
                <c:pt idx="29">
                  <c:v>-0.37380000000000002</c:v>
                </c:pt>
                <c:pt idx="30">
                  <c:v>-0.37380000000000002</c:v>
                </c:pt>
                <c:pt idx="31">
                  <c:v>-0.21779999999999999</c:v>
                </c:pt>
                <c:pt idx="32">
                  <c:v>-0.30530000000000002</c:v>
                </c:pt>
                <c:pt idx="33">
                  <c:v>0.57310000000000005</c:v>
                </c:pt>
                <c:pt idx="34">
                  <c:v>0.90980000000000005</c:v>
                </c:pt>
                <c:pt idx="35">
                  <c:v>1.0174000000000001</c:v>
                </c:pt>
                <c:pt idx="36">
                  <c:v>1.0174000000000001</c:v>
                </c:pt>
                <c:pt idx="37">
                  <c:v>1.0174000000000001</c:v>
                </c:pt>
                <c:pt idx="38">
                  <c:v>0.91459999999999997</c:v>
                </c:pt>
                <c:pt idx="39">
                  <c:v>1.0767</c:v>
                </c:pt>
                <c:pt idx="40">
                  <c:v>1.4317</c:v>
                </c:pt>
                <c:pt idx="41">
                  <c:v>2.1457999999999999</c:v>
                </c:pt>
                <c:pt idx="42">
                  <c:v>2.4016999999999999</c:v>
                </c:pt>
                <c:pt idx="43">
                  <c:v>2.4016999999999999</c:v>
                </c:pt>
                <c:pt idx="44">
                  <c:v>2.4016999999999999</c:v>
                </c:pt>
                <c:pt idx="45">
                  <c:v>2.0703</c:v>
                </c:pt>
                <c:pt idx="46">
                  <c:v>2.0461</c:v>
                </c:pt>
                <c:pt idx="47">
                  <c:v>2.3281999999999998</c:v>
                </c:pt>
                <c:pt idx="48">
                  <c:v>1.0452999999999999</c:v>
                </c:pt>
                <c:pt idx="49">
                  <c:v>1.3160000000000001</c:v>
                </c:pt>
                <c:pt idx="50">
                  <c:v>1.3160000000000001</c:v>
                </c:pt>
                <c:pt idx="51">
                  <c:v>1.3160000000000001</c:v>
                </c:pt>
                <c:pt idx="52">
                  <c:v>1.6028</c:v>
                </c:pt>
                <c:pt idx="53">
                  <c:v>1.9429000000000001</c:v>
                </c:pt>
                <c:pt idx="54">
                  <c:v>1.6532</c:v>
                </c:pt>
                <c:pt idx="55">
                  <c:v>1.2236</c:v>
                </c:pt>
                <c:pt idx="56">
                  <c:v>1.5961000000000001</c:v>
                </c:pt>
                <c:pt idx="57">
                  <c:v>1.5961000000000001</c:v>
                </c:pt>
                <c:pt idx="58">
                  <c:v>1.5961000000000001</c:v>
                </c:pt>
                <c:pt idx="59">
                  <c:v>1.8240000000000001</c:v>
                </c:pt>
                <c:pt idx="60">
                  <c:v>1.4894000000000001</c:v>
                </c:pt>
                <c:pt idx="61">
                  <c:v>1.4200999999999999</c:v>
                </c:pt>
                <c:pt idx="62">
                  <c:v>1.5246</c:v>
                </c:pt>
                <c:pt idx="63">
                  <c:v>1.1439999999999999</c:v>
                </c:pt>
                <c:pt idx="64">
                  <c:v>1.1439999999999999</c:v>
                </c:pt>
                <c:pt idx="65">
                  <c:v>1.1439999999999999</c:v>
                </c:pt>
                <c:pt idx="66">
                  <c:v>2.1112000000000002</c:v>
                </c:pt>
                <c:pt idx="67">
                  <c:v>1.5406</c:v>
                </c:pt>
                <c:pt idx="68">
                  <c:v>4.8500000000000001E-2</c:v>
                </c:pt>
                <c:pt idx="69">
                  <c:v>0.13100000000000001</c:v>
                </c:pt>
                <c:pt idx="70">
                  <c:v>4.5499999999999999E-2</c:v>
                </c:pt>
                <c:pt idx="71">
                  <c:v>4.5499999999999999E-2</c:v>
                </c:pt>
                <c:pt idx="72">
                  <c:v>4.5499999999999999E-2</c:v>
                </c:pt>
                <c:pt idx="73">
                  <c:v>0.63260000000000005</c:v>
                </c:pt>
                <c:pt idx="74">
                  <c:v>0.77090000000000003</c:v>
                </c:pt>
                <c:pt idx="75">
                  <c:v>8.5199999999999998E-2</c:v>
                </c:pt>
                <c:pt idx="76">
                  <c:v>0.31430000000000002</c:v>
                </c:pt>
                <c:pt idx="77">
                  <c:v>-0.72130000000000005</c:v>
                </c:pt>
                <c:pt idx="78">
                  <c:v>-0.72130000000000005</c:v>
                </c:pt>
                <c:pt idx="79">
                  <c:v>-0.72130000000000005</c:v>
                </c:pt>
                <c:pt idx="80">
                  <c:v>-3.0165000000000002</c:v>
                </c:pt>
                <c:pt idx="81">
                  <c:v>-1.6291</c:v>
                </c:pt>
                <c:pt idx="82">
                  <c:v>-0.61509999999999998</c:v>
                </c:pt>
                <c:pt idx="83">
                  <c:v>0.26440000000000002</c:v>
                </c:pt>
                <c:pt idx="84">
                  <c:v>-0.45479999999999998</c:v>
                </c:pt>
                <c:pt idx="85">
                  <c:v>-0.45479999999999998</c:v>
                </c:pt>
                <c:pt idx="86">
                  <c:v>-0.45479999999999998</c:v>
                </c:pt>
                <c:pt idx="87">
                  <c:v>-0.18479999999999999</c:v>
                </c:pt>
                <c:pt idx="88">
                  <c:v>-2.2698</c:v>
                </c:pt>
                <c:pt idx="89">
                  <c:v>-1.5218</c:v>
                </c:pt>
                <c:pt idx="90">
                  <c:v>-2.1920999999999999</c:v>
                </c:pt>
                <c:pt idx="91">
                  <c:v>-2.8601999999999999</c:v>
                </c:pt>
                <c:pt idx="92">
                  <c:v>-2.8601999999999999</c:v>
                </c:pt>
                <c:pt idx="93">
                  <c:v>-2.8601999999999999</c:v>
                </c:pt>
                <c:pt idx="94">
                  <c:v>-3.6286</c:v>
                </c:pt>
                <c:pt idx="95">
                  <c:v>-2.6162999999999998</c:v>
                </c:pt>
                <c:pt idx="96">
                  <c:v>-4.0338000000000003</c:v>
                </c:pt>
                <c:pt idx="97">
                  <c:v>-2.2551000000000001</c:v>
                </c:pt>
                <c:pt idx="98">
                  <c:v>-2.5417000000000001</c:v>
                </c:pt>
                <c:pt idx="99">
                  <c:v>-2.5417000000000001</c:v>
                </c:pt>
                <c:pt idx="100">
                  <c:v>-2.5417000000000001</c:v>
                </c:pt>
                <c:pt idx="101">
                  <c:v>-2.5865</c:v>
                </c:pt>
                <c:pt idx="102">
                  <c:v>-2.9215</c:v>
                </c:pt>
                <c:pt idx="103">
                  <c:v>-2.2645</c:v>
                </c:pt>
                <c:pt idx="104">
                  <c:v>-0.8972</c:v>
                </c:pt>
                <c:pt idx="105">
                  <c:v>-9.8400000000000001E-2</c:v>
                </c:pt>
                <c:pt idx="106">
                  <c:v>-9.8400000000000001E-2</c:v>
                </c:pt>
                <c:pt idx="107">
                  <c:v>-9.8400000000000001E-2</c:v>
                </c:pt>
                <c:pt idx="108">
                  <c:v>-0.82189999999999996</c:v>
                </c:pt>
                <c:pt idx="109">
                  <c:v>-0.55679999999999996</c:v>
                </c:pt>
                <c:pt idx="110">
                  <c:v>-0.51139999999999997</c:v>
                </c:pt>
                <c:pt idx="111">
                  <c:v>-0.83409999999999995</c:v>
                </c:pt>
                <c:pt idx="112">
                  <c:v>-0.38279999999999997</c:v>
                </c:pt>
                <c:pt idx="113">
                  <c:v>-0.38279999999999997</c:v>
                </c:pt>
                <c:pt idx="114">
                  <c:v>-0.38279999999999997</c:v>
                </c:pt>
                <c:pt idx="115">
                  <c:v>-2.23E-2</c:v>
                </c:pt>
                <c:pt idx="116">
                  <c:v>0.98929999999999996</c:v>
                </c:pt>
                <c:pt idx="117">
                  <c:v>0.66080000000000005</c:v>
                </c:pt>
                <c:pt idx="118">
                  <c:v>0.6</c:v>
                </c:pt>
                <c:pt idx="119">
                  <c:v>0.55159999999999998</c:v>
                </c:pt>
                <c:pt idx="120">
                  <c:v>0.55159999999999998</c:v>
                </c:pt>
                <c:pt idx="121">
                  <c:v>0.55159999999999998</c:v>
                </c:pt>
                <c:pt idx="122">
                  <c:v>1.3048</c:v>
                </c:pt>
                <c:pt idx="123">
                  <c:v>2.2544</c:v>
                </c:pt>
                <c:pt idx="124">
                  <c:v>2.2898000000000001</c:v>
                </c:pt>
                <c:pt idx="125">
                  <c:v>2.7363</c:v>
                </c:pt>
                <c:pt idx="126">
                  <c:v>2.8946999999999998</c:v>
                </c:pt>
                <c:pt idx="127">
                  <c:v>2.8946999999999998</c:v>
                </c:pt>
                <c:pt idx="128">
                  <c:v>2.8946999999999998</c:v>
                </c:pt>
                <c:pt idx="129">
                  <c:v>2.8443999999999998</c:v>
                </c:pt>
                <c:pt idx="130">
                  <c:v>2.8056999999999999</c:v>
                </c:pt>
                <c:pt idx="131">
                  <c:v>2.9809999999999999</c:v>
                </c:pt>
                <c:pt idx="132">
                  <c:v>3.0790000000000002</c:v>
                </c:pt>
                <c:pt idx="133">
                  <c:v>3.1492</c:v>
                </c:pt>
                <c:pt idx="134">
                  <c:v>3.1492</c:v>
                </c:pt>
                <c:pt idx="135">
                  <c:v>3.1492</c:v>
                </c:pt>
                <c:pt idx="136">
                  <c:v>3.4988999999999999</c:v>
                </c:pt>
                <c:pt idx="137">
                  <c:v>4.1349</c:v>
                </c:pt>
                <c:pt idx="138">
                  <c:v>4.1558000000000002</c:v>
                </c:pt>
                <c:pt idx="139">
                  <c:v>3.9674</c:v>
                </c:pt>
                <c:pt idx="140">
                  <c:v>3.5716000000000001</c:v>
                </c:pt>
                <c:pt idx="141">
                  <c:v>3.5716000000000001</c:v>
                </c:pt>
                <c:pt idx="142">
                  <c:v>3.5716000000000001</c:v>
                </c:pt>
                <c:pt idx="143">
                  <c:v>3.2877999999999998</c:v>
                </c:pt>
                <c:pt idx="144">
                  <c:v>2.1425000000000001</c:v>
                </c:pt>
                <c:pt idx="145">
                  <c:v>1.7668999999999999</c:v>
                </c:pt>
                <c:pt idx="146">
                  <c:v>2.0206</c:v>
                </c:pt>
                <c:pt idx="147">
                  <c:v>-2.2153999999999998</c:v>
                </c:pt>
                <c:pt idx="148">
                  <c:v>-2.2153999999999998</c:v>
                </c:pt>
                <c:pt idx="149">
                  <c:v>-2.2153999999999998</c:v>
                </c:pt>
                <c:pt idx="150">
                  <c:v>-2.0628000000000002</c:v>
                </c:pt>
                <c:pt idx="151">
                  <c:v>-3.2210999999999999</c:v>
                </c:pt>
                <c:pt idx="152">
                  <c:v>-0.83340000000000003</c:v>
                </c:pt>
                <c:pt idx="153">
                  <c:v>-2.1764999999999999</c:v>
                </c:pt>
                <c:pt idx="154">
                  <c:v>-2.7734000000000001</c:v>
                </c:pt>
                <c:pt idx="155">
                  <c:v>-2.7734000000000001</c:v>
                </c:pt>
                <c:pt idx="156">
                  <c:v>-2.7734000000000001</c:v>
                </c:pt>
                <c:pt idx="157">
                  <c:v>-1.4222999999999999</c:v>
                </c:pt>
                <c:pt idx="158">
                  <c:v>1.3537999999999999</c:v>
                </c:pt>
                <c:pt idx="159">
                  <c:v>0.54079999999999995</c:v>
                </c:pt>
                <c:pt idx="160">
                  <c:v>0.23430000000000001</c:v>
                </c:pt>
                <c:pt idx="161">
                  <c:v>0.13200000000000001</c:v>
                </c:pt>
                <c:pt idx="162">
                  <c:v>0.13200000000000001</c:v>
                </c:pt>
                <c:pt idx="163">
                  <c:v>0.13200000000000001</c:v>
                </c:pt>
                <c:pt idx="164">
                  <c:v>0.12180000000000001</c:v>
                </c:pt>
                <c:pt idx="165">
                  <c:v>-0.95589999999999997</c:v>
                </c:pt>
                <c:pt idx="166">
                  <c:v>-0.80989999999999995</c:v>
                </c:pt>
                <c:pt idx="167">
                  <c:v>0.21590000000000001</c:v>
                </c:pt>
                <c:pt idx="168">
                  <c:v>-0.45519999999999999</c:v>
                </c:pt>
                <c:pt idx="169">
                  <c:v>-0.45519999999999999</c:v>
                </c:pt>
                <c:pt idx="170">
                  <c:v>-0.45519999999999999</c:v>
                </c:pt>
                <c:pt idx="171">
                  <c:v>-2.3268</c:v>
                </c:pt>
                <c:pt idx="172">
                  <c:v>-0.99509999999999998</c:v>
                </c:pt>
                <c:pt idx="173">
                  <c:v>-5.9200000000000003E-2</c:v>
                </c:pt>
                <c:pt idx="174">
                  <c:v>0.98440000000000005</c:v>
                </c:pt>
                <c:pt idx="175">
                  <c:v>0.98440000000000005</c:v>
                </c:pt>
                <c:pt idx="176">
                  <c:v>0.98440000000000005</c:v>
                </c:pt>
                <c:pt idx="177">
                  <c:v>0.98440000000000005</c:v>
                </c:pt>
                <c:pt idx="178">
                  <c:v>1.4903999999999999</c:v>
                </c:pt>
                <c:pt idx="179">
                  <c:v>2.3136000000000001</c:v>
                </c:pt>
                <c:pt idx="180">
                  <c:v>1.5992999999999999</c:v>
                </c:pt>
                <c:pt idx="181">
                  <c:v>1.8083</c:v>
                </c:pt>
                <c:pt idx="182">
                  <c:v>1.8083</c:v>
                </c:pt>
                <c:pt idx="183">
                  <c:v>1.8083</c:v>
                </c:pt>
                <c:pt idx="184">
                  <c:v>1.8083</c:v>
                </c:pt>
                <c:pt idx="185">
                  <c:v>2.6791</c:v>
                </c:pt>
                <c:pt idx="186">
                  <c:v>3.5244</c:v>
                </c:pt>
                <c:pt idx="187">
                  <c:v>4.2880000000000003</c:v>
                </c:pt>
                <c:pt idx="188">
                  <c:v>2.8797999999999999</c:v>
                </c:pt>
                <c:pt idx="189">
                  <c:v>2.2113</c:v>
                </c:pt>
                <c:pt idx="190">
                  <c:v>2.2113</c:v>
                </c:pt>
                <c:pt idx="191">
                  <c:v>2.2113</c:v>
                </c:pt>
                <c:pt idx="192">
                  <c:v>1.0610999999999999</c:v>
                </c:pt>
                <c:pt idx="193">
                  <c:v>2.1732999999999998</c:v>
                </c:pt>
                <c:pt idx="194">
                  <c:v>2.6124000000000001</c:v>
                </c:pt>
                <c:pt idx="195">
                  <c:v>2.7488000000000001</c:v>
                </c:pt>
                <c:pt idx="196">
                  <c:v>1.798</c:v>
                </c:pt>
                <c:pt idx="197">
                  <c:v>1.798</c:v>
                </c:pt>
                <c:pt idx="198">
                  <c:v>1.798</c:v>
                </c:pt>
                <c:pt idx="199">
                  <c:v>2.1215000000000002</c:v>
                </c:pt>
                <c:pt idx="200">
                  <c:v>1.0886</c:v>
                </c:pt>
                <c:pt idx="201">
                  <c:v>1.3268</c:v>
                </c:pt>
                <c:pt idx="202">
                  <c:v>1.9843999999999999</c:v>
                </c:pt>
                <c:pt idx="203">
                  <c:v>7.4999999999999997E-3</c:v>
                </c:pt>
                <c:pt idx="204">
                  <c:v>7.4999999999999997E-3</c:v>
                </c:pt>
                <c:pt idx="205">
                  <c:v>7.4999999999999997E-3</c:v>
                </c:pt>
                <c:pt idx="206">
                  <c:v>-3.7915000000000001</c:v>
                </c:pt>
                <c:pt idx="207">
                  <c:v>-3.069</c:v>
                </c:pt>
                <c:pt idx="208">
                  <c:v>-0.91859999999999997</c:v>
                </c:pt>
                <c:pt idx="209">
                  <c:v>-0.50270000000000004</c:v>
                </c:pt>
                <c:pt idx="210">
                  <c:v>-1.8187</c:v>
                </c:pt>
                <c:pt idx="211">
                  <c:v>-1.8187</c:v>
                </c:pt>
                <c:pt idx="212">
                  <c:v>-1.8187</c:v>
                </c:pt>
                <c:pt idx="213">
                  <c:v>-0.84289999999999998</c:v>
                </c:pt>
                <c:pt idx="214">
                  <c:v>0.1069</c:v>
                </c:pt>
                <c:pt idx="215">
                  <c:v>7.0900000000000005E-2</c:v>
                </c:pt>
                <c:pt idx="216">
                  <c:v>-1.5013000000000001</c:v>
                </c:pt>
                <c:pt idx="217">
                  <c:v>-3.2248000000000001</c:v>
                </c:pt>
                <c:pt idx="218">
                  <c:v>-3.2248000000000001</c:v>
                </c:pt>
                <c:pt idx="219">
                  <c:v>-3.2248000000000001</c:v>
                </c:pt>
                <c:pt idx="220">
                  <c:v>-2.5385</c:v>
                </c:pt>
                <c:pt idx="221">
                  <c:v>-2.3094000000000001</c:v>
                </c:pt>
                <c:pt idx="222">
                  <c:v>-0.77359999999999995</c:v>
                </c:pt>
                <c:pt idx="223">
                  <c:v>-0.71960000000000002</c:v>
                </c:pt>
                <c:pt idx="224">
                  <c:v>-1.1382000000000001</c:v>
                </c:pt>
                <c:pt idx="225">
                  <c:v>-1.1382000000000001</c:v>
                </c:pt>
                <c:pt idx="226">
                  <c:v>-1.1382000000000001</c:v>
                </c:pt>
                <c:pt idx="227">
                  <c:v>-3.1324000000000001</c:v>
                </c:pt>
                <c:pt idx="228">
                  <c:v>-1.2177</c:v>
                </c:pt>
                <c:pt idx="229">
                  <c:v>-1.4895</c:v>
                </c:pt>
                <c:pt idx="230">
                  <c:v>-2.1476000000000002</c:v>
                </c:pt>
                <c:pt idx="231">
                  <c:v>-3.5903999999999998</c:v>
                </c:pt>
                <c:pt idx="232">
                  <c:v>-3.5903999999999998</c:v>
                </c:pt>
                <c:pt idx="233">
                  <c:v>-3.5903999999999998</c:v>
                </c:pt>
                <c:pt idx="234">
                  <c:v>-5.5861000000000001</c:v>
                </c:pt>
                <c:pt idx="235">
                  <c:v>-5.8304999999999998</c:v>
                </c:pt>
                <c:pt idx="236">
                  <c:v>-6.2255000000000003</c:v>
                </c:pt>
                <c:pt idx="237">
                  <c:v>-9.9381000000000004</c:v>
                </c:pt>
                <c:pt idx="238">
                  <c:v>-6.6364999999999998</c:v>
                </c:pt>
                <c:pt idx="239">
                  <c:v>-6.6364999999999998</c:v>
                </c:pt>
                <c:pt idx="240">
                  <c:v>-6.6364999999999998</c:v>
                </c:pt>
                <c:pt idx="241">
                  <c:v>-7.3173000000000004</c:v>
                </c:pt>
                <c:pt idx="242">
                  <c:v>-10.8818</c:v>
                </c:pt>
                <c:pt idx="243">
                  <c:v>-10.2713</c:v>
                </c:pt>
                <c:pt idx="244">
                  <c:v>-12.205</c:v>
                </c:pt>
                <c:pt idx="245">
                  <c:v>-16.075199999999999</c:v>
                </c:pt>
                <c:pt idx="246">
                  <c:v>-16.075199999999999</c:v>
                </c:pt>
                <c:pt idx="247">
                  <c:v>-16.075199999999999</c:v>
                </c:pt>
                <c:pt idx="248">
                  <c:v>-17.7409</c:v>
                </c:pt>
                <c:pt idx="249">
                  <c:v>-17.760999999999999</c:v>
                </c:pt>
                <c:pt idx="250">
                  <c:v>-11.246600000000001</c:v>
                </c:pt>
                <c:pt idx="251">
                  <c:v>-13.8477</c:v>
                </c:pt>
                <c:pt idx="252">
                  <c:v>-12.6555</c:v>
                </c:pt>
                <c:pt idx="253">
                  <c:v>-12.6555</c:v>
                </c:pt>
                <c:pt idx="254">
                  <c:v>-12.6555</c:v>
                </c:pt>
                <c:pt idx="255">
                  <c:v>-10.7263</c:v>
                </c:pt>
                <c:pt idx="256">
                  <c:v>-10.802199999999999</c:v>
                </c:pt>
                <c:pt idx="257">
                  <c:v>-7.4471999999999996</c:v>
                </c:pt>
                <c:pt idx="258">
                  <c:v>-7.7849000000000004</c:v>
                </c:pt>
                <c:pt idx="259">
                  <c:v>-7.6243999999999996</c:v>
                </c:pt>
                <c:pt idx="260">
                  <c:v>-7.6243999999999996</c:v>
                </c:pt>
                <c:pt idx="261">
                  <c:v>-7.6243999999999996</c:v>
                </c:pt>
                <c:pt idx="262">
                  <c:v>-8.1763999999999992</c:v>
                </c:pt>
                <c:pt idx="263">
                  <c:v>-7.2392000000000003</c:v>
                </c:pt>
                <c:pt idx="264">
                  <c:v>-8.4540000000000006</c:v>
                </c:pt>
                <c:pt idx="265">
                  <c:v>-8.5172000000000008</c:v>
                </c:pt>
                <c:pt idx="266">
                  <c:v>-8.3123000000000005</c:v>
                </c:pt>
                <c:pt idx="267">
                  <c:v>-8.3123000000000005</c:v>
                </c:pt>
                <c:pt idx="268">
                  <c:v>-8.3123000000000005</c:v>
                </c:pt>
                <c:pt idx="269">
                  <c:v>-7.5970000000000004</c:v>
                </c:pt>
                <c:pt idx="270">
                  <c:v>-5.0144000000000002</c:v>
                </c:pt>
                <c:pt idx="271">
                  <c:v>-6.3876999999999997</c:v>
                </c:pt>
                <c:pt idx="272">
                  <c:v>-7.6138000000000003</c:v>
                </c:pt>
                <c:pt idx="273">
                  <c:v>-7.4104000000000001</c:v>
                </c:pt>
                <c:pt idx="274">
                  <c:v>-7.4104000000000001</c:v>
                </c:pt>
                <c:pt idx="275">
                  <c:v>-7.4104000000000001</c:v>
                </c:pt>
                <c:pt idx="276">
                  <c:v>-6.9509999999999996</c:v>
                </c:pt>
                <c:pt idx="277">
                  <c:v>-7.5522</c:v>
                </c:pt>
                <c:pt idx="278">
                  <c:v>-9.2997999999999994</c:v>
                </c:pt>
                <c:pt idx="279">
                  <c:v>-9.7711000000000006</c:v>
                </c:pt>
                <c:pt idx="280">
                  <c:v>-8.4539000000000009</c:v>
                </c:pt>
                <c:pt idx="281">
                  <c:v>-8.4539000000000009</c:v>
                </c:pt>
                <c:pt idx="282">
                  <c:v>-8.4539000000000009</c:v>
                </c:pt>
                <c:pt idx="283">
                  <c:v>-9.0364000000000004</c:v>
                </c:pt>
                <c:pt idx="284">
                  <c:v>-9.4711999999999996</c:v>
                </c:pt>
                <c:pt idx="285">
                  <c:v>-9.7820999999999998</c:v>
                </c:pt>
                <c:pt idx="286">
                  <c:v>-9.2218999999999998</c:v>
                </c:pt>
                <c:pt idx="287">
                  <c:v>-9.2218999999999998</c:v>
                </c:pt>
                <c:pt idx="288">
                  <c:v>-9.2218999999999998</c:v>
                </c:pt>
                <c:pt idx="289">
                  <c:v>-9.2218999999999998</c:v>
                </c:pt>
                <c:pt idx="290">
                  <c:v>-9.2218999999999998</c:v>
                </c:pt>
                <c:pt idx="291">
                  <c:v>-9.2885000000000009</c:v>
                </c:pt>
                <c:pt idx="292">
                  <c:v>-7.9516999999999998</c:v>
                </c:pt>
                <c:pt idx="293">
                  <c:v>-7.0519999999999996</c:v>
                </c:pt>
                <c:pt idx="294">
                  <c:v>-9.3613</c:v>
                </c:pt>
                <c:pt idx="295">
                  <c:v>-9.3613</c:v>
                </c:pt>
                <c:pt idx="296">
                  <c:v>-9.3613</c:v>
                </c:pt>
                <c:pt idx="297">
                  <c:v>-10.757999999999999</c:v>
                </c:pt>
                <c:pt idx="298">
                  <c:v>-11.833299999999999</c:v>
                </c:pt>
                <c:pt idx="299">
                  <c:v>-11.592700000000001</c:v>
                </c:pt>
                <c:pt idx="300">
                  <c:v>-10.401199999999999</c:v>
                </c:pt>
                <c:pt idx="301">
                  <c:v>-9.6447000000000003</c:v>
                </c:pt>
                <c:pt idx="302">
                  <c:v>-9.6447000000000003</c:v>
                </c:pt>
                <c:pt idx="303">
                  <c:v>-9.6447000000000003</c:v>
                </c:pt>
                <c:pt idx="304">
                  <c:v>-10.6625</c:v>
                </c:pt>
                <c:pt idx="305">
                  <c:v>-10.019</c:v>
                </c:pt>
                <c:pt idx="306">
                  <c:v>-10.459</c:v>
                </c:pt>
                <c:pt idx="307">
                  <c:v>-10.896800000000001</c:v>
                </c:pt>
                <c:pt idx="308">
                  <c:v>-12.359500000000001</c:v>
                </c:pt>
                <c:pt idx="309">
                  <c:v>-12.359500000000001</c:v>
                </c:pt>
                <c:pt idx="310">
                  <c:v>-12.359500000000001</c:v>
                </c:pt>
                <c:pt idx="311">
                  <c:v>-14.241400000000001</c:v>
                </c:pt>
                <c:pt idx="312">
                  <c:v>-13.2539</c:v>
                </c:pt>
                <c:pt idx="313">
                  <c:v>-11.3703</c:v>
                </c:pt>
                <c:pt idx="314">
                  <c:v>-11.9407</c:v>
                </c:pt>
                <c:pt idx="315">
                  <c:v>-10.093</c:v>
                </c:pt>
                <c:pt idx="316">
                  <c:v>-10.093</c:v>
                </c:pt>
                <c:pt idx="317">
                  <c:v>-10.093</c:v>
                </c:pt>
                <c:pt idx="318">
                  <c:v>-10.500299999999999</c:v>
                </c:pt>
                <c:pt idx="319">
                  <c:v>-9.0802999999999994</c:v>
                </c:pt>
                <c:pt idx="320">
                  <c:v>-10.222300000000001</c:v>
                </c:pt>
                <c:pt idx="321">
                  <c:v>-11.026400000000001</c:v>
                </c:pt>
                <c:pt idx="322">
                  <c:v>-10.3879</c:v>
                </c:pt>
                <c:pt idx="323">
                  <c:v>-10.3879</c:v>
                </c:pt>
                <c:pt idx="324">
                  <c:v>-10.3879</c:v>
                </c:pt>
                <c:pt idx="325">
                  <c:v>-9.1478000000000002</c:v>
                </c:pt>
                <c:pt idx="326">
                  <c:v>-10.786300000000001</c:v>
                </c:pt>
                <c:pt idx="327">
                  <c:v>-10.2212</c:v>
                </c:pt>
                <c:pt idx="328">
                  <c:v>-8.7896000000000001</c:v>
                </c:pt>
                <c:pt idx="329">
                  <c:v>-7.3098000000000001</c:v>
                </c:pt>
                <c:pt idx="330">
                  <c:v>-7.3098000000000001</c:v>
                </c:pt>
                <c:pt idx="331">
                  <c:v>-7.3098000000000001</c:v>
                </c:pt>
                <c:pt idx="332">
                  <c:v>-6.5804999999999998</c:v>
                </c:pt>
                <c:pt idx="333">
                  <c:v>-7.7830000000000004</c:v>
                </c:pt>
                <c:pt idx="334">
                  <c:v>-8.0899000000000001</c:v>
                </c:pt>
                <c:pt idx="335">
                  <c:v>-7.1624999999999996</c:v>
                </c:pt>
                <c:pt idx="336">
                  <c:v>-7.3231999999999999</c:v>
                </c:pt>
                <c:pt idx="337">
                  <c:v>-7.3231999999999999</c:v>
                </c:pt>
                <c:pt idx="338">
                  <c:v>-7.3231999999999999</c:v>
                </c:pt>
                <c:pt idx="339">
                  <c:v>-6.0815999999999999</c:v>
                </c:pt>
                <c:pt idx="340">
                  <c:v>-6.7045000000000003</c:v>
                </c:pt>
                <c:pt idx="341">
                  <c:v>-7.4135999999999997</c:v>
                </c:pt>
                <c:pt idx="342">
                  <c:v>-8.9978999999999996</c:v>
                </c:pt>
                <c:pt idx="343">
                  <c:v>-11.798500000000001</c:v>
                </c:pt>
                <c:pt idx="344">
                  <c:v>-11.798500000000001</c:v>
                </c:pt>
                <c:pt idx="345">
                  <c:v>-11.798500000000001</c:v>
                </c:pt>
                <c:pt idx="346">
                  <c:v>-13.9442</c:v>
                </c:pt>
                <c:pt idx="347">
                  <c:v>-14.7303</c:v>
                </c:pt>
                <c:pt idx="348">
                  <c:v>-13.5708</c:v>
                </c:pt>
                <c:pt idx="349">
                  <c:v>-16.4345</c:v>
                </c:pt>
                <c:pt idx="350">
                  <c:v>-15.8719</c:v>
                </c:pt>
                <c:pt idx="351">
                  <c:v>-15.8719</c:v>
                </c:pt>
                <c:pt idx="352">
                  <c:v>-15.8719</c:v>
                </c:pt>
                <c:pt idx="353">
                  <c:v>-14.978899999999999</c:v>
                </c:pt>
                <c:pt idx="354">
                  <c:v>-14.8071</c:v>
                </c:pt>
                <c:pt idx="355">
                  <c:v>-15.756399999999999</c:v>
                </c:pt>
                <c:pt idx="356">
                  <c:v>-17.241399999999999</c:v>
                </c:pt>
                <c:pt idx="357">
                  <c:v>-15.923999999999999</c:v>
                </c:pt>
                <c:pt idx="358">
                  <c:v>-15.923999999999999</c:v>
                </c:pt>
                <c:pt idx="359">
                  <c:v>-15.923999999999999</c:v>
                </c:pt>
                <c:pt idx="360">
                  <c:v>-15.4886</c:v>
                </c:pt>
                <c:pt idx="361">
                  <c:v>-15.195399999999999</c:v>
                </c:pt>
                <c:pt idx="362">
                  <c:v>-16.659700000000001</c:v>
                </c:pt>
                <c:pt idx="363">
                  <c:v>-18.067</c:v>
                </c:pt>
                <c:pt idx="364">
                  <c:v>-17.8795</c:v>
                </c:pt>
                <c:pt idx="365">
                  <c:v>-17.8795</c:v>
                </c:pt>
                <c:pt idx="366">
                  <c:v>-17.8795</c:v>
                </c:pt>
                <c:pt idx="367">
                  <c:v>-18.133600000000001</c:v>
                </c:pt>
                <c:pt idx="368">
                  <c:v>-20.518899999999999</c:v>
                </c:pt>
                <c:pt idx="369">
                  <c:v>-19.279900000000001</c:v>
                </c:pt>
                <c:pt idx="370">
                  <c:v>-17.686</c:v>
                </c:pt>
                <c:pt idx="371">
                  <c:v>-16.583500000000001</c:v>
                </c:pt>
                <c:pt idx="372">
                  <c:v>-16.583500000000001</c:v>
                </c:pt>
                <c:pt idx="373">
                  <c:v>-16.583500000000001</c:v>
                </c:pt>
                <c:pt idx="374">
                  <c:v>-17.755099999999999</c:v>
                </c:pt>
                <c:pt idx="375">
                  <c:v>-17.286899999999999</c:v>
                </c:pt>
                <c:pt idx="376">
                  <c:v>-18.242899999999999</c:v>
                </c:pt>
                <c:pt idx="377">
                  <c:v>-19.759699999999999</c:v>
                </c:pt>
                <c:pt idx="378">
                  <c:v>-17.548200000000001</c:v>
                </c:pt>
                <c:pt idx="379">
                  <c:v>-17.548200000000001</c:v>
                </c:pt>
                <c:pt idx="380">
                  <c:v>-17.548200000000001</c:v>
                </c:pt>
                <c:pt idx="381">
                  <c:v>-16.938700000000001</c:v>
                </c:pt>
                <c:pt idx="382">
                  <c:v>-14.704499999999999</c:v>
                </c:pt>
                <c:pt idx="383">
                  <c:v>-14.873900000000001</c:v>
                </c:pt>
                <c:pt idx="384">
                  <c:v>-15.1004</c:v>
                </c:pt>
                <c:pt idx="385">
                  <c:v>-15.055300000000001</c:v>
                </c:pt>
                <c:pt idx="386">
                  <c:v>-15.055300000000001</c:v>
                </c:pt>
                <c:pt idx="387">
                  <c:v>-15.055300000000001</c:v>
                </c:pt>
                <c:pt idx="388">
                  <c:v>-15.3332</c:v>
                </c:pt>
                <c:pt idx="389">
                  <c:v>-16.059899999999999</c:v>
                </c:pt>
                <c:pt idx="390">
                  <c:v>-15.614800000000001</c:v>
                </c:pt>
                <c:pt idx="391">
                  <c:v>-14.873100000000001</c:v>
                </c:pt>
                <c:pt idx="392">
                  <c:v>-13.578799999999999</c:v>
                </c:pt>
                <c:pt idx="393">
                  <c:v>-13.578799999999999</c:v>
                </c:pt>
                <c:pt idx="394">
                  <c:v>-13.578799999999999</c:v>
                </c:pt>
                <c:pt idx="395">
                  <c:v>-13.607100000000001</c:v>
                </c:pt>
                <c:pt idx="396">
                  <c:v>-13.802199999999999</c:v>
                </c:pt>
                <c:pt idx="397">
                  <c:v>-12.9154</c:v>
                </c:pt>
                <c:pt idx="398">
                  <c:v>-12.4339</c:v>
                </c:pt>
                <c:pt idx="399">
                  <c:v>-13.002700000000001</c:v>
                </c:pt>
                <c:pt idx="400">
                  <c:v>-13.002700000000001</c:v>
                </c:pt>
                <c:pt idx="401">
                  <c:v>-13.002700000000001</c:v>
                </c:pt>
                <c:pt idx="402">
                  <c:v>-12.2736</c:v>
                </c:pt>
                <c:pt idx="403">
                  <c:v>-13.2524</c:v>
                </c:pt>
                <c:pt idx="404">
                  <c:v>-12.188800000000001</c:v>
                </c:pt>
                <c:pt idx="405">
                  <c:v>-12.229900000000001</c:v>
                </c:pt>
                <c:pt idx="406">
                  <c:v>-11.580399999999999</c:v>
                </c:pt>
                <c:pt idx="407">
                  <c:v>-11.580399999999999</c:v>
                </c:pt>
                <c:pt idx="408">
                  <c:v>-11.580399999999999</c:v>
                </c:pt>
                <c:pt idx="409">
                  <c:v>-11.4474</c:v>
                </c:pt>
                <c:pt idx="410">
                  <c:v>-10.848100000000001</c:v>
                </c:pt>
                <c:pt idx="411">
                  <c:v>-12.6645</c:v>
                </c:pt>
                <c:pt idx="412">
                  <c:v>-12.2113</c:v>
                </c:pt>
                <c:pt idx="413">
                  <c:v>-13.1912</c:v>
                </c:pt>
                <c:pt idx="414">
                  <c:v>-13.1912</c:v>
                </c:pt>
                <c:pt idx="415">
                  <c:v>-13.1912</c:v>
                </c:pt>
                <c:pt idx="416">
                  <c:v>-15.2034</c:v>
                </c:pt>
                <c:pt idx="417">
                  <c:v>-15.436299999999999</c:v>
                </c:pt>
                <c:pt idx="418">
                  <c:v>-15.2707</c:v>
                </c:pt>
                <c:pt idx="419">
                  <c:v>-14.9381</c:v>
                </c:pt>
                <c:pt idx="420">
                  <c:v>-16.864000000000001</c:v>
                </c:pt>
                <c:pt idx="421">
                  <c:v>-16.864000000000001</c:v>
                </c:pt>
                <c:pt idx="422">
                  <c:v>-16.864000000000001</c:v>
                </c:pt>
                <c:pt idx="423">
                  <c:v>-17.367000000000001</c:v>
                </c:pt>
                <c:pt idx="424">
                  <c:v>-16.930199999999999</c:v>
                </c:pt>
                <c:pt idx="425">
                  <c:v>-17.738900000000001</c:v>
                </c:pt>
                <c:pt idx="426">
                  <c:v>-19.050999999999998</c:v>
                </c:pt>
                <c:pt idx="427">
                  <c:v>-16.359000000000002</c:v>
                </c:pt>
                <c:pt idx="428">
                  <c:v>-16.359000000000002</c:v>
                </c:pt>
                <c:pt idx="429">
                  <c:v>-16.359000000000002</c:v>
                </c:pt>
                <c:pt idx="430">
                  <c:v>-18.214300000000001</c:v>
                </c:pt>
                <c:pt idx="431">
                  <c:v>-17.505099999999999</c:v>
                </c:pt>
                <c:pt idx="432">
                  <c:v>-17.2197</c:v>
                </c:pt>
                <c:pt idx="433">
                  <c:v>-17.2944</c:v>
                </c:pt>
                <c:pt idx="434">
                  <c:v>-16.1158</c:v>
                </c:pt>
                <c:pt idx="435">
                  <c:v>-16.1158</c:v>
                </c:pt>
                <c:pt idx="436">
                  <c:v>-16.1158</c:v>
                </c:pt>
                <c:pt idx="437">
                  <c:v>-14.1029</c:v>
                </c:pt>
                <c:pt idx="438">
                  <c:v>-15.4701</c:v>
                </c:pt>
                <c:pt idx="439">
                  <c:v>-16.5017</c:v>
                </c:pt>
                <c:pt idx="440">
                  <c:v>-16.9589</c:v>
                </c:pt>
                <c:pt idx="441">
                  <c:v>-18.339400000000001</c:v>
                </c:pt>
                <c:pt idx="442">
                  <c:v>-18.339400000000001</c:v>
                </c:pt>
                <c:pt idx="443">
                  <c:v>-18.339400000000001</c:v>
                </c:pt>
                <c:pt idx="444">
                  <c:v>-17.9422</c:v>
                </c:pt>
                <c:pt idx="445">
                  <c:v>-18.790800000000001</c:v>
                </c:pt>
                <c:pt idx="446">
                  <c:v>-18.173500000000001</c:v>
                </c:pt>
                <c:pt idx="447">
                  <c:v>-19.683</c:v>
                </c:pt>
                <c:pt idx="448">
                  <c:v>-21.268899999999999</c:v>
                </c:pt>
                <c:pt idx="449">
                  <c:v>-21.268899999999999</c:v>
                </c:pt>
                <c:pt idx="450">
                  <c:v>-21.268899999999999</c:v>
                </c:pt>
                <c:pt idx="451">
                  <c:v>-21.6295</c:v>
                </c:pt>
                <c:pt idx="452">
                  <c:v>-22.1951</c:v>
                </c:pt>
                <c:pt idx="453">
                  <c:v>-21.915600000000001</c:v>
                </c:pt>
                <c:pt idx="454">
                  <c:v>-23.247</c:v>
                </c:pt>
                <c:pt idx="455">
                  <c:v>-22.357299999999999</c:v>
                </c:pt>
                <c:pt idx="456">
                  <c:v>-22.357299999999999</c:v>
                </c:pt>
                <c:pt idx="457">
                  <c:v>-22.357299999999999</c:v>
                </c:pt>
                <c:pt idx="458">
                  <c:v>-21.747699999999998</c:v>
                </c:pt>
                <c:pt idx="459">
                  <c:v>-18.793099999999999</c:v>
                </c:pt>
                <c:pt idx="460">
                  <c:v>-19.775600000000001</c:v>
                </c:pt>
                <c:pt idx="461">
                  <c:v>-20.073</c:v>
                </c:pt>
                <c:pt idx="462">
                  <c:v>-21.340599999999998</c:v>
                </c:pt>
                <c:pt idx="463">
                  <c:v>-21.340599999999998</c:v>
                </c:pt>
                <c:pt idx="464">
                  <c:v>-21.340599999999998</c:v>
                </c:pt>
                <c:pt idx="465">
                  <c:v>-21.341000000000001</c:v>
                </c:pt>
                <c:pt idx="466">
                  <c:v>-21.678699999999999</c:v>
                </c:pt>
                <c:pt idx="467">
                  <c:v>-21.9862</c:v>
                </c:pt>
                <c:pt idx="468">
                  <c:v>-20.811299999999999</c:v>
                </c:pt>
                <c:pt idx="469">
                  <c:v>-20.284300000000002</c:v>
                </c:pt>
                <c:pt idx="470">
                  <c:v>-20.284300000000002</c:v>
                </c:pt>
                <c:pt idx="471">
                  <c:v>-20.284300000000002</c:v>
                </c:pt>
                <c:pt idx="472">
                  <c:v>-18.930599999999998</c:v>
                </c:pt>
                <c:pt idx="473">
                  <c:v>-18.183399999999999</c:v>
                </c:pt>
                <c:pt idx="474">
                  <c:v>-18.3385</c:v>
                </c:pt>
                <c:pt idx="475">
                  <c:v>-18.171800000000001</c:v>
                </c:pt>
                <c:pt idx="476">
                  <c:v>-18.405799999999999</c:v>
                </c:pt>
                <c:pt idx="477">
                  <c:v>-18.405799999999999</c:v>
                </c:pt>
                <c:pt idx="478">
                  <c:v>-18.405799999999999</c:v>
                </c:pt>
                <c:pt idx="479">
                  <c:v>-17.1205</c:v>
                </c:pt>
                <c:pt idx="480">
                  <c:v>-16.341699999999999</c:v>
                </c:pt>
                <c:pt idx="481">
                  <c:v>-15.4262</c:v>
                </c:pt>
                <c:pt idx="482">
                  <c:v>-15.327299999999999</c:v>
                </c:pt>
                <c:pt idx="483">
                  <c:v>-15.121600000000001</c:v>
                </c:pt>
                <c:pt idx="484">
                  <c:v>-15.121600000000001</c:v>
                </c:pt>
                <c:pt idx="485">
                  <c:v>-15.121600000000001</c:v>
                </c:pt>
                <c:pt idx="486">
                  <c:v>-15.0549</c:v>
                </c:pt>
                <c:pt idx="487">
                  <c:v>-14.5101</c:v>
                </c:pt>
                <c:pt idx="488">
                  <c:v>-15.0357</c:v>
                </c:pt>
                <c:pt idx="489">
                  <c:v>-15.8467</c:v>
                </c:pt>
                <c:pt idx="490">
                  <c:v>-13.7339</c:v>
                </c:pt>
                <c:pt idx="491">
                  <c:v>-13.7339</c:v>
                </c:pt>
                <c:pt idx="492">
                  <c:v>-13.7339</c:v>
                </c:pt>
                <c:pt idx="493">
                  <c:v>-13.261699999999999</c:v>
                </c:pt>
                <c:pt idx="494">
                  <c:v>-12.2668</c:v>
                </c:pt>
                <c:pt idx="495">
                  <c:v>-12.410600000000001</c:v>
                </c:pt>
                <c:pt idx="496">
                  <c:v>-9.3356999999999992</c:v>
                </c:pt>
                <c:pt idx="497">
                  <c:v>-8.8308</c:v>
                </c:pt>
                <c:pt idx="498">
                  <c:v>-8.8308</c:v>
                </c:pt>
                <c:pt idx="499">
                  <c:v>-8.8308</c:v>
                </c:pt>
                <c:pt idx="500">
                  <c:v>-8.2639999999999993</c:v>
                </c:pt>
                <c:pt idx="501">
                  <c:v>-7.8460999999999999</c:v>
                </c:pt>
                <c:pt idx="502">
                  <c:v>-8.7721</c:v>
                </c:pt>
                <c:pt idx="503">
                  <c:v>-8.5647000000000002</c:v>
                </c:pt>
                <c:pt idx="504">
                  <c:v>-7.5041000000000002</c:v>
                </c:pt>
                <c:pt idx="505">
                  <c:v>-7.5041000000000002</c:v>
                </c:pt>
                <c:pt idx="506">
                  <c:v>-7.5041000000000002</c:v>
                </c:pt>
                <c:pt idx="507">
                  <c:v>-7.8369999999999997</c:v>
                </c:pt>
                <c:pt idx="508">
                  <c:v>-7.5651000000000002</c:v>
                </c:pt>
                <c:pt idx="509">
                  <c:v>-7.5315000000000003</c:v>
                </c:pt>
                <c:pt idx="510">
                  <c:v>-6.8139000000000003</c:v>
                </c:pt>
                <c:pt idx="511">
                  <c:v>-6.8022</c:v>
                </c:pt>
                <c:pt idx="512">
                  <c:v>-6.8022</c:v>
                </c:pt>
                <c:pt idx="513">
                  <c:v>-6.8022</c:v>
                </c:pt>
                <c:pt idx="514">
                  <c:v>-7.8150000000000004</c:v>
                </c:pt>
                <c:pt idx="515">
                  <c:v>-7.9939</c:v>
                </c:pt>
                <c:pt idx="516">
                  <c:v>-7.7272999999999996</c:v>
                </c:pt>
                <c:pt idx="517">
                  <c:v>-7.1295999999999999</c:v>
                </c:pt>
                <c:pt idx="518">
                  <c:v>-6.8791000000000002</c:v>
                </c:pt>
                <c:pt idx="519">
                  <c:v>-6.8791000000000002</c:v>
                </c:pt>
                <c:pt idx="520">
                  <c:v>-6.8791000000000002</c:v>
                </c:pt>
                <c:pt idx="521">
                  <c:v>-7.4032</c:v>
                </c:pt>
                <c:pt idx="522">
                  <c:v>-8.0724</c:v>
                </c:pt>
                <c:pt idx="523">
                  <c:v>-8.5980000000000008</c:v>
                </c:pt>
                <c:pt idx="524">
                  <c:v>-8.5763999999999996</c:v>
                </c:pt>
                <c:pt idx="525">
                  <c:v>-7.8959999999999999</c:v>
                </c:pt>
                <c:pt idx="526">
                  <c:v>-7.8959999999999999</c:v>
                </c:pt>
                <c:pt idx="527">
                  <c:v>-7.8959999999999999</c:v>
                </c:pt>
                <c:pt idx="528">
                  <c:v>-8.3068000000000008</c:v>
                </c:pt>
                <c:pt idx="529">
                  <c:v>-7.0808999999999997</c:v>
                </c:pt>
                <c:pt idx="530">
                  <c:v>-7.3224999999999998</c:v>
                </c:pt>
                <c:pt idx="531">
                  <c:v>-10.360300000000001</c:v>
                </c:pt>
                <c:pt idx="532">
                  <c:v>-10.9573</c:v>
                </c:pt>
                <c:pt idx="533">
                  <c:v>-10.9573</c:v>
                </c:pt>
                <c:pt idx="534">
                  <c:v>-10.9573</c:v>
                </c:pt>
                <c:pt idx="535">
                  <c:v>-10.638199999999999</c:v>
                </c:pt>
                <c:pt idx="536">
                  <c:v>-11.011200000000001</c:v>
                </c:pt>
                <c:pt idx="537">
                  <c:v>-9.6450999999999993</c:v>
                </c:pt>
                <c:pt idx="538">
                  <c:v>-10.822699999999999</c:v>
                </c:pt>
                <c:pt idx="539">
                  <c:v>-10.650600000000001</c:v>
                </c:pt>
                <c:pt idx="540">
                  <c:v>-10.650600000000001</c:v>
                </c:pt>
                <c:pt idx="541">
                  <c:v>-10.650600000000001</c:v>
                </c:pt>
                <c:pt idx="542">
                  <c:v>-10.650600000000001</c:v>
                </c:pt>
                <c:pt idx="543">
                  <c:v>-10.3034</c:v>
                </c:pt>
                <c:pt idx="544">
                  <c:v>-10.748799999999999</c:v>
                </c:pt>
                <c:pt idx="545">
                  <c:v>-9.8123000000000005</c:v>
                </c:pt>
                <c:pt idx="546">
                  <c:v>-10.761699999999999</c:v>
                </c:pt>
                <c:pt idx="547">
                  <c:v>-10.761699999999999</c:v>
                </c:pt>
                <c:pt idx="548">
                  <c:v>-10.761699999999999</c:v>
                </c:pt>
                <c:pt idx="549">
                  <c:v>-9.8280999999999992</c:v>
                </c:pt>
                <c:pt idx="550">
                  <c:v>-9.1075999999999997</c:v>
                </c:pt>
                <c:pt idx="551">
                  <c:v>-7.1265000000000001</c:v>
                </c:pt>
                <c:pt idx="552">
                  <c:v>-7.4756</c:v>
                </c:pt>
                <c:pt idx="553">
                  <c:v>-6.3623000000000003</c:v>
                </c:pt>
                <c:pt idx="554">
                  <c:v>-6.3623000000000003</c:v>
                </c:pt>
                <c:pt idx="555">
                  <c:v>-6.3623000000000003</c:v>
                </c:pt>
                <c:pt idx="556">
                  <c:v>-5.1905999999999999</c:v>
                </c:pt>
                <c:pt idx="557">
                  <c:v>-5.3075000000000001</c:v>
                </c:pt>
                <c:pt idx="558">
                  <c:v>-4.1966999999999999</c:v>
                </c:pt>
                <c:pt idx="559">
                  <c:v>-3.4891999999999999</c:v>
                </c:pt>
                <c:pt idx="560">
                  <c:v>-3.3083</c:v>
                </c:pt>
                <c:pt idx="561">
                  <c:v>-3.3083</c:v>
                </c:pt>
                <c:pt idx="562">
                  <c:v>-3.3083</c:v>
                </c:pt>
                <c:pt idx="563">
                  <c:v>-3.0038</c:v>
                </c:pt>
                <c:pt idx="564">
                  <c:v>-2.6638999999999999</c:v>
                </c:pt>
                <c:pt idx="565">
                  <c:v>-2.6977000000000002</c:v>
                </c:pt>
                <c:pt idx="566">
                  <c:v>-4.3733000000000004</c:v>
                </c:pt>
                <c:pt idx="567">
                  <c:v>-3.6478000000000002</c:v>
                </c:pt>
                <c:pt idx="568">
                  <c:v>-3.6478000000000002</c:v>
                </c:pt>
                <c:pt idx="569">
                  <c:v>-3.6478000000000002</c:v>
                </c:pt>
                <c:pt idx="570">
                  <c:v>-3.2029999999999998</c:v>
                </c:pt>
                <c:pt idx="571">
                  <c:v>-3.2660999999999998</c:v>
                </c:pt>
                <c:pt idx="572">
                  <c:v>-3.3395999999999999</c:v>
                </c:pt>
                <c:pt idx="573">
                  <c:v>-3.0114000000000001</c:v>
                </c:pt>
                <c:pt idx="574">
                  <c:v>-2.9013</c:v>
                </c:pt>
                <c:pt idx="575">
                  <c:v>-2.9013</c:v>
                </c:pt>
                <c:pt idx="576">
                  <c:v>-2.9013</c:v>
                </c:pt>
                <c:pt idx="577">
                  <c:v>-3.0548000000000002</c:v>
                </c:pt>
                <c:pt idx="578">
                  <c:v>-3.0407999999999999</c:v>
                </c:pt>
                <c:pt idx="579">
                  <c:v>-2.7044999999999999</c:v>
                </c:pt>
                <c:pt idx="580">
                  <c:v>-0.59940000000000004</c:v>
                </c:pt>
                <c:pt idx="581">
                  <c:v>-0.80930000000000002</c:v>
                </c:pt>
                <c:pt idx="582">
                  <c:v>-0.80930000000000002</c:v>
                </c:pt>
                <c:pt idx="583">
                  <c:v>-0.80930000000000002</c:v>
                </c:pt>
                <c:pt idx="584">
                  <c:v>-1.6458999999999999</c:v>
                </c:pt>
                <c:pt idx="585">
                  <c:v>-1.8063</c:v>
                </c:pt>
                <c:pt idx="586">
                  <c:v>-1.222</c:v>
                </c:pt>
                <c:pt idx="587">
                  <c:v>-0.50819999999999999</c:v>
                </c:pt>
                <c:pt idx="588">
                  <c:v>-1.889</c:v>
                </c:pt>
                <c:pt idx="589">
                  <c:v>-1.889</c:v>
                </c:pt>
                <c:pt idx="590">
                  <c:v>-1.889</c:v>
                </c:pt>
                <c:pt idx="591">
                  <c:v>-1.3162</c:v>
                </c:pt>
                <c:pt idx="592">
                  <c:v>-1.4238</c:v>
                </c:pt>
                <c:pt idx="593">
                  <c:v>-0.61760000000000004</c:v>
                </c:pt>
                <c:pt idx="594">
                  <c:v>-0.44269999999999998</c:v>
                </c:pt>
                <c:pt idx="595">
                  <c:v>-0.77359999999999995</c:v>
                </c:pt>
                <c:pt idx="596">
                  <c:v>-0.77359999999999995</c:v>
                </c:pt>
                <c:pt idx="597">
                  <c:v>-0.77359999999999995</c:v>
                </c:pt>
                <c:pt idx="598">
                  <c:v>-0.80220000000000002</c:v>
                </c:pt>
                <c:pt idx="599">
                  <c:v>-1.3145</c:v>
                </c:pt>
                <c:pt idx="600">
                  <c:v>-1.2999000000000001</c:v>
                </c:pt>
                <c:pt idx="601">
                  <c:v>-0.81410000000000005</c:v>
                </c:pt>
                <c:pt idx="602">
                  <c:v>-2.5186000000000002</c:v>
                </c:pt>
                <c:pt idx="603">
                  <c:v>-2.5186000000000002</c:v>
                </c:pt>
                <c:pt idx="604">
                  <c:v>-2.5186000000000002</c:v>
                </c:pt>
                <c:pt idx="605">
                  <c:v>-1.4181999999999999</c:v>
                </c:pt>
                <c:pt idx="606">
                  <c:v>-1.5226</c:v>
                </c:pt>
                <c:pt idx="607">
                  <c:v>-1.9078999999999999</c:v>
                </c:pt>
                <c:pt idx="608">
                  <c:v>-1.7629999999999999</c:v>
                </c:pt>
                <c:pt idx="609">
                  <c:v>-0.15590000000000001</c:v>
                </c:pt>
                <c:pt idx="610">
                  <c:v>-0.15590000000000001</c:v>
                </c:pt>
                <c:pt idx="611">
                  <c:v>-0.15590000000000001</c:v>
                </c:pt>
                <c:pt idx="612">
                  <c:v>0.32600000000000001</c:v>
                </c:pt>
                <c:pt idx="613">
                  <c:v>-0.2767</c:v>
                </c:pt>
                <c:pt idx="614">
                  <c:v>0.18690000000000001</c:v>
                </c:pt>
                <c:pt idx="615">
                  <c:v>0.19550000000000001</c:v>
                </c:pt>
                <c:pt idx="616">
                  <c:v>-1.1198999999999999</c:v>
                </c:pt>
                <c:pt idx="617">
                  <c:v>-1.1198999999999999</c:v>
                </c:pt>
                <c:pt idx="618">
                  <c:v>-1.1198999999999999</c:v>
                </c:pt>
                <c:pt idx="619">
                  <c:v>-4.1226000000000003</c:v>
                </c:pt>
                <c:pt idx="620">
                  <c:v>-2.3706</c:v>
                </c:pt>
                <c:pt idx="621">
                  <c:v>-5.5595999999999997</c:v>
                </c:pt>
                <c:pt idx="622">
                  <c:v>-4.0736999999999997</c:v>
                </c:pt>
                <c:pt idx="623">
                  <c:v>-5.3484999999999996</c:v>
                </c:pt>
                <c:pt idx="624">
                  <c:v>-5.3484999999999996</c:v>
                </c:pt>
                <c:pt idx="625">
                  <c:v>-5.3484999999999996</c:v>
                </c:pt>
                <c:pt idx="626">
                  <c:v>-4.2897999999999996</c:v>
                </c:pt>
                <c:pt idx="627">
                  <c:v>-2.6109</c:v>
                </c:pt>
                <c:pt idx="628">
                  <c:v>-2.4773000000000001</c:v>
                </c:pt>
                <c:pt idx="629">
                  <c:v>-2.5144000000000002</c:v>
                </c:pt>
                <c:pt idx="630">
                  <c:v>-4.1369999999999996</c:v>
                </c:pt>
                <c:pt idx="631">
                  <c:v>-4.1369999999999996</c:v>
                </c:pt>
                <c:pt idx="632">
                  <c:v>-4.1369999999999996</c:v>
                </c:pt>
                <c:pt idx="633">
                  <c:v>-3.0445000000000002</c:v>
                </c:pt>
                <c:pt idx="634">
                  <c:v>-2.9525999999999999</c:v>
                </c:pt>
                <c:pt idx="635">
                  <c:v>-1.7557</c:v>
                </c:pt>
                <c:pt idx="636">
                  <c:v>-0.51470000000000005</c:v>
                </c:pt>
                <c:pt idx="637">
                  <c:v>0.16750000000000001</c:v>
                </c:pt>
                <c:pt idx="638">
                  <c:v>0.16750000000000001</c:v>
                </c:pt>
                <c:pt idx="639">
                  <c:v>0.16750000000000001</c:v>
                </c:pt>
                <c:pt idx="640">
                  <c:v>-0.13969999999999999</c:v>
                </c:pt>
                <c:pt idx="641">
                  <c:v>4.8999999999999998E-3</c:v>
                </c:pt>
                <c:pt idx="642">
                  <c:v>-0.52900000000000003</c:v>
                </c:pt>
                <c:pt idx="643">
                  <c:v>-3.09E-2</c:v>
                </c:pt>
                <c:pt idx="644">
                  <c:v>-3.09E-2</c:v>
                </c:pt>
                <c:pt idx="645">
                  <c:v>-3.09E-2</c:v>
                </c:pt>
                <c:pt idx="646">
                  <c:v>-3.09E-2</c:v>
                </c:pt>
                <c:pt idx="647">
                  <c:v>-3.09E-2</c:v>
                </c:pt>
                <c:pt idx="648">
                  <c:v>0.3362</c:v>
                </c:pt>
                <c:pt idx="649">
                  <c:v>0.64659999999999995</c:v>
                </c:pt>
                <c:pt idx="650">
                  <c:v>0.81240000000000001</c:v>
                </c:pt>
                <c:pt idx="651">
                  <c:v>1.3125</c:v>
                </c:pt>
                <c:pt idx="652">
                  <c:v>1.3125</c:v>
                </c:pt>
                <c:pt idx="653">
                  <c:v>1.3125</c:v>
                </c:pt>
                <c:pt idx="654">
                  <c:v>1.1974</c:v>
                </c:pt>
                <c:pt idx="655">
                  <c:v>1.7943</c:v>
                </c:pt>
                <c:pt idx="656">
                  <c:v>1.8746</c:v>
                </c:pt>
                <c:pt idx="657">
                  <c:v>1.2385999999999999</c:v>
                </c:pt>
                <c:pt idx="658">
                  <c:v>1.7878000000000001</c:v>
                </c:pt>
                <c:pt idx="659">
                  <c:v>1.7878000000000001</c:v>
                </c:pt>
                <c:pt idx="660">
                  <c:v>1.7878000000000001</c:v>
                </c:pt>
                <c:pt idx="661">
                  <c:v>1.6742999999999999</c:v>
                </c:pt>
                <c:pt idx="662">
                  <c:v>1.7267999999999999</c:v>
                </c:pt>
                <c:pt idx="663">
                  <c:v>1.2371000000000001</c:v>
                </c:pt>
                <c:pt idx="664">
                  <c:v>1.2673000000000001</c:v>
                </c:pt>
                <c:pt idx="665">
                  <c:v>2.0488</c:v>
                </c:pt>
                <c:pt idx="666">
                  <c:v>2.0488</c:v>
                </c:pt>
                <c:pt idx="667">
                  <c:v>2.0488</c:v>
                </c:pt>
                <c:pt idx="668">
                  <c:v>2.0488</c:v>
                </c:pt>
                <c:pt idx="669">
                  <c:v>0.79620000000000002</c:v>
                </c:pt>
                <c:pt idx="670">
                  <c:v>1.361</c:v>
                </c:pt>
                <c:pt idx="671">
                  <c:v>0.84299999999999997</c:v>
                </c:pt>
                <c:pt idx="672">
                  <c:v>2.2965</c:v>
                </c:pt>
                <c:pt idx="673">
                  <c:v>2.2965</c:v>
                </c:pt>
                <c:pt idx="674">
                  <c:v>2.2965</c:v>
                </c:pt>
                <c:pt idx="675">
                  <c:v>2.2440000000000002</c:v>
                </c:pt>
                <c:pt idx="676">
                  <c:v>2.2610000000000001</c:v>
                </c:pt>
                <c:pt idx="677">
                  <c:v>1.8812</c:v>
                </c:pt>
                <c:pt idx="678">
                  <c:v>1.4882</c:v>
                </c:pt>
                <c:pt idx="679">
                  <c:v>1.9939</c:v>
                </c:pt>
                <c:pt idx="680">
                  <c:v>1.9939</c:v>
                </c:pt>
                <c:pt idx="681">
                  <c:v>1.9939</c:v>
                </c:pt>
                <c:pt idx="682">
                  <c:v>2.0158999999999998</c:v>
                </c:pt>
                <c:pt idx="683">
                  <c:v>1.8920999999999999</c:v>
                </c:pt>
                <c:pt idx="684">
                  <c:v>2.2342</c:v>
                </c:pt>
                <c:pt idx="685">
                  <c:v>3.5933000000000002</c:v>
                </c:pt>
                <c:pt idx="686">
                  <c:v>4.3112000000000004</c:v>
                </c:pt>
                <c:pt idx="687">
                  <c:v>4.3112000000000004</c:v>
                </c:pt>
                <c:pt idx="688">
                  <c:v>4.3112000000000004</c:v>
                </c:pt>
                <c:pt idx="689">
                  <c:v>3.9819</c:v>
                </c:pt>
                <c:pt idx="690">
                  <c:v>3.5259999999999998</c:v>
                </c:pt>
                <c:pt idx="691">
                  <c:v>1.5345</c:v>
                </c:pt>
                <c:pt idx="692">
                  <c:v>1.2246999999999999</c:v>
                </c:pt>
                <c:pt idx="693">
                  <c:v>2.4434999999999998</c:v>
                </c:pt>
                <c:pt idx="694">
                  <c:v>2.4434999999999998</c:v>
                </c:pt>
                <c:pt idx="695">
                  <c:v>2.4434999999999998</c:v>
                </c:pt>
                <c:pt idx="696">
                  <c:v>2.2433000000000001</c:v>
                </c:pt>
                <c:pt idx="697">
                  <c:v>1.9624999999999999</c:v>
                </c:pt>
                <c:pt idx="698">
                  <c:v>0.39290000000000003</c:v>
                </c:pt>
                <c:pt idx="699">
                  <c:v>1.6084000000000001</c:v>
                </c:pt>
                <c:pt idx="700">
                  <c:v>2.8746</c:v>
                </c:pt>
                <c:pt idx="701">
                  <c:v>2.8746</c:v>
                </c:pt>
                <c:pt idx="702">
                  <c:v>2.8746</c:v>
                </c:pt>
                <c:pt idx="703">
                  <c:v>2.3149000000000002</c:v>
                </c:pt>
                <c:pt idx="704">
                  <c:v>2.4977999999999998</c:v>
                </c:pt>
                <c:pt idx="705">
                  <c:v>2.2934999999999999</c:v>
                </c:pt>
                <c:pt idx="706">
                  <c:v>2.4819</c:v>
                </c:pt>
                <c:pt idx="707">
                  <c:v>2.2248000000000001</c:v>
                </c:pt>
                <c:pt idx="708">
                  <c:v>2.2248000000000001</c:v>
                </c:pt>
                <c:pt idx="709">
                  <c:v>2.2248000000000001</c:v>
                </c:pt>
                <c:pt idx="710">
                  <c:v>3.1736</c:v>
                </c:pt>
                <c:pt idx="711">
                  <c:v>4.0247000000000002</c:v>
                </c:pt>
                <c:pt idx="712">
                  <c:v>4.5381999999999998</c:v>
                </c:pt>
                <c:pt idx="713">
                  <c:v>4.4057000000000004</c:v>
                </c:pt>
                <c:pt idx="714">
                  <c:v>4.8384</c:v>
                </c:pt>
                <c:pt idx="715">
                  <c:v>4.8384</c:v>
                </c:pt>
                <c:pt idx="716">
                  <c:v>4.8384</c:v>
                </c:pt>
                <c:pt idx="717">
                  <c:v>3.8357999999999999</c:v>
                </c:pt>
                <c:pt idx="718">
                  <c:v>3.2597999999999998</c:v>
                </c:pt>
                <c:pt idx="719">
                  <c:v>2.6945000000000001</c:v>
                </c:pt>
                <c:pt idx="720">
                  <c:v>2.4704000000000002</c:v>
                </c:pt>
                <c:pt idx="721">
                  <c:v>1.4562999999999999</c:v>
                </c:pt>
                <c:pt idx="722">
                  <c:v>1.4562999999999999</c:v>
                </c:pt>
                <c:pt idx="723">
                  <c:v>1.4562999999999999</c:v>
                </c:pt>
                <c:pt idx="724">
                  <c:v>1.3482000000000001</c:v>
                </c:pt>
                <c:pt idx="725">
                  <c:v>1.5648</c:v>
                </c:pt>
                <c:pt idx="726">
                  <c:v>2.2193999999999998</c:v>
                </c:pt>
                <c:pt idx="727">
                  <c:v>2.2048000000000001</c:v>
                </c:pt>
                <c:pt idx="728">
                  <c:v>3.4942000000000002</c:v>
                </c:pt>
                <c:pt idx="729">
                  <c:v>3.4942000000000002</c:v>
                </c:pt>
                <c:pt idx="730">
                  <c:v>3.4942000000000002</c:v>
                </c:pt>
                <c:pt idx="731">
                  <c:v>3.0657000000000001</c:v>
                </c:pt>
                <c:pt idx="732">
                  <c:v>2.7972999999999999</c:v>
                </c:pt>
                <c:pt idx="733">
                  <c:v>2.1461999999999999</c:v>
                </c:pt>
                <c:pt idx="734">
                  <c:v>-0.47539999999999999</c:v>
                </c:pt>
                <c:pt idx="735">
                  <c:v>4.4000000000000003E-3</c:v>
                </c:pt>
                <c:pt idx="736">
                  <c:v>4.4000000000000003E-3</c:v>
                </c:pt>
                <c:pt idx="737">
                  <c:v>4.4000000000000003E-3</c:v>
                </c:pt>
                <c:pt idx="738">
                  <c:v>0.45150000000000001</c:v>
                </c:pt>
                <c:pt idx="739">
                  <c:v>1.2024999999999999</c:v>
                </c:pt>
                <c:pt idx="740">
                  <c:v>2.6937000000000002</c:v>
                </c:pt>
                <c:pt idx="741">
                  <c:v>3.4502000000000002</c:v>
                </c:pt>
                <c:pt idx="742">
                  <c:v>3.2197</c:v>
                </c:pt>
                <c:pt idx="743">
                  <c:v>3.2197</c:v>
                </c:pt>
                <c:pt idx="744">
                  <c:v>3.2197</c:v>
                </c:pt>
                <c:pt idx="745">
                  <c:v>2.9863</c:v>
                </c:pt>
                <c:pt idx="746">
                  <c:v>3.3506</c:v>
                </c:pt>
                <c:pt idx="747">
                  <c:v>3.2444000000000002</c:v>
                </c:pt>
                <c:pt idx="748">
                  <c:v>3.8552</c:v>
                </c:pt>
                <c:pt idx="749">
                  <c:v>3.6821000000000002</c:v>
                </c:pt>
                <c:pt idx="750">
                  <c:v>3.6821000000000002</c:v>
                </c:pt>
                <c:pt idx="751">
                  <c:v>3.6821000000000002</c:v>
                </c:pt>
                <c:pt idx="752">
                  <c:v>3.7700999999999998</c:v>
                </c:pt>
                <c:pt idx="753">
                  <c:v>3.9024000000000001</c:v>
                </c:pt>
                <c:pt idx="754">
                  <c:v>3.3887999999999998</c:v>
                </c:pt>
                <c:pt idx="755">
                  <c:v>5.1486000000000001</c:v>
                </c:pt>
                <c:pt idx="756">
                  <c:v>5.5570000000000004</c:v>
                </c:pt>
                <c:pt idx="757">
                  <c:v>5.5570000000000004</c:v>
                </c:pt>
                <c:pt idx="758">
                  <c:v>5.5570000000000004</c:v>
                </c:pt>
                <c:pt idx="759">
                  <c:v>5.4100999999999999</c:v>
                </c:pt>
                <c:pt idx="760">
                  <c:v>4.0869999999999997</c:v>
                </c:pt>
                <c:pt idx="761">
                  <c:v>2.6745999999999999</c:v>
                </c:pt>
                <c:pt idx="762">
                  <c:v>1.8629</c:v>
                </c:pt>
                <c:pt idx="763">
                  <c:v>2.2378</c:v>
                </c:pt>
                <c:pt idx="764">
                  <c:v>2.2378</c:v>
                </c:pt>
                <c:pt idx="765">
                  <c:v>2.2378</c:v>
                </c:pt>
                <c:pt idx="766">
                  <c:v>2.2307000000000001</c:v>
                </c:pt>
                <c:pt idx="767">
                  <c:v>1.1037999999999999</c:v>
                </c:pt>
                <c:pt idx="768">
                  <c:v>1.6014999999999999</c:v>
                </c:pt>
                <c:pt idx="769">
                  <c:v>2.524</c:v>
                </c:pt>
                <c:pt idx="770">
                  <c:v>1.4705999999999999</c:v>
                </c:pt>
                <c:pt idx="771">
                  <c:v>1.4705999999999999</c:v>
                </c:pt>
                <c:pt idx="772">
                  <c:v>1.4705999999999999</c:v>
                </c:pt>
                <c:pt idx="773">
                  <c:v>1.9326000000000001</c:v>
                </c:pt>
                <c:pt idx="774">
                  <c:v>1.0548</c:v>
                </c:pt>
                <c:pt idx="775">
                  <c:v>1.1968000000000001</c:v>
                </c:pt>
                <c:pt idx="776">
                  <c:v>0.47549999999999998</c:v>
                </c:pt>
                <c:pt idx="777">
                  <c:v>-0.18229999999999999</c:v>
                </c:pt>
                <c:pt idx="778">
                  <c:v>-0.18229999999999999</c:v>
                </c:pt>
                <c:pt idx="779">
                  <c:v>-0.18229999999999999</c:v>
                </c:pt>
                <c:pt idx="780">
                  <c:v>3.7000000000000002E-3</c:v>
                </c:pt>
                <c:pt idx="781">
                  <c:v>0.65959999999999996</c:v>
                </c:pt>
                <c:pt idx="782">
                  <c:v>0.80559999999999998</c:v>
                </c:pt>
                <c:pt idx="783">
                  <c:v>0.12039999999999999</c:v>
                </c:pt>
                <c:pt idx="784">
                  <c:v>0.18659999999999999</c:v>
                </c:pt>
                <c:pt idx="785">
                  <c:v>0.18659999999999999</c:v>
                </c:pt>
                <c:pt idx="786">
                  <c:v>0.18659999999999999</c:v>
                </c:pt>
                <c:pt idx="787">
                  <c:v>1.2171000000000001</c:v>
                </c:pt>
                <c:pt idx="788">
                  <c:v>2.1032999999999999</c:v>
                </c:pt>
                <c:pt idx="789">
                  <c:v>1.8536999999999999</c:v>
                </c:pt>
                <c:pt idx="790">
                  <c:v>2.2071000000000001</c:v>
                </c:pt>
                <c:pt idx="791">
                  <c:v>1.5229999999999999</c:v>
                </c:pt>
                <c:pt idx="792">
                  <c:v>1.5229999999999999</c:v>
                </c:pt>
                <c:pt idx="793">
                  <c:v>1.5229999999999999</c:v>
                </c:pt>
                <c:pt idx="794">
                  <c:v>1.4237</c:v>
                </c:pt>
                <c:pt idx="795">
                  <c:v>1.0831</c:v>
                </c:pt>
                <c:pt idx="796">
                  <c:v>0.88870000000000005</c:v>
                </c:pt>
                <c:pt idx="797">
                  <c:v>0.74309999999999998</c:v>
                </c:pt>
                <c:pt idx="798">
                  <c:v>0.91039999999999999</c:v>
                </c:pt>
                <c:pt idx="799">
                  <c:v>0.91039999999999999</c:v>
                </c:pt>
                <c:pt idx="800">
                  <c:v>0.91039999999999999</c:v>
                </c:pt>
                <c:pt idx="801">
                  <c:v>1.2707999999999999</c:v>
                </c:pt>
                <c:pt idx="802">
                  <c:v>0.72309999999999997</c:v>
                </c:pt>
                <c:pt idx="803">
                  <c:v>0.32890000000000003</c:v>
                </c:pt>
                <c:pt idx="804">
                  <c:v>1.2984</c:v>
                </c:pt>
                <c:pt idx="805">
                  <c:v>1.8638999999999999</c:v>
                </c:pt>
                <c:pt idx="806">
                  <c:v>1.8638999999999999</c:v>
                </c:pt>
                <c:pt idx="807">
                  <c:v>1.8638999999999999</c:v>
                </c:pt>
                <c:pt idx="808">
                  <c:v>0.7974</c:v>
                </c:pt>
                <c:pt idx="809">
                  <c:v>0.39589999999999997</c:v>
                </c:pt>
                <c:pt idx="810">
                  <c:v>1.1465000000000001</c:v>
                </c:pt>
                <c:pt idx="811">
                  <c:v>-0.19769999999999999</c:v>
                </c:pt>
                <c:pt idx="812">
                  <c:v>-0.29110000000000003</c:v>
                </c:pt>
                <c:pt idx="813">
                  <c:v>-0.29110000000000003</c:v>
                </c:pt>
                <c:pt idx="814">
                  <c:v>-0.29110000000000003</c:v>
                </c:pt>
                <c:pt idx="815">
                  <c:v>-1.264</c:v>
                </c:pt>
                <c:pt idx="816">
                  <c:v>-2.2229000000000001</c:v>
                </c:pt>
                <c:pt idx="817">
                  <c:v>-2.4691999999999998</c:v>
                </c:pt>
                <c:pt idx="818">
                  <c:v>-1.7895000000000001</c:v>
                </c:pt>
                <c:pt idx="819">
                  <c:v>-1.3852</c:v>
                </c:pt>
                <c:pt idx="820">
                  <c:v>-1.3852</c:v>
                </c:pt>
                <c:pt idx="821">
                  <c:v>-1.3852</c:v>
                </c:pt>
                <c:pt idx="822">
                  <c:v>-2.2785000000000002</c:v>
                </c:pt>
                <c:pt idx="823">
                  <c:v>-3.3167</c:v>
                </c:pt>
                <c:pt idx="824">
                  <c:v>-3.2225000000000001</c:v>
                </c:pt>
                <c:pt idx="825">
                  <c:v>-3.4127999999999998</c:v>
                </c:pt>
                <c:pt idx="826">
                  <c:v>-2.3902000000000001</c:v>
                </c:pt>
                <c:pt idx="827">
                  <c:v>-2.3902000000000001</c:v>
                </c:pt>
                <c:pt idx="828">
                  <c:v>-2.3902000000000001</c:v>
                </c:pt>
                <c:pt idx="829">
                  <c:v>-3.0417999999999998</c:v>
                </c:pt>
                <c:pt idx="830">
                  <c:v>-1.1485000000000001</c:v>
                </c:pt>
                <c:pt idx="831">
                  <c:v>-0.91459999999999997</c:v>
                </c:pt>
                <c:pt idx="832">
                  <c:v>-1.1388</c:v>
                </c:pt>
                <c:pt idx="833">
                  <c:v>-2.6665000000000001</c:v>
                </c:pt>
                <c:pt idx="834">
                  <c:v>-2.6665000000000001</c:v>
                </c:pt>
                <c:pt idx="835">
                  <c:v>-2.6665000000000001</c:v>
                </c:pt>
                <c:pt idx="836">
                  <c:v>-2.3374999999999999</c:v>
                </c:pt>
                <c:pt idx="837">
                  <c:v>-2.2496999999999998</c:v>
                </c:pt>
                <c:pt idx="838">
                  <c:v>-3.2545999999999999</c:v>
                </c:pt>
                <c:pt idx="839">
                  <c:v>-3.573</c:v>
                </c:pt>
                <c:pt idx="840">
                  <c:v>-5.1544999999999996</c:v>
                </c:pt>
                <c:pt idx="841">
                  <c:v>-5.1544999999999996</c:v>
                </c:pt>
                <c:pt idx="842">
                  <c:v>-5.1544999999999996</c:v>
                </c:pt>
                <c:pt idx="843">
                  <c:v>-5.1401000000000003</c:v>
                </c:pt>
                <c:pt idx="844">
                  <c:v>-4.6322999999999999</c:v>
                </c:pt>
                <c:pt idx="845">
                  <c:v>-4.5538999999999996</c:v>
                </c:pt>
                <c:pt idx="846">
                  <c:v>-5.5865999999999998</c:v>
                </c:pt>
                <c:pt idx="847">
                  <c:v>-5.8662999999999998</c:v>
                </c:pt>
                <c:pt idx="848">
                  <c:v>-5.8662999999999998</c:v>
                </c:pt>
                <c:pt idx="849">
                  <c:v>-5.8662999999999998</c:v>
                </c:pt>
                <c:pt idx="850">
                  <c:v>-5.6795999999999998</c:v>
                </c:pt>
                <c:pt idx="851">
                  <c:v>-5.0784000000000002</c:v>
                </c:pt>
                <c:pt idx="852">
                  <c:v>-4.3545999999999996</c:v>
                </c:pt>
                <c:pt idx="853">
                  <c:v>-2.9424999999999999</c:v>
                </c:pt>
                <c:pt idx="854">
                  <c:v>-2.6499000000000001</c:v>
                </c:pt>
                <c:pt idx="855">
                  <c:v>-2.6499000000000001</c:v>
                </c:pt>
                <c:pt idx="856">
                  <c:v>-2.6499000000000001</c:v>
                </c:pt>
                <c:pt idx="857">
                  <c:v>-2.9914000000000001</c:v>
                </c:pt>
                <c:pt idx="858">
                  <c:v>-2.8845999999999998</c:v>
                </c:pt>
                <c:pt idx="859">
                  <c:v>-2.3913000000000002</c:v>
                </c:pt>
                <c:pt idx="860">
                  <c:v>-1.6033999999999999</c:v>
                </c:pt>
                <c:pt idx="861">
                  <c:v>-2.3605999999999998</c:v>
                </c:pt>
                <c:pt idx="862">
                  <c:v>-2.3605999999999998</c:v>
                </c:pt>
                <c:pt idx="863">
                  <c:v>-2.3605999999999998</c:v>
                </c:pt>
                <c:pt idx="864">
                  <c:v>-1.6516999999999999</c:v>
                </c:pt>
                <c:pt idx="865">
                  <c:v>7.51E-2</c:v>
                </c:pt>
                <c:pt idx="866">
                  <c:v>0.93230000000000002</c:v>
                </c:pt>
                <c:pt idx="867">
                  <c:v>1.1786000000000001</c:v>
                </c:pt>
                <c:pt idx="868">
                  <c:v>2.0282</c:v>
                </c:pt>
                <c:pt idx="869">
                  <c:v>2.0282</c:v>
                </c:pt>
                <c:pt idx="870">
                  <c:v>2.0282</c:v>
                </c:pt>
                <c:pt idx="871">
                  <c:v>1.9138999999999999</c:v>
                </c:pt>
                <c:pt idx="872">
                  <c:v>1.9088000000000001</c:v>
                </c:pt>
                <c:pt idx="873">
                  <c:v>2.2759999999999998</c:v>
                </c:pt>
                <c:pt idx="874">
                  <c:v>2.5125000000000002</c:v>
                </c:pt>
                <c:pt idx="875">
                  <c:v>2.7353000000000001</c:v>
                </c:pt>
                <c:pt idx="876">
                  <c:v>2.7353000000000001</c:v>
                </c:pt>
                <c:pt idx="877">
                  <c:v>2.7353000000000001</c:v>
                </c:pt>
                <c:pt idx="878">
                  <c:v>2.3307000000000002</c:v>
                </c:pt>
                <c:pt idx="879">
                  <c:v>2.4992999999999999</c:v>
                </c:pt>
                <c:pt idx="880">
                  <c:v>3.6131000000000002</c:v>
                </c:pt>
                <c:pt idx="881">
                  <c:v>3.927</c:v>
                </c:pt>
                <c:pt idx="882">
                  <c:v>5.0941000000000001</c:v>
                </c:pt>
                <c:pt idx="883">
                  <c:v>5.0941000000000001</c:v>
                </c:pt>
                <c:pt idx="884">
                  <c:v>5.0941000000000001</c:v>
                </c:pt>
                <c:pt idx="885">
                  <c:v>5.1405000000000003</c:v>
                </c:pt>
                <c:pt idx="886">
                  <c:v>5.9630999999999998</c:v>
                </c:pt>
                <c:pt idx="887">
                  <c:v>6.7534999999999998</c:v>
                </c:pt>
                <c:pt idx="888">
                  <c:v>6.5776000000000003</c:v>
                </c:pt>
                <c:pt idx="889">
                  <c:v>7.4122000000000003</c:v>
                </c:pt>
                <c:pt idx="890">
                  <c:v>7.4122000000000003</c:v>
                </c:pt>
                <c:pt idx="891">
                  <c:v>7.4122000000000003</c:v>
                </c:pt>
                <c:pt idx="892">
                  <c:v>7.6379000000000001</c:v>
                </c:pt>
                <c:pt idx="893">
                  <c:v>7.6207000000000003</c:v>
                </c:pt>
                <c:pt idx="894">
                  <c:v>7.4560000000000004</c:v>
                </c:pt>
                <c:pt idx="895">
                  <c:v>7.3673999999999999</c:v>
                </c:pt>
                <c:pt idx="896">
                  <c:v>7.3624000000000001</c:v>
                </c:pt>
                <c:pt idx="897">
                  <c:v>7.3624000000000001</c:v>
                </c:pt>
                <c:pt idx="898">
                  <c:v>7.3624000000000001</c:v>
                </c:pt>
                <c:pt idx="899">
                  <c:v>6.7157999999999998</c:v>
                </c:pt>
                <c:pt idx="900">
                  <c:v>7.3173000000000004</c:v>
                </c:pt>
                <c:pt idx="901">
                  <c:v>7.2445000000000004</c:v>
                </c:pt>
                <c:pt idx="902">
                  <c:v>6.9520999999999997</c:v>
                </c:pt>
                <c:pt idx="903">
                  <c:v>7.0723000000000003</c:v>
                </c:pt>
                <c:pt idx="904">
                  <c:v>7.0723000000000003</c:v>
                </c:pt>
                <c:pt idx="905">
                  <c:v>7.0723000000000003</c:v>
                </c:pt>
                <c:pt idx="906">
                  <c:v>7.0723000000000003</c:v>
                </c:pt>
                <c:pt idx="907">
                  <c:v>7.0723000000000003</c:v>
                </c:pt>
                <c:pt idx="908">
                  <c:v>7.3022999999999998</c:v>
                </c:pt>
                <c:pt idx="909">
                  <c:v>7.0426000000000002</c:v>
                </c:pt>
                <c:pt idx="910">
                  <c:v>7.3636999999999997</c:v>
                </c:pt>
                <c:pt idx="911">
                  <c:v>7.3636999999999997</c:v>
                </c:pt>
                <c:pt idx="912">
                  <c:v>7.3636999999999997</c:v>
                </c:pt>
                <c:pt idx="913">
                  <c:v>7.3636999999999997</c:v>
                </c:pt>
                <c:pt idx="914">
                  <c:v>7.4771999999999998</c:v>
                </c:pt>
                <c:pt idx="915">
                  <c:v>5.9969000000000001</c:v>
                </c:pt>
                <c:pt idx="916">
                  <c:v>6.5026000000000002</c:v>
                </c:pt>
                <c:pt idx="917">
                  <c:v>6.3547000000000002</c:v>
                </c:pt>
                <c:pt idx="918">
                  <c:v>6.3547000000000002</c:v>
                </c:pt>
                <c:pt idx="919">
                  <c:v>6.3547000000000002</c:v>
                </c:pt>
                <c:pt idx="920">
                  <c:v>7.1382000000000003</c:v>
                </c:pt>
                <c:pt idx="921">
                  <c:v>6.9581</c:v>
                </c:pt>
                <c:pt idx="922">
                  <c:v>6.9673999999999996</c:v>
                </c:pt>
                <c:pt idx="923">
                  <c:v>6.0522999999999998</c:v>
                </c:pt>
                <c:pt idx="924">
                  <c:v>7.0618999999999996</c:v>
                </c:pt>
                <c:pt idx="925">
                  <c:v>7.0618999999999996</c:v>
                </c:pt>
                <c:pt idx="926">
                  <c:v>7.0618999999999996</c:v>
                </c:pt>
                <c:pt idx="927">
                  <c:v>6.5342000000000002</c:v>
                </c:pt>
                <c:pt idx="928">
                  <c:v>6.2103000000000002</c:v>
                </c:pt>
                <c:pt idx="929">
                  <c:v>5.3131000000000004</c:v>
                </c:pt>
                <c:pt idx="930">
                  <c:v>6.1825000000000001</c:v>
                </c:pt>
                <c:pt idx="931">
                  <c:v>6.1041999999999996</c:v>
                </c:pt>
                <c:pt idx="932">
                  <c:v>6.1041999999999996</c:v>
                </c:pt>
                <c:pt idx="933">
                  <c:v>6.1041999999999996</c:v>
                </c:pt>
                <c:pt idx="934">
                  <c:v>6.9260000000000002</c:v>
                </c:pt>
                <c:pt idx="935">
                  <c:v>6.5654000000000003</c:v>
                </c:pt>
                <c:pt idx="936">
                  <c:v>8.2499000000000002</c:v>
                </c:pt>
                <c:pt idx="937">
                  <c:v>8.3589000000000002</c:v>
                </c:pt>
                <c:pt idx="938">
                  <c:v>8.7080000000000002</c:v>
                </c:pt>
                <c:pt idx="939">
                  <c:v>8.7080000000000002</c:v>
                </c:pt>
                <c:pt idx="940">
                  <c:v>8.7080000000000002</c:v>
                </c:pt>
                <c:pt idx="941">
                  <c:v>8.5817999999999994</c:v>
                </c:pt>
                <c:pt idx="942">
                  <c:v>8.7782</c:v>
                </c:pt>
                <c:pt idx="943">
                  <c:v>8.3385999999999996</c:v>
                </c:pt>
                <c:pt idx="944">
                  <c:v>8.0519999999999996</c:v>
                </c:pt>
                <c:pt idx="945">
                  <c:v>8.4312000000000005</c:v>
                </c:pt>
                <c:pt idx="946">
                  <c:v>8.4312000000000005</c:v>
                </c:pt>
                <c:pt idx="947">
                  <c:v>8.4312000000000005</c:v>
                </c:pt>
                <c:pt idx="948">
                  <c:v>8.3405000000000005</c:v>
                </c:pt>
                <c:pt idx="949">
                  <c:v>9.1684999999999999</c:v>
                </c:pt>
                <c:pt idx="950">
                  <c:v>8.4552999999999994</c:v>
                </c:pt>
                <c:pt idx="951">
                  <c:v>8.7235999999999994</c:v>
                </c:pt>
                <c:pt idx="952">
                  <c:v>8.4844000000000008</c:v>
                </c:pt>
                <c:pt idx="953">
                  <c:v>8.4844000000000008</c:v>
                </c:pt>
                <c:pt idx="954">
                  <c:v>8.4844000000000008</c:v>
                </c:pt>
                <c:pt idx="955">
                  <c:v>9.1948000000000008</c:v>
                </c:pt>
                <c:pt idx="956">
                  <c:v>8.1917000000000009</c:v>
                </c:pt>
                <c:pt idx="957">
                  <c:v>8.6059999999999999</c:v>
                </c:pt>
                <c:pt idx="958">
                  <c:v>9.2546999999999997</c:v>
                </c:pt>
                <c:pt idx="959">
                  <c:v>9.7081</c:v>
                </c:pt>
                <c:pt idx="960">
                  <c:v>9.7081</c:v>
                </c:pt>
                <c:pt idx="961">
                  <c:v>9.7081</c:v>
                </c:pt>
                <c:pt idx="962">
                  <c:v>9.5466999999999995</c:v>
                </c:pt>
                <c:pt idx="963">
                  <c:v>9.3940000000000001</c:v>
                </c:pt>
                <c:pt idx="964">
                  <c:v>9.7125000000000004</c:v>
                </c:pt>
                <c:pt idx="965">
                  <c:v>11.329700000000001</c:v>
                </c:pt>
                <c:pt idx="966">
                  <c:v>11.643000000000001</c:v>
                </c:pt>
                <c:pt idx="967">
                  <c:v>11.643000000000001</c:v>
                </c:pt>
                <c:pt idx="968">
                  <c:v>11.643000000000001</c:v>
                </c:pt>
                <c:pt idx="969">
                  <c:v>11.667999999999999</c:v>
                </c:pt>
                <c:pt idx="970">
                  <c:v>12.5221</c:v>
                </c:pt>
                <c:pt idx="971">
                  <c:v>12.8087</c:v>
                </c:pt>
                <c:pt idx="972">
                  <c:v>13.302</c:v>
                </c:pt>
                <c:pt idx="973">
                  <c:v>13.666600000000001</c:v>
                </c:pt>
                <c:pt idx="974">
                  <c:v>13.666600000000001</c:v>
                </c:pt>
                <c:pt idx="975">
                  <c:v>13.666600000000001</c:v>
                </c:pt>
                <c:pt idx="976">
                  <c:v>13.545500000000001</c:v>
                </c:pt>
                <c:pt idx="977">
                  <c:v>13.4316</c:v>
                </c:pt>
                <c:pt idx="978">
                  <c:v>13.5489</c:v>
                </c:pt>
                <c:pt idx="979">
                  <c:v>14.3574</c:v>
                </c:pt>
                <c:pt idx="980">
                  <c:v>14.175700000000001</c:v>
                </c:pt>
                <c:pt idx="981">
                  <c:v>14.175700000000001</c:v>
                </c:pt>
                <c:pt idx="982">
                  <c:v>14.175700000000001</c:v>
                </c:pt>
                <c:pt idx="983">
                  <c:v>13.7384</c:v>
                </c:pt>
                <c:pt idx="984">
                  <c:v>15.141</c:v>
                </c:pt>
                <c:pt idx="985">
                  <c:v>15.117100000000001</c:v>
                </c:pt>
                <c:pt idx="986">
                  <c:v>14.9931</c:v>
                </c:pt>
                <c:pt idx="987">
                  <c:v>14.958600000000001</c:v>
                </c:pt>
                <c:pt idx="988">
                  <c:v>14.958600000000001</c:v>
                </c:pt>
                <c:pt idx="989">
                  <c:v>14.958600000000001</c:v>
                </c:pt>
                <c:pt idx="990">
                  <c:v>14.9331</c:v>
                </c:pt>
                <c:pt idx="991">
                  <c:v>15.2844</c:v>
                </c:pt>
                <c:pt idx="992">
                  <c:v>15.461499999999999</c:v>
                </c:pt>
                <c:pt idx="993">
                  <c:v>16.513400000000001</c:v>
                </c:pt>
                <c:pt idx="994">
                  <c:v>16.6845</c:v>
                </c:pt>
                <c:pt idx="995">
                  <c:v>16.6845</c:v>
                </c:pt>
                <c:pt idx="996">
                  <c:v>16.6845</c:v>
                </c:pt>
                <c:pt idx="997">
                  <c:v>17.039300000000001</c:v>
                </c:pt>
                <c:pt idx="998">
                  <c:v>17.8279</c:v>
                </c:pt>
                <c:pt idx="999">
                  <c:v>18.4223</c:v>
                </c:pt>
                <c:pt idx="1000">
                  <c:v>18.521000000000001</c:v>
                </c:pt>
                <c:pt idx="1001">
                  <c:v>18.521000000000001</c:v>
                </c:pt>
                <c:pt idx="1002">
                  <c:v>18.521000000000001</c:v>
                </c:pt>
                <c:pt idx="1003">
                  <c:v>18.521000000000001</c:v>
                </c:pt>
                <c:pt idx="1004">
                  <c:v>18.521000000000001</c:v>
                </c:pt>
                <c:pt idx="1005">
                  <c:v>17.179200000000002</c:v>
                </c:pt>
                <c:pt idx="1006">
                  <c:v>17.721299999999999</c:v>
                </c:pt>
                <c:pt idx="1007">
                  <c:v>17.9483</c:v>
                </c:pt>
                <c:pt idx="1008">
                  <c:v>16.4864</c:v>
                </c:pt>
                <c:pt idx="1009">
                  <c:v>16.4864</c:v>
                </c:pt>
                <c:pt idx="1010">
                  <c:v>16.4864</c:v>
                </c:pt>
                <c:pt idx="1011">
                  <c:v>17.408899999999999</c:v>
                </c:pt>
                <c:pt idx="1012">
                  <c:v>15.8561</c:v>
                </c:pt>
                <c:pt idx="1013">
                  <c:v>15.988200000000001</c:v>
                </c:pt>
                <c:pt idx="1014">
                  <c:v>15.072800000000001</c:v>
                </c:pt>
                <c:pt idx="1015">
                  <c:v>14.917999999999999</c:v>
                </c:pt>
                <c:pt idx="1016">
                  <c:v>14.917999999999999</c:v>
                </c:pt>
                <c:pt idx="1017">
                  <c:v>14.917999999999999</c:v>
                </c:pt>
                <c:pt idx="1018">
                  <c:v>15.5349</c:v>
                </c:pt>
                <c:pt idx="1019">
                  <c:v>13.866300000000001</c:v>
                </c:pt>
                <c:pt idx="1020">
                  <c:v>13.890599999999999</c:v>
                </c:pt>
                <c:pt idx="1021">
                  <c:v>14.3224</c:v>
                </c:pt>
                <c:pt idx="1022">
                  <c:v>13.6813</c:v>
                </c:pt>
                <c:pt idx="1023">
                  <c:v>13.6813</c:v>
                </c:pt>
                <c:pt idx="1024">
                  <c:v>13.6813</c:v>
                </c:pt>
                <c:pt idx="1025">
                  <c:v>14.4724</c:v>
                </c:pt>
                <c:pt idx="1026">
                  <c:v>16.2468</c:v>
                </c:pt>
                <c:pt idx="1027">
                  <c:v>15.9331</c:v>
                </c:pt>
                <c:pt idx="1028">
                  <c:v>14.8344</c:v>
                </c:pt>
                <c:pt idx="1029">
                  <c:v>16.3965</c:v>
                </c:pt>
                <c:pt idx="1030">
                  <c:v>16.3965</c:v>
                </c:pt>
                <c:pt idx="1031">
                  <c:v>16.3965</c:v>
                </c:pt>
                <c:pt idx="1032">
                  <c:v>16.122900000000001</c:v>
                </c:pt>
                <c:pt idx="1033">
                  <c:v>14.9298</c:v>
                </c:pt>
                <c:pt idx="1034">
                  <c:v>14.9298</c:v>
                </c:pt>
                <c:pt idx="1035">
                  <c:v>14.7012</c:v>
                </c:pt>
                <c:pt idx="1036">
                  <c:v>15.3748</c:v>
                </c:pt>
                <c:pt idx="1037">
                  <c:v>15.3748</c:v>
                </c:pt>
                <c:pt idx="1038">
                  <c:v>15.3748</c:v>
                </c:pt>
                <c:pt idx="1039">
                  <c:v>16.487500000000001</c:v>
                </c:pt>
                <c:pt idx="1040">
                  <c:v>18.120799999999999</c:v>
                </c:pt>
                <c:pt idx="1041">
                  <c:v>18.558800000000002</c:v>
                </c:pt>
                <c:pt idx="1042">
                  <c:v>19.7651</c:v>
                </c:pt>
                <c:pt idx="1043">
                  <c:v>20.317900000000002</c:v>
                </c:pt>
                <c:pt idx="1044">
                  <c:v>20.317900000000002</c:v>
                </c:pt>
                <c:pt idx="1045">
                  <c:v>20.317900000000002</c:v>
                </c:pt>
                <c:pt idx="1046">
                  <c:v>20.121600000000001</c:v>
                </c:pt>
                <c:pt idx="1047">
                  <c:v>19.956199999999999</c:v>
                </c:pt>
                <c:pt idx="1048">
                  <c:v>20.936399999999999</c:v>
                </c:pt>
                <c:pt idx="1049">
                  <c:v>20.099699999999999</c:v>
                </c:pt>
                <c:pt idx="1050">
                  <c:v>19.879300000000001</c:v>
                </c:pt>
                <c:pt idx="1051">
                  <c:v>19.879300000000001</c:v>
                </c:pt>
                <c:pt idx="1052">
                  <c:v>19.879300000000001</c:v>
                </c:pt>
                <c:pt idx="1053">
                  <c:v>20.292899999999999</c:v>
                </c:pt>
                <c:pt idx="1054">
                  <c:v>20.022500000000001</c:v>
                </c:pt>
                <c:pt idx="1055">
                  <c:v>19.7241</c:v>
                </c:pt>
                <c:pt idx="1056">
                  <c:v>19.795300000000001</c:v>
                </c:pt>
                <c:pt idx="1057">
                  <c:v>19.808499999999999</c:v>
                </c:pt>
                <c:pt idx="1058">
                  <c:v>19.808499999999999</c:v>
                </c:pt>
                <c:pt idx="1059">
                  <c:v>19.808499999999999</c:v>
                </c:pt>
                <c:pt idx="1060">
                  <c:v>20.329799999999999</c:v>
                </c:pt>
                <c:pt idx="1061">
                  <c:v>19.709099999999999</c:v>
                </c:pt>
                <c:pt idx="1062">
                  <c:v>18.398</c:v>
                </c:pt>
                <c:pt idx="1063">
                  <c:v>18.5486</c:v>
                </c:pt>
                <c:pt idx="1064">
                  <c:v>18.555900000000001</c:v>
                </c:pt>
                <c:pt idx="1065">
                  <c:v>18.555900000000001</c:v>
                </c:pt>
                <c:pt idx="1066">
                  <c:v>18.555900000000001</c:v>
                </c:pt>
                <c:pt idx="1067">
                  <c:v>19.2624</c:v>
                </c:pt>
                <c:pt idx="1068">
                  <c:v>17.964400000000001</c:v>
                </c:pt>
                <c:pt idx="1069">
                  <c:v>19.055900000000001</c:v>
                </c:pt>
                <c:pt idx="1070">
                  <c:v>19.547599999999999</c:v>
                </c:pt>
                <c:pt idx="1071">
                  <c:v>18.936199999999999</c:v>
                </c:pt>
                <c:pt idx="1072">
                  <c:v>18.936199999999999</c:v>
                </c:pt>
                <c:pt idx="1073">
                  <c:v>18.936199999999999</c:v>
                </c:pt>
                <c:pt idx="1074">
                  <c:v>18.5364</c:v>
                </c:pt>
                <c:pt idx="1075">
                  <c:v>17.735600000000002</c:v>
                </c:pt>
                <c:pt idx="1076">
                  <c:v>19.407800000000002</c:v>
                </c:pt>
                <c:pt idx="1077">
                  <c:v>17.067399999999999</c:v>
                </c:pt>
                <c:pt idx="1078">
                  <c:v>15.3775</c:v>
                </c:pt>
                <c:pt idx="1079">
                  <c:v>15.3775</c:v>
                </c:pt>
                <c:pt idx="1080">
                  <c:v>15.3775</c:v>
                </c:pt>
                <c:pt idx="1081">
                  <c:v>15.8017</c:v>
                </c:pt>
                <c:pt idx="1082">
                  <c:v>16.2104</c:v>
                </c:pt>
                <c:pt idx="1083">
                  <c:v>15.799799999999999</c:v>
                </c:pt>
                <c:pt idx="1084">
                  <c:v>16.9937</c:v>
                </c:pt>
                <c:pt idx="1085">
                  <c:v>16.412600000000001</c:v>
                </c:pt>
                <c:pt idx="1086">
                  <c:v>16.412600000000001</c:v>
                </c:pt>
                <c:pt idx="1087">
                  <c:v>16.412600000000001</c:v>
                </c:pt>
                <c:pt idx="1088">
                  <c:v>17.4513</c:v>
                </c:pt>
                <c:pt idx="1089">
                  <c:v>16.503</c:v>
                </c:pt>
                <c:pt idx="1090">
                  <c:v>16.359500000000001</c:v>
                </c:pt>
                <c:pt idx="1091">
                  <c:v>16.713999999999999</c:v>
                </c:pt>
                <c:pt idx="1092">
                  <c:v>16.8736</c:v>
                </c:pt>
                <c:pt idx="1093">
                  <c:v>16.8736</c:v>
                </c:pt>
                <c:pt idx="1094">
                  <c:v>16.8736</c:v>
                </c:pt>
                <c:pt idx="1095">
                  <c:v>17.227499999999999</c:v>
                </c:pt>
                <c:pt idx="1096">
                  <c:v>16.4161</c:v>
                </c:pt>
                <c:pt idx="1097">
                  <c:v>17.765000000000001</c:v>
                </c:pt>
                <c:pt idx="1098">
                  <c:v>18.251799999999999</c:v>
                </c:pt>
                <c:pt idx="1099">
                  <c:v>18.411799999999999</c:v>
                </c:pt>
                <c:pt idx="1100">
                  <c:v>18.411799999999999</c:v>
                </c:pt>
                <c:pt idx="1101">
                  <c:v>18.411799999999999</c:v>
                </c:pt>
                <c:pt idx="1102">
                  <c:v>18.39</c:v>
                </c:pt>
                <c:pt idx="1103">
                  <c:v>16.878299999999999</c:v>
                </c:pt>
                <c:pt idx="1104">
                  <c:v>17.974499999999999</c:v>
                </c:pt>
                <c:pt idx="1105">
                  <c:v>18.790600000000001</c:v>
                </c:pt>
                <c:pt idx="1106">
                  <c:v>20.159800000000001</c:v>
                </c:pt>
                <c:pt idx="1107">
                  <c:v>20.159800000000001</c:v>
                </c:pt>
                <c:pt idx="1108">
                  <c:v>20.159800000000001</c:v>
                </c:pt>
                <c:pt idx="1109">
                  <c:v>19.151700000000002</c:v>
                </c:pt>
                <c:pt idx="1110">
                  <c:v>18.684699999999999</c:v>
                </c:pt>
                <c:pt idx="1111">
                  <c:v>18.167300000000001</c:v>
                </c:pt>
                <c:pt idx="1112">
                  <c:v>17.638300000000001</c:v>
                </c:pt>
                <c:pt idx="1113">
                  <c:v>16.4665</c:v>
                </c:pt>
                <c:pt idx="1114">
                  <c:v>16.4665</c:v>
                </c:pt>
                <c:pt idx="1115">
                  <c:v>16.4665</c:v>
                </c:pt>
                <c:pt idx="1116">
                  <c:v>17.973500000000001</c:v>
                </c:pt>
                <c:pt idx="1117">
                  <c:v>18.939</c:v>
                </c:pt>
                <c:pt idx="1118">
                  <c:v>17.847899999999999</c:v>
                </c:pt>
                <c:pt idx="1119">
                  <c:v>17.2791</c:v>
                </c:pt>
                <c:pt idx="1120">
                  <c:v>18.040700000000001</c:v>
                </c:pt>
                <c:pt idx="1121">
                  <c:v>18.040700000000001</c:v>
                </c:pt>
                <c:pt idx="1122">
                  <c:v>18.040700000000001</c:v>
                </c:pt>
                <c:pt idx="1123">
                  <c:v>17.419799999999999</c:v>
                </c:pt>
                <c:pt idx="1124">
                  <c:v>17.9999</c:v>
                </c:pt>
                <c:pt idx="1125">
                  <c:v>18.624600000000001</c:v>
                </c:pt>
                <c:pt idx="1126">
                  <c:v>15.8969</c:v>
                </c:pt>
                <c:pt idx="1127">
                  <c:v>13.193300000000001</c:v>
                </c:pt>
                <c:pt idx="1128">
                  <c:v>13.193300000000001</c:v>
                </c:pt>
                <c:pt idx="1129">
                  <c:v>13.193300000000001</c:v>
                </c:pt>
                <c:pt idx="1130">
                  <c:v>11.1281</c:v>
                </c:pt>
                <c:pt idx="1131">
                  <c:v>11.2263</c:v>
                </c:pt>
                <c:pt idx="1132">
                  <c:v>12.898</c:v>
                </c:pt>
                <c:pt idx="1133">
                  <c:v>13.3162</c:v>
                </c:pt>
                <c:pt idx="1134">
                  <c:v>13.5885</c:v>
                </c:pt>
                <c:pt idx="1135">
                  <c:v>13.5885</c:v>
                </c:pt>
                <c:pt idx="1136">
                  <c:v>13.5885</c:v>
                </c:pt>
                <c:pt idx="1137">
                  <c:v>13.611499999999999</c:v>
                </c:pt>
                <c:pt idx="1138">
                  <c:v>14.16</c:v>
                </c:pt>
                <c:pt idx="1139">
                  <c:v>14.631399999999999</c:v>
                </c:pt>
                <c:pt idx="1140">
                  <c:v>16.539000000000001</c:v>
                </c:pt>
                <c:pt idx="1141">
                  <c:v>17.430900000000001</c:v>
                </c:pt>
                <c:pt idx="1142">
                  <c:v>17.430900000000001</c:v>
                </c:pt>
                <c:pt idx="1143">
                  <c:v>17.430900000000001</c:v>
                </c:pt>
                <c:pt idx="1144">
                  <c:v>18.0672</c:v>
                </c:pt>
                <c:pt idx="1145">
                  <c:v>17.655999999999999</c:v>
                </c:pt>
                <c:pt idx="1146">
                  <c:v>18.242000000000001</c:v>
                </c:pt>
                <c:pt idx="1147">
                  <c:v>18.526800000000001</c:v>
                </c:pt>
                <c:pt idx="1148">
                  <c:v>19.4222</c:v>
                </c:pt>
                <c:pt idx="1149">
                  <c:v>19.4222</c:v>
                </c:pt>
                <c:pt idx="1150">
                  <c:v>19.4222</c:v>
                </c:pt>
                <c:pt idx="1151">
                  <c:v>19.319099999999999</c:v>
                </c:pt>
                <c:pt idx="1152">
                  <c:v>19.734400000000001</c:v>
                </c:pt>
                <c:pt idx="1153">
                  <c:v>20.378399999999999</c:v>
                </c:pt>
                <c:pt idx="1154">
                  <c:v>21.2134</c:v>
                </c:pt>
                <c:pt idx="1155">
                  <c:v>21.177199999999999</c:v>
                </c:pt>
                <c:pt idx="1156">
                  <c:v>21.177199999999999</c:v>
                </c:pt>
                <c:pt idx="1157">
                  <c:v>21.177199999999999</c:v>
                </c:pt>
                <c:pt idx="1158">
                  <c:v>21.330500000000001</c:v>
                </c:pt>
                <c:pt idx="1159">
                  <c:v>20.152899999999999</c:v>
                </c:pt>
                <c:pt idx="1160">
                  <c:v>19.157800000000002</c:v>
                </c:pt>
                <c:pt idx="1161">
                  <c:v>19.0594</c:v>
                </c:pt>
                <c:pt idx="1162">
                  <c:v>17.299499999999998</c:v>
                </c:pt>
                <c:pt idx="1163">
                  <c:v>17.299499999999998</c:v>
                </c:pt>
                <c:pt idx="1164">
                  <c:v>17.299499999999998</c:v>
                </c:pt>
                <c:pt idx="1165">
                  <c:v>18.2074</c:v>
                </c:pt>
                <c:pt idx="1166">
                  <c:v>17.068899999999999</c:v>
                </c:pt>
                <c:pt idx="1167">
                  <c:v>17.481300000000001</c:v>
                </c:pt>
                <c:pt idx="1168">
                  <c:v>18.687000000000001</c:v>
                </c:pt>
                <c:pt idx="1169">
                  <c:v>19.847100000000001</c:v>
                </c:pt>
                <c:pt idx="1170">
                  <c:v>19.847100000000001</c:v>
                </c:pt>
                <c:pt idx="1171">
                  <c:v>19.847100000000001</c:v>
                </c:pt>
                <c:pt idx="1172">
                  <c:v>19.4223</c:v>
                </c:pt>
                <c:pt idx="1173">
                  <c:v>20.0181</c:v>
                </c:pt>
                <c:pt idx="1174">
                  <c:v>19.924600000000002</c:v>
                </c:pt>
                <c:pt idx="1175">
                  <c:v>21.789000000000001</c:v>
                </c:pt>
                <c:pt idx="1176">
                  <c:v>19.979199999999999</c:v>
                </c:pt>
                <c:pt idx="1177">
                  <c:v>19.979199999999999</c:v>
                </c:pt>
                <c:pt idx="1178">
                  <c:v>19.979199999999999</c:v>
                </c:pt>
                <c:pt idx="1179">
                  <c:v>20.791799999999999</c:v>
                </c:pt>
                <c:pt idx="1180">
                  <c:v>21.752099999999999</c:v>
                </c:pt>
                <c:pt idx="1181">
                  <c:v>21.2514</c:v>
                </c:pt>
                <c:pt idx="1182">
                  <c:v>23.301400000000001</c:v>
                </c:pt>
                <c:pt idx="1183">
                  <c:v>24.8093</c:v>
                </c:pt>
                <c:pt idx="1184">
                  <c:v>24.8093</c:v>
                </c:pt>
                <c:pt idx="1185">
                  <c:v>24.8093</c:v>
                </c:pt>
                <c:pt idx="1186">
                  <c:v>23.856200000000001</c:v>
                </c:pt>
                <c:pt idx="1187">
                  <c:v>23.139800000000001</c:v>
                </c:pt>
                <c:pt idx="1188">
                  <c:v>22.829599999999999</c:v>
                </c:pt>
                <c:pt idx="1189">
                  <c:v>21.872499999999999</c:v>
                </c:pt>
                <c:pt idx="1190">
                  <c:v>22.5488</c:v>
                </c:pt>
                <c:pt idx="1191">
                  <c:v>22.5488</c:v>
                </c:pt>
                <c:pt idx="1192">
                  <c:v>22.5488</c:v>
                </c:pt>
                <c:pt idx="1193">
                  <c:v>22.440899999999999</c:v>
                </c:pt>
                <c:pt idx="1194">
                  <c:v>22.1997</c:v>
                </c:pt>
                <c:pt idx="1195">
                  <c:v>23.407599999999999</c:v>
                </c:pt>
                <c:pt idx="1196">
                  <c:v>23.125399999999999</c:v>
                </c:pt>
                <c:pt idx="1197">
                  <c:v>24.169599999999999</c:v>
                </c:pt>
                <c:pt idx="1198">
                  <c:v>24.169599999999999</c:v>
                </c:pt>
                <c:pt idx="1199">
                  <c:v>24.169599999999999</c:v>
                </c:pt>
                <c:pt idx="1200">
                  <c:v>25.031400000000001</c:v>
                </c:pt>
                <c:pt idx="1201">
                  <c:v>24.889800000000001</c:v>
                </c:pt>
                <c:pt idx="1202">
                  <c:v>24.547699999999999</c:v>
                </c:pt>
                <c:pt idx="1203">
                  <c:v>25.512699999999999</c:v>
                </c:pt>
                <c:pt idx="1204">
                  <c:v>25.986899999999999</c:v>
                </c:pt>
                <c:pt idx="1205">
                  <c:v>25.986899999999999</c:v>
                </c:pt>
                <c:pt idx="1206">
                  <c:v>25.986899999999999</c:v>
                </c:pt>
                <c:pt idx="1207">
                  <c:v>24.729600000000001</c:v>
                </c:pt>
                <c:pt idx="1208">
                  <c:v>24.477799999999998</c:v>
                </c:pt>
                <c:pt idx="1209">
                  <c:v>24.193899999999999</c:v>
                </c:pt>
                <c:pt idx="1210">
                  <c:v>24.613</c:v>
                </c:pt>
                <c:pt idx="1211">
                  <c:v>24.744900000000001</c:v>
                </c:pt>
                <c:pt idx="1212">
                  <c:v>24.744900000000001</c:v>
                </c:pt>
                <c:pt idx="1213">
                  <c:v>24.744900000000001</c:v>
                </c:pt>
                <c:pt idx="1214">
                  <c:v>25.180900000000001</c:v>
                </c:pt>
                <c:pt idx="1215">
                  <c:v>24.837700000000002</c:v>
                </c:pt>
                <c:pt idx="1216">
                  <c:v>23.422999999999998</c:v>
                </c:pt>
                <c:pt idx="1217">
                  <c:v>22.270700000000001</c:v>
                </c:pt>
                <c:pt idx="1218">
                  <c:v>23.407900000000001</c:v>
                </c:pt>
                <c:pt idx="1219">
                  <c:v>23.407900000000001</c:v>
                </c:pt>
                <c:pt idx="1220">
                  <c:v>23.407900000000001</c:v>
                </c:pt>
                <c:pt idx="1221">
                  <c:v>22.721299999999999</c:v>
                </c:pt>
                <c:pt idx="1222">
                  <c:v>23.4162</c:v>
                </c:pt>
                <c:pt idx="1223">
                  <c:v>22.025700000000001</c:v>
                </c:pt>
                <c:pt idx="1224">
                  <c:v>24.097200000000001</c:v>
                </c:pt>
                <c:pt idx="1225">
                  <c:v>23.154800000000002</c:v>
                </c:pt>
                <c:pt idx="1226">
                  <c:v>23.154800000000002</c:v>
                </c:pt>
                <c:pt idx="1227">
                  <c:v>23.154800000000002</c:v>
                </c:pt>
                <c:pt idx="1228">
                  <c:v>24.648900000000001</c:v>
                </c:pt>
                <c:pt idx="1229">
                  <c:v>21.9893</c:v>
                </c:pt>
                <c:pt idx="1230">
                  <c:v>21.793600000000001</c:v>
                </c:pt>
                <c:pt idx="1231">
                  <c:v>23.463799999999999</c:v>
                </c:pt>
                <c:pt idx="1232">
                  <c:v>23.1248</c:v>
                </c:pt>
                <c:pt idx="1233">
                  <c:v>23.1248</c:v>
                </c:pt>
                <c:pt idx="1234">
                  <c:v>23.1248</c:v>
                </c:pt>
                <c:pt idx="1235">
                  <c:v>22.9863</c:v>
                </c:pt>
                <c:pt idx="1236">
                  <c:v>22.160299999999999</c:v>
                </c:pt>
                <c:pt idx="1237">
                  <c:v>21.804400000000001</c:v>
                </c:pt>
                <c:pt idx="1238">
                  <c:v>22.7105</c:v>
                </c:pt>
                <c:pt idx="1239">
                  <c:v>23.841200000000001</c:v>
                </c:pt>
                <c:pt idx="1240">
                  <c:v>23.841200000000001</c:v>
                </c:pt>
                <c:pt idx="1241">
                  <c:v>23.841200000000001</c:v>
                </c:pt>
                <c:pt idx="1242">
                  <c:v>24.370699999999999</c:v>
                </c:pt>
                <c:pt idx="1243">
                  <c:v>23.6707</c:v>
                </c:pt>
                <c:pt idx="1244">
                  <c:v>23.4513</c:v>
                </c:pt>
                <c:pt idx="1245">
                  <c:v>24.502300000000002</c:v>
                </c:pt>
                <c:pt idx="1246">
                  <c:v>25.788699999999999</c:v>
                </c:pt>
                <c:pt idx="1247">
                  <c:v>25.788699999999999</c:v>
                </c:pt>
                <c:pt idx="1248">
                  <c:v>25.788699999999999</c:v>
                </c:pt>
                <c:pt idx="1249">
                  <c:v>27.757400000000001</c:v>
                </c:pt>
                <c:pt idx="1250">
                  <c:v>28.290199999999999</c:v>
                </c:pt>
                <c:pt idx="1251">
                  <c:v>29.6707</c:v>
                </c:pt>
                <c:pt idx="1252">
                  <c:v>30.482500000000002</c:v>
                </c:pt>
                <c:pt idx="1253">
                  <c:v>30.6479</c:v>
                </c:pt>
                <c:pt idx="1254">
                  <c:v>30.6479</c:v>
                </c:pt>
                <c:pt idx="1255">
                  <c:v>30.6479</c:v>
                </c:pt>
                <c:pt idx="1256">
                  <c:v>30.400200000000002</c:v>
                </c:pt>
                <c:pt idx="1257">
                  <c:v>30.2925</c:v>
                </c:pt>
                <c:pt idx="1258">
                  <c:v>30.741099999999999</c:v>
                </c:pt>
                <c:pt idx="1259">
                  <c:v>30.914899999999999</c:v>
                </c:pt>
                <c:pt idx="1260">
                  <c:v>30.784500000000001</c:v>
                </c:pt>
                <c:pt idx="1261">
                  <c:v>30.784500000000001</c:v>
                </c:pt>
                <c:pt idx="1262">
                  <c:v>30.784500000000001</c:v>
                </c:pt>
                <c:pt idx="1263">
                  <c:v>30.194099999999999</c:v>
                </c:pt>
                <c:pt idx="1264">
                  <c:v>29.761900000000001</c:v>
                </c:pt>
                <c:pt idx="1265">
                  <c:v>29.737500000000001</c:v>
                </c:pt>
                <c:pt idx="1266">
                  <c:v>27.989699999999999</c:v>
                </c:pt>
                <c:pt idx="1267">
                  <c:v>27.444199999999999</c:v>
                </c:pt>
                <c:pt idx="1268">
                  <c:v>27.444199999999999</c:v>
                </c:pt>
                <c:pt idx="1269">
                  <c:v>27.444199999999999</c:v>
                </c:pt>
                <c:pt idx="1270">
                  <c:v>27.2136</c:v>
                </c:pt>
                <c:pt idx="1271">
                  <c:v>27.2136</c:v>
                </c:pt>
                <c:pt idx="1272">
                  <c:v>27.2136</c:v>
                </c:pt>
                <c:pt idx="1273">
                  <c:v>27.2136</c:v>
                </c:pt>
                <c:pt idx="1274">
                  <c:v>28.0824</c:v>
                </c:pt>
                <c:pt idx="1275">
                  <c:v>28.0824</c:v>
                </c:pt>
                <c:pt idx="1276">
                  <c:v>28.0824</c:v>
                </c:pt>
                <c:pt idx="1277">
                  <c:v>27.6005</c:v>
                </c:pt>
                <c:pt idx="1278">
                  <c:v>27.6005</c:v>
                </c:pt>
                <c:pt idx="1279">
                  <c:v>27.6005</c:v>
                </c:pt>
                <c:pt idx="1280">
                  <c:v>28.340900000000001</c:v>
                </c:pt>
                <c:pt idx="1281">
                  <c:v>27.5809</c:v>
                </c:pt>
                <c:pt idx="1282">
                  <c:v>27.5809</c:v>
                </c:pt>
                <c:pt idx="1283">
                  <c:v>27.5809</c:v>
                </c:pt>
                <c:pt idx="1284">
                  <c:v>29.5685</c:v>
                </c:pt>
                <c:pt idx="1285">
                  <c:v>30.365600000000001</c:v>
                </c:pt>
                <c:pt idx="1286">
                  <c:v>30.297499999999999</c:v>
                </c:pt>
                <c:pt idx="1287">
                  <c:v>30.215199999999999</c:v>
                </c:pt>
                <c:pt idx="1288">
                  <c:v>29.5595</c:v>
                </c:pt>
                <c:pt idx="1289">
                  <c:v>29.5595</c:v>
                </c:pt>
                <c:pt idx="1290">
                  <c:v>29.5595</c:v>
                </c:pt>
                <c:pt idx="1291">
                  <c:v>29.034300000000002</c:v>
                </c:pt>
                <c:pt idx="1292">
                  <c:v>29.921900000000001</c:v>
                </c:pt>
                <c:pt idx="1293">
                  <c:v>31.866099999999999</c:v>
                </c:pt>
                <c:pt idx="1294">
                  <c:v>32.383299999999998</c:v>
                </c:pt>
                <c:pt idx="1295">
                  <c:v>33.972799999999999</c:v>
                </c:pt>
                <c:pt idx="1296">
                  <c:v>33.972799999999999</c:v>
                </c:pt>
                <c:pt idx="1297">
                  <c:v>33.972799999999999</c:v>
                </c:pt>
                <c:pt idx="1298">
                  <c:v>34.529899999999998</c:v>
                </c:pt>
                <c:pt idx="1299">
                  <c:v>34.861199999999997</c:v>
                </c:pt>
                <c:pt idx="1300">
                  <c:v>36.221699999999998</c:v>
                </c:pt>
                <c:pt idx="1301">
                  <c:v>37.229599999999998</c:v>
                </c:pt>
                <c:pt idx="1302">
                  <c:v>37.123199999999997</c:v>
                </c:pt>
                <c:pt idx="1303">
                  <c:v>37.123199999999997</c:v>
                </c:pt>
                <c:pt idx="1304">
                  <c:v>37.123199999999997</c:v>
                </c:pt>
                <c:pt idx="1305">
                  <c:v>36.400500000000001</c:v>
                </c:pt>
                <c:pt idx="1306">
                  <c:v>37.351700000000001</c:v>
                </c:pt>
                <c:pt idx="1307">
                  <c:v>38.677999999999997</c:v>
                </c:pt>
                <c:pt idx="1308">
                  <c:v>39.252699999999997</c:v>
                </c:pt>
                <c:pt idx="1309">
                  <c:v>39.283799999999999</c:v>
                </c:pt>
                <c:pt idx="1310">
                  <c:v>39.283799999999999</c:v>
                </c:pt>
                <c:pt idx="1311">
                  <c:v>39.283799999999999</c:v>
                </c:pt>
                <c:pt idx="1312">
                  <c:v>37.3367</c:v>
                </c:pt>
                <c:pt idx="1313">
                  <c:v>37.833100000000002</c:v>
                </c:pt>
                <c:pt idx="1314">
                  <c:v>38.347299999999997</c:v>
                </c:pt>
                <c:pt idx="1315">
                  <c:v>40.375700000000002</c:v>
                </c:pt>
                <c:pt idx="1316">
                  <c:v>39.636000000000003</c:v>
                </c:pt>
                <c:pt idx="1317">
                  <c:v>39.636000000000003</c:v>
                </c:pt>
                <c:pt idx="1318">
                  <c:v>39.636000000000003</c:v>
                </c:pt>
                <c:pt idx="1319">
                  <c:v>40.435499999999998</c:v>
                </c:pt>
                <c:pt idx="1320">
                  <c:v>41.243600000000001</c:v>
                </c:pt>
                <c:pt idx="1321">
                  <c:v>41.9499</c:v>
                </c:pt>
                <c:pt idx="1322">
                  <c:v>44.923699999999997</c:v>
                </c:pt>
                <c:pt idx="1323">
                  <c:v>44.291699999999999</c:v>
                </c:pt>
                <c:pt idx="1324">
                  <c:v>44.291699999999999</c:v>
                </c:pt>
                <c:pt idx="1325">
                  <c:v>44.291699999999999</c:v>
                </c:pt>
                <c:pt idx="1326">
                  <c:v>46.116199999999999</c:v>
                </c:pt>
                <c:pt idx="1327">
                  <c:v>46.413699999999999</c:v>
                </c:pt>
                <c:pt idx="1328">
                  <c:v>43.780299999999997</c:v>
                </c:pt>
                <c:pt idx="1329">
                  <c:v>43.017800000000001</c:v>
                </c:pt>
                <c:pt idx="1330">
                  <c:v>42.844200000000001</c:v>
                </c:pt>
                <c:pt idx="1331">
                  <c:v>42.844200000000001</c:v>
                </c:pt>
                <c:pt idx="1332">
                  <c:v>42.844200000000001</c:v>
                </c:pt>
                <c:pt idx="1333">
                  <c:v>43.731000000000002</c:v>
                </c:pt>
                <c:pt idx="1334">
                  <c:v>43.630600000000001</c:v>
                </c:pt>
                <c:pt idx="1335">
                  <c:v>46.090699999999998</c:v>
                </c:pt>
                <c:pt idx="1336">
                  <c:v>44.5319</c:v>
                </c:pt>
                <c:pt idx="1337">
                  <c:v>44.535299999999999</c:v>
                </c:pt>
                <c:pt idx="1338">
                  <c:v>44.535299999999999</c:v>
                </c:pt>
                <c:pt idx="1339">
                  <c:v>44.535299999999999</c:v>
                </c:pt>
                <c:pt idx="1340">
                  <c:v>48.352600000000002</c:v>
                </c:pt>
                <c:pt idx="1341">
                  <c:v>43.095700000000001</c:v>
                </c:pt>
                <c:pt idx="1342">
                  <c:v>47.929600000000001</c:v>
                </c:pt>
                <c:pt idx="1343">
                  <c:v>50.098799999999997</c:v>
                </c:pt>
                <c:pt idx="1344">
                  <c:v>47.467599999999997</c:v>
                </c:pt>
                <c:pt idx="1345">
                  <c:v>47.467599999999997</c:v>
                </c:pt>
                <c:pt idx="1346">
                  <c:v>47.467599999999997</c:v>
                </c:pt>
                <c:pt idx="1347">
                  <c:v>44.980899999999998</c:v>
                </c:pt>
                <c:pt idx="1348">
                  <c:v>43.1083</c:v>
                </c:pt>
                <c:pt idx="1349">
                  <c:v>45.336399999999998</c:v>
                </c:pt>
                <c:pt idx="1350">
                  <c:v>44.636000000000003</c:v>
                </c:pt>
                <c:pt idx="1351">
                  <c:v>47.325800000000001</c:v>
                </c:pt>
                <c:pt idx="1352">
                  <c:v>47.325800000000001</c:v>
                </c:pt>
                <c:pt idx="1353">
                  <c:v>47.325800000000001</c:v>
                </c:pt>
                <c:pt idx="1354">
                  <c:v>48.401000000000003</c:v>
                </c:pt>
                <c:pt idx="1355">
                  <c:v>49.850299999999997</c:v>
                </c:pt>
                <c:pt idx="1356">
                  <c:v>49.256500000000003</c:v>
                </c:pt>
                <c:pt idx="1357">
                  <c:v>47.404800000000002</c:v>
                </c:pt>
                <c:pt idx="1358">
                  <c:v>46.716099999999997</c:v>
                </c:pt>
                <c:pt idx="1359">
                  <c:v>46.716099999999997</c:v>
                </c:pt>
                <c:pt idx="1360">
                  <c:v>46.716099999999997</c:v>
                </c:pt>
                <c:pt idx="1361">
                  <c:v>46.466000000000001</c:v>
                </c:pt>
                <c:pt idx="1362">
                  <c:v>48.113900000000001</c:v>
                </c:pt>
                <c:pt idx="1363">
                  <c:v>46.378599999999999</c:v>
                </c:pt>
                <c:pt idx="1364">
                  <c:v>45.351300000000002</c:v>
                </c:pt>
                <c:pt idx="1365">
                  <c:v>43.959099999999999</c:v>
                </c:pt>
                <c:pt idx="1366">
                  <c:v>43.959099999999999</c:v>
                </c:pt>
                <c:pt idx="1367">
                  <c:v>43.959099999999999</c:v>
                </c:pt>
                <c:pt idx="1368">
                  <c:v>42.048999999999999</c:v>
                </c:pt>
                <c:pt idx="1369">
                  <c:v>44.462000000000003</c:v>
                </c:pt>
                <c:pt idx="1370">
                  <c:v>43.506100000000004</c:v>
                </c:pt>
                <c:pt idx="1371">
                  <c:v>39.189900000000002</c:v>
                </c:pt>
                <c:pt idx="1372">
                  <c:v>32.295699999999997</c:v>
                </c:pt>
                <c:pt idx="1373">
                  <c:v>32.295699999999997</c:v>
                </c:pt>
                <c:pt idx="1374">
                  <c:v>32.295699999999997</c:v>
                </c:pt>
                <c:pt idx="1375">
                  <c:v>26.834499999999998</c:v>
                </c:pt>
                <c:pt idx="1376">
                  <c:v>29.979099999999999</c:v>
                </c:pt>
                <c:pt idx="1377">
                  <c:v>26.073499999999999</c:v>
                </c:pt>
                <c:pt idx="1378">
                  <c:v>31.7895</c:v>
                </c:pt>
                <c:pt idx="1379">
                  <c:v>30.580500000000001</c:v>
                </c:pt>
                <c:pt idx="1380">
                  <c:v>30.580500000000001</c:v>
                </c:pt>
                <c:pt idx="1381">
                  <c:v>30.580500000000001</c:v>
                </c:pt>
                <c:pt idx="1382">
                  <c:v>34.302500000000002</c:v>
                </c:pt>
                <c:pt idx="1383">
                  <c:v>36.218000000000004</c:v>
                </c:pt>
                <c:pt idx="1384">
                  <c:v>36.5854</c:v>
                </c:pt>
                <c:pt idx="1385">
                  <c:v>35.9114</c:v>
                </c:pt>
                <c:pt idx="1386">
                  <c:v>35.9114</c:v>
                </c:pt>
                <c:pt idx="1387">
                  <c:v>35.9114</c:v>
                </c:pt>
                <c:pt idx="1388">
                  <c:v>35.9114</c:v>
                </c:pt>
                <c:pt idx="1389">
                  <c:v>35.9114</c:v>
                </c:pt>
                <c:pt idx="1390">
                  <c:v>36.473300000000002</c:v>
                </c:pt>
                <c:pt idx="1391">
                  <c:v>40.757399999999997</c:v>
                </c:pt>
                <c:pt idx="1392">
                  <c:v>41.4146</c:v>
                </c:pt>
                <c:pt idx="1393">
                  <c:v>42.555</c:v>
                </c:pt>
                <c:pt idx="1394">
                  <c:v>42.555</c:v>
                </c:pt>
                <c:pt idx="1395">
                  <c:v>42.555</c:v>
                </c:pt>
                <c:pt idx="1396">
                  <c:v>42.7423</c:v>
                </c:pt>
                <c:pt idx="1397">
                  <c:v>43.730400000000003</c:v>
                </c:pt>
                <c:pt idx="1398">
                  <c:v>44.186399999999999</c:v>
                </c:pt>
                <c:pt idx="1399">
                  <c:v>44.186399999999999</c:v>
                </c:pt>
                <c:pt idx="1400">
                  <c:v>47.965600000000002</c:v>
                </c:pt>
                <c:pt idx="1401">
                  <c:v>47.965600000000002</c:v>
                </c:pt>
                <c:pt idx="1402">
                  <c:v>47.965600000000002</c:v>
                </c:pt>
                <c:pt idx="1403">
                  <c:v>49.618499999999997</c:v>
                </c:pt>
                <c:pt idx="1404">
                  <c:v>49.010300000000001</c:v>
                </c:pt>
                <c:pt idx="1405">
                  <c:v>48.153500000000001</c:v>
                </c:pt>
                <c:pt idx="1406">
                  <c:v>49.670699999999997</c:v>
                </c:pt>
                <c:pt idx="1407">
                  <c:v>50.610500000000002</c:v>
                </c:pt>
                <c:pt idx="1408">
                  <c:v>50.610500000000002</c:v>
                </c:pt>
                <c:pt idx="1409">
                  <c:v>50.610500000000002</c:v>
                </c:pt>
                <c:pt idx="1410">
                  <c:v>51.0413</c:v>
                </c:pt>
                <c:pt idx="1411">
                  <c:v>51.502899999999997</c:v>
                </c:pt>
                <c:pt idx="1412">
                  <c:v>50.787999999999997</c:v>
                </c:pt>
                <c:pt idx="1413">
                  <c:v>51.868400000000001</c:v>
                </c:pt>
                <c:pt idx="1414">
                  <c:v>52.328899999999997</c:v>
                </c:pt>
                <c:pt idx="1415">
                  <c:v>52.328899999999997</c:v>
                </c:pt>
                <c:pt idx="1416">
                  <c:v>52.328899999999997</c:v>
                </c:pt>
                <c:pt idx="1417">
                  <c:v>53.402700000000003</c:v>
                </c:pt>
                <c:pt idx="1418">
                  <c:v>54.050899999999999</c:v>
                </c:pt>
                <c:pt idx="1419">
                  <c:v>54.603900000000003</c:v>
                </c:pt>
                <c:pt idx="1420">
                  <c:v>53.814100000000003</c:v>
                </c:pt>
                <c:pt idx="1421">
                  <c:v>51.445399999999999</c:v>
                </c:pt>
                <c:pt idx="1422">
                  <c:v>51.445399999999999</c:v>
                </c:pt>
                <c:pt idx="1423">
                  <c:v>51.445399999999999</c:v>
                </c:pt>
                <c:pt idx="1424">
                  <c:v>53.996600000000001</c:v>
                </c:pt>
                <c:pt idx="1425">
                  <c:v>55.271000000000001</c:v>
                </c:pt>
                <c:pt idx="1426">
                  <c:v>54.0642</c:v>
                </c:pt>
                <c:pt idx="1427">
                  <c:v>53.391500000000001</c:v>
                </c:pt>
                <c:pt idx="1428">
                  <c:v>53.8033</c:v>
                </c:pt>
                <c:pt idx="1429">
                  <c:v>53.8033</c:v>
                </c:pt>
                <c:pt idx="1430">
                  <c:v>53.8033</c:v>
                </c:pt>
                <c:pt idx="1431">
                  <c:v>53.375100000000003</c:v>
                </c:pt>
                <c:pt idx="1432">
                  <c:v>54.406599999999997</c:v>
                </c:pt>
                <c:pt idx="1433">
                  <c:v>55.5914</c:v>
                </c:pt>
                <c:pt idx="1434">
                  <c:v>55.893300000000004</c:v>
                </c:pt>
                <c:pt idx="1435">
                  <c:v>55.770800000000001</c:v>
                </c:pt>
                <c:pt idx="1436">
                  <c:v>55.770800000000001</c:v>
                </c:pt>
                <c:pt idx="1437">
                  <c:v>55.770800000000001</c:v>
                </c:pt>
                <c:pt idx="1438">
                  <c:v>54.936700000000002</c:v>
                </c:pt>
                <c:pt idx="1439">
                  <c:v>53.739699999999999</c:v>
                </c:pt>
                <c:pt idx="1440">
                  <c:v>53.491900000000001</c:v>
                </c:pt>
                <c:pt idx="1441">
                  <c:v>52.354599999999998</c:v>
                </c:pt>
                <c:pt idx="1442">
                  <c:v>50.718899999999998</c:v>
                </c:pt>
                <c:pt idx="1443">
                  <c:v>50.718899999999998</c:v>
                </c:pt>
                <c:pt idx="1444">
                  <c:v>50.718899999999998</c:v>
                </c:pt>
                <c:pt idx="1445">
                  <c:v>51.890999999999998</c:v>
                </c:pt>
                <c:pt idx="1446">
                  <c:v>50.195999999999998</c:v>
                </c:pt>
                <c:pt idx="1447">
                  <c:v>49.447200000000002</c:v>
                </c:pt>
                <c:pt idx="1448">
                  <c:v>47.777999999999999</c:v>
                </c:pt>
                <c:pt idx="1449">
                  <c:v>49.656999999999996</c:v>
                </c:pt>
                <c:pt idx="1450">
                  <c:v>49.656999999999996</c:v>
                </c:pt>
                <c:pt idx="1451">
                  <c:v>49.656999999999996</c:v>
                </c:pt>
                <c:pt idx="1452">
                  <c:v>49.134399999999999</c:v>
                </c:pt>
                <c:pt idx="1453">
                  <c:v>51.522300000000001</c:v>
                </c:pt>
                <c:pt idx="1454">
                  <c:v>50.604199999999999</c:v>
                </c:pt>
                <c:pt idx="1455">
                  <c:v>51.5717</c:v>
                </c:pt>
                <c:pt idx="1456">
                  <c:v>54.032299999999999</c:v>
                </c:pt>
                <c:pt idx="1457">
                  <c:v>54.032299999999999</c:v>
                </c:pt>
                <c:pt idx="1458">
                  <c:v>54.032299999999999</c:v>
                </c:pt>
                <c:pt idx="1459">
                  <c:v>53.240099999999998</c:v>
                </c:pt>
                <c:pt idx="1460">
                  <c:v>51.725499999999997</c:v>
                </c:pt>
                <c:pt idx="1461">
                  <c:v>52.474200000000003</c:v>
                </c:pt>
                <c:pt idx="1462">
                  <c:v>53.397300000000001</c:v>
                </c:pt>
                <c:pt idx="1463">
                  <c:v>52.4572</c:v>
                </c:pt>
                <c:pt idx="1464">
                  <c:v>52.4572</c:v>
                </c:pt>
                <c:pt idx="1465">
                  <c:v>52.4572</c:v>
                </c:pt>
                <c:pt idx="1466">
                  <c:v>54.291600000000003</c:v>
                </c:pt>
                <c:pt idx="1467">
                  <c:v>55.145499999999998</c:v>
                </c:pt>
                <c:pt idx="1468">
                  <c:v>57.3416</c:v>
                </c:pt>
                <c:pt idx="1469">
                  <c:v>56.747199999999999</c:v>
                </c:pt>
                <c:pt idx="1470">
                  <c:v>55.455800000000004</c:v>
                </c:pt>
                <c:pt idx="1471">
                  <c:v>55.455800000000004</c:v>
                </c:pt>
                <c:pt idx="1472">
                  <c:v>55.455800000000004</c:v>
                </c:pt>
                <c:pt idx="1473">
                  <c:v>54.848999999999997</c:v>
                </c:pt>
                <c:pt idx="1474">
                  <c:v>54.205800000000004</c:v>
                </c:pt>
                <c:pt idx="1475">
                  <c:v>53.879600000000003</c:v>
                </c:pt>
                <c:pt idx="1476">
                  <c:v>56.196800000000003</c:v>
                </c:pt>
                <c:pt idx="1477">
                  <c:v>55.674900000000001</c:v>
                </c:pt>
                <c:pt idx="1478">
                  <c:v>55.674900000000001</c:v>
                </c:pt>
                <c:pt idx="1479">
                  <c:v>55.674900000000001</c:v>
                </c:pt>
                <c:pt idx="1480">
                  <c:v>55.792200000000001</c:v>
                </c:pt>
                <c:pt idx="1481">
                  <c:v>54.088000000000001</c:v>
                </c:pt>
                <c:pt idx="1482">
                  <c:v>55.362900000000003</c:v>
                </c:pt>
                <c:pt idx="1483">
                  <c:v>55.716099999999997</c:v>
                </c:pt>
                <c:pt idx="1484">
                  <c:v>55.2134</c:v>
                </c:pt>
                <c:pt idx="1485">
                  <c:v>55.2134</c:v>
                </c:pt>
                <c:pt idx="1486">
                  <c:v>55.2134</c:v>
                </c:pt>
                <c:pt idx="1487">
                  <c:v>53.6295</c:v>
                </c:pt>
                <c:pt idx="1488">
                  <c:v>55.212600000000002</c:v>
                </c:pt>
                <c:pt idx="1489">
                  <c:v>55.5</c:v>
                </c:pt>
                <c:pt idx="1490">
                  <c:v>54.238999999999997</c:v>
                </c:pt>
                <c:pt idx="1491">
                  <c:v>50.1404</c:v>
                </c:pt>
                <c:pt idx="1492">
                  <c:v>50.1404</c:v>
                </c:pt>
                <c:pt idx="1493">
                  <c:v>50.1404</c:v>
                </c:pt>
                <c:pt idx="1494">
                  <c:v>52.266399999999997</c:v>
                </c:pt>
                <c:pt idx="1495">
                  <c:v>52.832900000000002</c:v>
                </c:pt>
                <c:pt idx="1496">
                  <c:v>53.334600000000002</c:v>
                </c:pt>
                <c:pt idx="1497">
                  <c:v>55.053199999999997</c:v>
                </c:pt>
                <c:pt idx="1498">
                  <c:v>54.863199999999999</c:v>
                </c:pt>
                <c:pt idx="1499">
                  <c:v>54.863199999999999</c:v>
                </c:pt>
                <c:pt idx="1500">
                  <c:v>54.863199999999999</c:v>
                </c:pt>
                <c:pt idx="1501">
                  <c:v>54.340800000000002</c:v>
                </c:pt>
                <c:pt idx="1502">
                  <c:v>53.978299999999997</c:v>
                </c:pt>
                <c:pt idx="1503">
                  <c:v>55.008899999999997</c:v>
                </c:pt>
                <c:pt idx="1504">
                  <c:v>56.238900000000001</c:v>
                </c:pt>
                <c:pt idx="1505">
                  <c:v>56.122199999999999</c:v>
                </c:pt>
                <c:pt idx="1506">
                  <c:v>56.122199999999999</c:v>
                </c:pt>
                <c:pt idx="1507">
                  <c:v>56.122199999999999</c:v>
                </c:pt>
                <c:pt idx="1508">
                  <c:v>55.836799999999997</c:v>
                </c:pt>
                <c:pt idx="1509">
                  <c:v>56.530900000000003</c:v>
                </c:pt>
                <c:pt idx="1510">
                  <c:v>55.5946</c:v>
                </c:pt>
                <c:pt idx="1511">
                  <c:v>55.6995</c:v>
                </c:pt>
                <c:pt idx="1512">
                  <c:v>56.146500000000003</c:v>
                </c:pt>
                <c:pt idx="1513">
                  <c:v>56.146500000000003</c:v>
                </c:pt>
                <c:pt idx="1514">
                  <c:v>56.146500000000003</c:v>
                </c:pt>
                <c:pt idx="1515">
                  <c:v>55.569899999999997</c:v>
                </c:pt>
                <c:pt idx="1516">
                  <c:v>54.799199999999999</c:v>
                </c:pt>
                <c:pt idx="1517">
                  <c:v>54.115600000000001</c:v>
                </c:pt>
                <c:pt idx="1518">
                  <c:v>54.075299999999999</c:v>
                </c:pt>
                <c:pt idx="1519">
                  <c:v>53.192700000000002</c:v>
                </c:pt>
                <c:pt idx="1520">
                  <c:v>53.192700000000002</c:v>
                </c:pt>
                <c:pt idx="1521">
                  <c:v>53.192700000000002</c:v>
                </c:pt>
                <c:pt idx="1522">
                  <c:v>54.058700000000002</c:v>
                </c:pt>
                <c:pt idx="1523">
                  <c:v>50.533700000000003</c:v>
                </c:pt>
                <c:pt idx="1524">
                  <c:v>51.2224</c:v>
                </c:pt>
                <c:pt idx="1525">
                  <c:v>52.3474</c:v>
                </c:pt>
                <c:pt idx="1526">
                  <c:v>51.236400000000003</c:v>
                </c:pt>
                <c:pt idx="1527">
                  <c:v>51.236400000000003</c:v>
                </c:pt>
                <c:pt idx="1528">
                  <c:v>51.236400000000003</c:v>
                </c:pt>
                <c:pt idx="1529">
                  <c:v>52.583300000000001</c:v>
                </c:pt>
                <c:pt idx="1530">
                  <c:v>52.014899999999997</c:v>
                </c:pt>
                <c:pt idx="1531">
                  <c:v>51.466999999999999</c:v>
                </c:pt>
                <c:pt idx="1532">
                  <c:v>51.920099999999998</c:v>
                </c:pt>
                <c:pt idx="1533">
                  <c:v>51.884799999999998</c:v>
                </c:pt>
                <c:pt idx="1534">
                  <c:v>51.884799999999998</c:v>
                </c:pt>
                <c:pt idx="1535">
                  <c:v>51.884799999999998</c:v>
                </c:pt>
                <c:pt idx="1536">
                  <c:v>52.209800000000001</c:v>
                </c:pt>
                <c:pt idx="1537">
                  <c:v>49.520400000000002</c:v>
                </c:pt>
                <c:pt idx="1538">
                  <c:v>49.712299999999999</c:v>
                </c:pt>
                <c:pt idx="1539">
                  <c:v>51.733400000000003</c:v>
                </c:pt>
                <c:pt idx="1540">
                  <c:v>51.508400000000002</c:v>
                </c:pt>
                <c:pt idx="1541">
                  <c:v>51.508400000000002</c:v>
                </c:pt>
                <c:pt idx="1542">
                  <c:v>51.508400000000002</c:v>
                </c:pt>
                <c:pt idx="1543">
                  <c:v>50.788200000000003</c:v>
                </c:pt>
                <c:pt idx="1544">
                  <c:v>51.328400000000002</c:v>
                </c:pt>
                <c:pt idx="1545">
                  <c:v>51.683999999999997</c:v>
                </c:pt>
                <c:pt idx="1546">
                  <c:v>50.838099999999997</c:v>
                </c:pt>
                <c:pt idx="1547">
                  <c:v>52.149700000000003</c:v>
                </c:pt>
                <c:pt idx="1548">
                  <c:v>52.149700000000003</c:v>
                </c:pt>
                <c:pt idx="1549">
                  <c:v>52.149700000000003</c:v>
                </c:pt>
                <c:pt idx="1550">
                  <c:v>52.185499999999998</c:v>
                </c:pt>
                <c:pt idx="1551">
                  <c:v>53.055</c:v>
                </c:pt>
                <c:pt idx="1552">
                  <c:v>54.547600000000003</c:v>
                </c:pt>
                <c:pt idx="1553">
                  <c:v>56.527700000000003</c:v>
                </c:pt>
                <c:pt idx="1554">
                  <c:v>56.247199999999999</c:v>
                </c:pt>
                <c:pt idx="1555">
                  <c:v>56.247199999999999</c:v>
                </c:pt>
                <c:pt idx="1556">
                  <c:v>56.247199999999999</c:v>
                </c:pt>
                <c:pt idx="1557">
                  <c:v>56.243899999999996</c:v>
                </c:pt>
                <c:pt idx="1558">
                  <c:v>56.292000000000002</c:v>
                </c:pt>
                <c:pt idx="1559">
                  <c:v>57.646500000000003</c:v>
                </c:pt>
                <c:pt idx="1560">
                  <c:v>57.737000000000002</c:v>
                </c:pt>
                <c:pt idx="1561">
                  <c:v>55.366999999999997</c:v>
                </c:pt>
                <c:pt idx="1562">
                  <c:v>55.366999999999997</c:v>
                </c:pt>
                <c:pt idx="1563">
                  <c:v>55.366999999999997</c:v>
                </c:pt>
                <c:pt idx="1564">
                  <c:v>56.305700000000002</c:v>
                </c:pt>
                <c:pt idx="1565">
                  <c:v>55.338000000000001</c:v>
                </c:pt>
                <c:pt idx="1566">
                  <c:v>54.981900000000003</c:v>
                </c:pt>
                <c:pt idx="1567">
                  <c:v>55.563899999999997</c:v>
                </c:pt>
                <c:pt idx="1568">
                  <c:v>52.736199999999997</c:v>
                </c:pt>
                <c:pt idx="1569">
                  <c:v>52.736199999999997</c:v>
                </c:pt>
                <c:pt idx="1570">
                  <c:v>52.736199999999997</c:v>
                </c:pt>
                <c:pt idx="1571">
                  <c:v>55.478099999999998</c:v>
                </c:pt>
                <c:pt idx="1572">
                  <c:v>55.934600000000003</c:v>
                </c:pt>
                <c:pt idx="1573">
                  <c:v>54.787999999999997</c:v>
                </c:pt>
                <c:pt idx="1574">
                  <c:v>55.151200000000003</c:v>
                </c:pt>
                <c:pt idx="1575">
                  <c:v>55.356900000000003</c:v>
                </c:pt>
                <c:pt idx="1576">
                  <c:v>55.356900000000003</c:v>
                </c:pt>
                <c:pt idx="1577">
                  <c:v>55.356900000000003</c:v>
                </c:pt>
                <c:pt idx="1578">
                  <c:v>55.798400000000001</c:v>
                </c:pt>
                <c:pt idx="1579">
                  <c:v>55.605200000000004</c:v>
                </c:pt>
                <c:pt idx="1580">
                  <c:v>54.615499999999997</c:v>
                </c:pt>
                <c:pt idx="1581">
                  <c:v>54.581400000000002</c:v>
                </c:pt>
                <c:pt idx="1582">
                  <c:v>53.552199999999999</c:v>
                </c:pt>
                <c:pt idx="1583">
                  <c:v>53.552199999999999</c:v>
                </c:pt>
                <c:pt idx="1584">
                  <c:v>53.552199999999999</c:v>
                </c:pt>
                <c:pt idx="1585">
                  <c:v>54.668100000000003</c:v>
                </c:pt>
                <c:pt idx="1586">
                  <c:v>53.493299999999998</c:v>
                </c:pt>
                <c:pt idx="1587">
                  <c:v>54.138199999999998</c:v>
                </c:pt>
                <c:pt idx="1588">
                  <c:v>52.114699999999999</c:v>
                </c:pt>
                <c:pt idx="1589">
                  <c:v>51.063200000000002</c:v>
                </c:pt>
                <c:pt idx="1590">
                  <c:v>51.063200000000002</c:v>
                </c:pt>
                <c:pt idx="1591">
                  <c:v>51.063200000000002</c:v>
                </c:pt>
                <c:pt idx="1592">
                  <c:v>53.563000000000002</c:v>
                </c:pt>
                <c:pt idx="1593">
                  <c:v>54.383800000000001</c:v>
                </c:pt>
                <c:pt idx="1594">
                  <c:v>56.264299999999999</c:v>
                </c:pt>
                <c:pt idx="1595">
                  <c:v>54.086199999999998</c:v>
                </c:pt>
                <c:pt idx="1596">
                  <c:v>53.028199999999998</c:v>
                </c:pt>
                <c:pt idx="1597">
                  <c:v>53.028199999999998</c:v>
                </c:pt>
                <c:pt idx="1598">
                  <c:v>53.028199999999998</c:v>
                </c:pt>
                <c:pt idx="1599">
                  <c:v>51.195</c:v>
                </c:pt>
                <c:pt idx="1600">
                  <c:v>48.567300000000003</c:v>
                </c:pt>
                <c:pt idx="1601">
                  <c:v>48.454500000000003</c:v>
                </c:pt>
                <c:pt idx="1602">
                  <c:v>49.197499999999998</c:v>
                </c:pt>
                <c:pt idx="1603">
                  <c:v>47.999099999999999</c:v>
                </c:pt>
                <c:pt idx="1604">
                  <c:v>47.999099999999999</c:v>
                </c:pt>
                <c:pt idx="1605">
                  <c:v>47.999099999999999</c:v>
                </c:pt>
                <c:pt idx="1606">
                  <c:v>48.943199999999997</c:v>
                </c:pt>
                <c:pt idx="1607">
                  <c:v>50.388199999999998</c:v>
                </c:pt>
                <c:pt idx="1608">
                  <c:v>52.064700000000002</c:v>
                </c:pt>
                <c:pt idx="1609">
                  <c:v>52.332299999999996</c:v>
                </c:pt>
                <c:pt idx="1610">
                  <c:v>52.773400000000002</c:v>
                </c:pt>
                <c:pt idx="1611">
                  <c:v>52.773400000000002</c:v>
                </c:pt>
                <c:pt idx="1612">
                  <c:v>52.773400000000002</c:v>
                </c:pt>
                <c:pt idx="1613">
                  <c:v>51.188099999999999</c:v>
                </c:pt>
                <c:pt idx="1614">
                  <c:v>51.966299999999997</c:v>
                </c:pt>
                <c:pt idx="1615">
                  <c:v>51.856400000000001</c:v>
                </c:pt>
                <c:pt idx="1616">
                  <c:v>53.063299999999998</c:v>
                </c:pt>
                <c:pt idx="1617">
                  <c:v>53.9998</c:v>
                </c:pt>
                <c:pt idx="1618">
                  <c:v>53.9998</c:v>
                </c:pt>
                <c:pt idx="1619">
                  <c:v>53.9998</c:v>
                </c:pt>
                <c:pt idx="1620">
                  <c:v>54.1143</c:v>
                </c:pt>
                <c:pt idx="1621">
                  <c:v>54.861899999999999</c:v>
                </c:pt>
                <c:pt idx="1622">
                  <c:v>54.653500000000001</c:v>
                </c:pt>
                <c:pt idx="1623">
                  <c:v>55.707599999999999</c:v>
                </c:pt>
                <c:pt idx="1624">
                  <c:v>55.014699999999998</c:v>
                </c:pt>
                <c:pt idx="1625">
                  <c:v>55.014699999999998</c:v>
                </c:pt>
                <c:pt idx="1626">
                  <c:v>55.014699999999998</c:v>
                </c:pt>
                <c:pt idx="1627">
                  <c:v>55.292999999999999</c:v>
                </c:pt>
                <c:pt idx="1628">
                  <c:v>54.312100000000001</c:v>
                </c:pt>
                <c:pt idx="1629">
                  <c:v>53.566800000000001</c:v>
                </c:pt>
                <c:pt idx="1630">
                  <c:v>55.098100000000002</c:v>
                </c:pt>
                <c:pt idx="1631">
                  <c:v>55.6678</c:v>
                </c:pt>
                <c:pt idx="1632">
                  <c:v>55.6678</c:v>
                </c:pt>
                <c:pt idx="1633">
                  <c:v>55.6678</c:v>
                </c:pt>
                <c:pt idx="1634">
                  <c:v>55.639400000000002</c:v>
                </c:pt>
                <c:pt idx="1635">
                  <c:v>55.998899999999999</c:v>
                </c:pt>
                <c:pt idx="1636">
                  <c:v>55.998899999999999</c:v>
                </c:pt>
                <c:pt idx="1637">
                  <c:v>55.998899999999999</c:v>
                </c:pt>
                <c:pt idx="1638">
                  <c:v>55.998899999999999</c:v>
                </c:pt>
                <c:pt idx="1639">
                  <c:v>55.998899999999999</c:v>
                </c:pt>
                <c:pt idx="1640">
                  <c:v>55.998899999999999</c:v>
                </c:pt>
                <c:pt idx="1641">
                  <c:v>56.069800000000001</c:v>
                </c:pt>
                <c:pt idx="1642">
                  <c:v>56.962499999999999</c:v>
                </c:pt>
                <c:pt idx="1643">
                  <c:v>56.962499999999999</c:v>
                </c:pt>
                <c:pt idx="1644">
                  <c:v>56.962499999999999</c:v>
                </c:pt>
                <c:pt idx="1645">
                  <c:v>57.2761</c:v>
                </c:pt>
                <c:pt idx="1646">
                  <c:v>57.2761</c:v>
                </c:pt>
                <c:pt idx="1647">
                  <c:v>57.2761</c:v>
                </c:pt>
                <c:pt idx="1648">
                  <c:v>59.387</c:v>
                </c:pt>
                <c:pt idx="1649">
                  <c:v>59.537700000000001</c:v>
                </c:pt>
                <c:pt idx="1650">
                  <c:v>61.0122</c:v>
                </c:pt>
                <c:pt idx="1651">
                  <c:v>61.045499999999997</c:v>
                </c:pt>
                <c:pt idx="1652">
                  <c:v>61.905500000000004</c:v>
                </c:pt>
                <c:pt idx="1653">
                  <c:v>61.905500000000004</c:v>
                </c:pt>
                <c:pt idx="1654">
                  <c:v>61.905500000000004</c:v>
                </c:pt>
                <c:pt idx="1655">
                  <c:v>62.826500000000003</c:v>
                </c:pt>
                <c:pt idx="1656">
                  <c:v>62.924599999999998</c:v>
                </c:pt>
                <c:pt idx="1657">
                  <c:v>62.063099999999999</c:v>
                </c:pt>
                <c:pt idx="1658">
                  <c:v>62.487099999999998</c:v>
                </c:pt>
                <c:pt idx="1659">
                  <c:v>62.132899999999999</c:v>
                </c:pt>
                <c:pt idx="1660">
                  <c:v>62.132899999999999</c:v>
                </c:pt>
                <c:pt idx="1661">
                  <c:v>62.132899999999999</c:v>
                </c:pt>
                <c:pt idx="1662">
                  <c:v>59.966200000000001</c:v>
                </c:pt>
                <c:pt idx="1663">
                  <c:v>58.325800000000001</c:v>
                </c:pt>
                <c:pt idx="1664">
                  <c:v>57.4148</c:v>
                </c:pt>
                <c:pt idx="1665">
                  <c:v>59.308700000000002</c:v>
                </c:pt>
                <c:pt idx="1666">
                  <c:v>59.592199999999998</c:v>
                </c:pt>
                <c:pt idx="1667">
                  <c:v>59.592199999999998</c:v>
                </c:pt>
                <c:pt idx="1668">
                  <c:v>59.592199999999998</c:v>
                </c:pt>
                <c:pt idx="1669">
                  <c:v>59.799700000000001</c:v>
                </c:pt>
                <c:pt idx="1670">
                  <c:v>59.552</c:v>
                </c:pt>
                <c:pt idx="1671">
                  <c:v>59.092799999999997</c:v>
                </c:pt>
                <c:pt idx="1672">
                  <c:v>55.802799999999998</c:v>
                </c:pt>
                <c:pt idx="1673">
                  <c:v>57.2727</c:v>
                </c:pt>
                <c:pt idx="1674">
                  <c:v>57.2727</c:v>
                </c:pt>
                <c:pt idx="1675">
                  <c:v>57.2727</c:v>
                </c:pt>
                <c:pt idx="1676">
                  <c:v>58.930900000000001</c:v>
                </c:pt>
                <c:pt idx="1677">
                  <c:v>58.823599999999999</c:v>
                </c:pt>
                <c:pt idx="1678">
                  <c:v>57.684399999999997</c:v>
                </c:pt>
                <c:pt idx="1679">
                  <c:v>56.966700000000003</c:v>
                </c:pt>
                <c:pt idx="1680">
                  <c:v>58.443399999999997</c:v>
                </c:pt>
                <c:pt idx="1681">
                  <c:v>58.443399999999997</c:v>
                </c:pt>
                <c:pt idx="1682">
                  <c:v>58.443399999999997</c:v>
                </c:pt>
                <c:pt idx="1683">
                  <c:v>60.323900000000002</c:v>
                </c:pt>
                <c:pt idx="1684">
                  <c:v>60.150700000000001</c:v>
                </c:pt>
                <c:pt idx="1685">
                  <c:v>59.306600000000003</c:v>
                </c:pt>
                <c:pt idx="1686">
                  <c:v>59.284399999999998</c:v>
                </c:pt>
                <c:pt idx="1687">
                  <c:v>59.683</c:v>
                </c:pt>
                <c:pt idx="1688">
                  <c:v>59.683</c:v>
                </c:pt>
                <c:pt idx="1689">
                  <c:v>59.683</c:v>
                </c:pt>
                <c:pt idx="1690">
                  <c:v>58.952599999999997</c:v>
                </c:pt>
                <c:pt idx="1691">
                  <c:v>60.218299999999999</c:v>
                </c:pt>
                <c:pt idx="1692">
                  <c:v>62.011699999999998</c:v>
                </c:pt>
                <c:pt idx="1693">
                  <c:v>60.507800000000003</c:v>
                </c:pt>
                <c:pt idx="1694">
                  <c:v>61.8994</c:v>
                </c:pt>
                <c:pt idx="1695">
                  <c:v>61.8994</c:v>
                </c:pt>
                <c:pt idx="1696">
                  <c:v>61.8994</c:v>
                </c:pt>
                <c:pt idx="1697">
                  <c:v>60.177100000000003</c:v>
                </c:pt>
                <c:pt idx="1698">
                  <c:v>60.1404</c:v>
                </c:pt>
                <c:pt idx="1699">
                  <c:v>61.356200000000001</c:v>
                </c:pt>
                <c:pt idx="1700">
                  <c:v>62.0809</c:v>
                </c:pt>
                <c:pt idx="1701">
                  <c:v>62.050400000000003</c:v>
                </c:pt>
                <c:pt idx="1702">
                  <c:v>62.050400000000003</c:v>
                </c:pt>
                <c:pt idx="1703">
                  <c:v>62.050400000000003</c:v>
                </c:pt>
                <c:pt idx="1704">
                  <c:v>57.908499999999997</c:v>
                </c:pt>
                <c:pt idx="1705">
                  <c:v>52.477699999999999</c:v>
                </c:pt>
                <c:pt idx="1706">
                  <c:v>55.135599999999997</c:v>
                </c:pt>
                <c:pt idx="1707">
                  <c:v>52.638500000000001</c:v>
                </c:pt>
                <c:pt idx="1708">
                  <c:v>51.198300000000003</c:v>
                </c:pt>
                <c:pt idx="1709">
                  <c:v>51.198300000000003</c:v>
                </c:pt>
                <c:pt idx="1710">
                  <c:v>51.198300000000003</c:v>
                </c:pt>
                <c:pt idx="1711">
                  <c:v>50.033999999999999</c:v>
                </c:pt>
                <c:pt idx="1712">
                  <c:v>53.618400000000001</c:v>
                </c:pt>
                <c:pt idx="1713">
                  <c:v>51.512300000000003</c:v>
                </c:pt>
                <c:pt idx="1714">
                  <c:v>51.189399999999999</c:v>
                </c:pt>
                <c:pt idx="1715">
                  <c:v>50.277000000000001</c:v>
                </c:pt>
                <c:pt idx="1716">
                  <c:v>50.277000000000001</c:v>
                </c:pt>
                <c:pt idx="1717">
                  <c:v>50.277000000000001</c:v>
                </c:pt>
                <c:pt idx="1718">
                  <c:v>51.025100000000002</c:v>
                </c:pt>
                <c:pt idx="1719">
                  <c:v>52.094900000000003</c:v>
                </c:pt>
                <c:pt idx="1720">
                  <c:v>50.629300000000001</c:v>
                </c:pt>
                <c:pt idx="1721">
                  <c:v>46.381999999999998</c:v>
                </c:pt>
                <c:pt idx="1722">
                  <c:v>43.437800000000003</c:v>
                </c:pt>
                <c:pt idx="1723">
                  <c:v>43.437800000000003</c:v>
                </c:pt>
                <c:pt idx="1724">
                  <c:v>43.437800000000003</c:v>
                </c:pt>
                <c:pt idx="1725">
                  <c:v>45.191800000000001</c:v>
                </c:pt>
                <c:pt idx="1726">
                  <c:v>45.083199999999998</c:v>
                </c:pt>
                <c:pt idx="1727">
                  <c:v>47.135199999999998</c:v>
                </c:pt>
                <c:pt idx="1728">
                  <c:v>44.9298</c:v>
                </c:pt>
                <c:pt idx="1729">
                  <c:v>42.928699999999999</c:v>
                </c:pt>
                <c:pt idx="1730">
                  <c:v>42.928699999999999</c:v>
                </c:pt>
                <c:pt idx="1731">
                  <c:v>42.928699999999999</c:v>
                </c:pt>
                <c:pt idx="1732">
                  <c:v>44.608699999999999</c:v>
                </c:pt>
                <c:pt idx="1733">
                  <c:v>45.3596</c:v>
                </c:pt>
                <c:pt idx="1734">
                  <c:v>49.325899999999997</c:v>
                </c:pt>
                <c:pt idx="1735">
                  <c:v>48.487499999999997</c:v>
                </c:pt>
                <c:pt idx="1736">
                  <c:v>48.487499999999997</c:v>
                </c:pt>
                <c:pt idx="1737">
                  <c:v>48.487499999999997</c:v>
                </c:pt>
                <c:pt idx="1738">
                  <c:v>48.487499999999997</c:v>
                </c:pt>
                <c:pt idx="1739">
                  <c:v>48.487499999999997</c:v>
                </c:pt>
                <c:pt idx="1740">
                  <c:v>46.907699999999998</c:v>
                </c:pt>
                <c:pt idx="1741">
                  <c:v>54.336199999999998</c:v>
                </c:pt>
                <c:pt idx="1742">
                  <c:v>52.5824</c:v>
                </c:pt>
                <c:pt idx="1743">
                  <c:v>52.562899999999999</c:v>
                </c:pt>
                <c:pt idx="1744">
                  <c:v>52.562899999999999</c:v>
                </c:pt>
                <c:pt idx="1745">
                  <c:v>52.562899999999999</c:v>
                </c:pt>
                <c:pt idx="1746">
                  <c:v>52.168700000000001</c:v>
                </c:pt>
                <c:pt idx="1747">
                  <c:v>54.102800000000002</c:v>
                </c:pt>
                <c:pt idx="1748">
                  <c:v>54.246899999999997</c:v>
                </c:pt>
                <c:pt idx="1749">
                  <c:v>54.8095</c:v>
                </c:pt>
                <c:pt idx="1750">
                  <c:v>58.3202</c:v>
                </c:pt>
                <c:pt idx="1751">
                  <c:v>58.3202</c:v>
                </c:pt>
                <c:pt idx="1752">
                  <c:v>58.3202</c:v>
                </c:pt>
                <c:pt idx="1753">
                  <c:v>56.497199999999999</c:v>
                </c:pt>
                <c:pt idx="1754">
                  <c:v>55.555500000000002</c:v>
                </c:pt>
                <c:pt idx="1755">
                  <c:v>55.068600000000004</c:v>
                </c:pt>
                <c:pt idx="1756">
                  <c:v>54.8157</c:v>
                </c:pt>
                <c:pt idx="1757">
                  <c:v>54.646099999999997</c:v>
                </c:pt>
                <c:pt idx="1758">
                  <c:v>54.646099999999997</c:v>
                </c:pt>
                <c:pt idx="1759">
                  <c:v>54.646099999999997</c:v>
                </c:pt>
                <c:pt idx="1760">
                  <c:v>54.354799999999997</c:v>
                </c:pt>
                <c:pt idx="1761">
                  <c:v>53.936500000000002</c:v>
                </c:pt>
                <c:pt idx="1762">
                  <c:v>53.528199999999998</c:v>
                </c:pt>
                <c:pt idx="1763">
                  <c:v>55.693300000000001</c:v>
                </c:pt>
                <c:pt idx="1764">
                  <c:v>55.693300000000001</c:v>
                </c:pt>
                <c:pt idx="1765">
                  <c:v>55.693300000000001</c:v>
                </c:pt>
                <c:pt idx="1766">
                  <c:v>55.693300000000001</c:v>
                </c:pt>
                <c:pt idx="1767">
                  <c:v>53.763500000000001</c:v>
                </c:pt>
                <c:pt idx="1768">
                  <c:v>56.393999999999998</c:v>
                </c:pt>
                <c:pt idx="1769">
                  <c:v>59.7074</c:v>
                </c:pt>
                <c:pt idx="1770">
                  <c:v>58.072600000000001</c:v>
                </c:pt>
                <c:pt idx="1771">
                  <c:v>55.989800000000002</c:v>
                </c:pt>
                <c:pt idx="1772">
                  <c:v>55.989800000000002</c:v>
                </c:pt>
                <c:pt idx="1773">
                  <c:v>55.989800000000002</c:v>
                </c:pt>
                <c:pt idx="1774">
                  <c:v>56.064399999999999</c:v>
                </c:pt>
                <c:pt idx="1775">
                  <c:v>53.5306</c:v>
                </c:pt>
                <c:pt idx="1776">
                  <c:v>54.696300000000001</c:v>
                </c:pt>
                <c:pt idx="1777">
                  <c:v>56.743699999999997</c:v>
                </c:pt>
                <c:pt idx="1778">
                  <c:v>53.502600000000001</c:v>
                </c:pt>
                <c:pt idx="1779">
                  <c:v>53.502600000000001</c:v>
                </c:pt>
                <c:pt idx="1780">
                  <c:v>53.502600000000001</c:v>
                </c:pt>
                <c:pt idx="1781">
                  <c:v>55.792900000000003</c:v>
                </c:pt>
                <c:pt idx="1782">
                  <c:v>56.387300000000003</c:v>
                </c:pt>
                <c:pt idx="1783">
                  <c:v>58.544499999999999</c:v>
                </c:pt>
                <c:pt idx="1784">
                  <c:v>57.708300000000001</c:v>
                </c:pt>
                <c:pt idx="1785">
                  <c:v>59.514299999999999</c:v>
                </c:pt>
                <c:pt idx="1786">
                  <c:v>59.514299999999999</c:v>
                </c:pt>
                <c:pt idx="1787">
                  <c:v>59.514299999999999</c:v>
                </c:pt>
                <c:pt idx="1788">
                  <c:v>62.7224</c:v>
                </c:pt>
                <c:pt idx="1789">
                  <c:v>61.413600000000002</c:v>
                </c:pt>
                <c:pt idx="1790">
                  <c:v>61.368099999999998</c:v>
                </c:pt>
                <c:pt idx="1791">
                  <c:v>60.819800000000001</c:v>
                </c:pt>
                <c:pt idx="1792">
                  <c:v>60.8996</c:v>
                </c:pt>
                <c:pt idx="1793">
                  <c:v>60.8996</c:v>
                </c:pt>
                <c:pt idx="1794">
                  <c:v>60.8996</c:v>
                </c:pt>
                <c:pt idx="1795">
                  <c:v>60.248100000000001</c:v>
                </c:pt>
                <c:pt idx="1796">
                  <c:v>61.0244</c:v>
                </c:pt>
                <c:pt idx="1797">
                  <c:v>58.920699999999997</c:v>
                </c:pt>
                <c:pt idx="1798">
                  <c:v>59.875799999999998</c:v>
                </c:pt>
                <c:pt idx="1799">
                  <c:v>58.6843</c:v>
                </c:pt>
                <c:pt idx="1800">
                  <c:v>58.6843</c:v>
                </c:pt>
                <c:pt idx="1801">
                  <c:v>58.6843</c:v>
                </c:pt>
                <c:pt idx="1802">
                  <c:v>57.768900000000002</c:v>
                </c:pt>
                <c:pt idx="1803">
                  <c:v>56.594999999999999</c:v>
                </c:pt>
                <c:pt idx="1804">
                  <c:v>55.071199999999997</c:v>
                </c:pt>
                <c:pt idx="1805">
                  <c:v>55.163499999999999</c:v>
                </c:pt>
                <c:pt idx="1806">
                  <c:v>57.891199999999998</c:v>
                </c:pt>
                <c:pt idx="1807">
                  <c:v>57.891199999999998</c:v>
                </c:pt>
                <c:pt idx="1808">
                  <c:v>57.891199999999998</c:v>
                </c:pt>
                <c:pt idx="1809">
                  <c:v>59.549300000000002</c:v>
                </c:pt>
                <c:pt idx="1810">
                  <c:v>59.654400000000003</c:v>
                </c:pt>
                <c:pt idx="1811">
                  <c:v>59.809899999999999</c:v>
                </c:pt>
                <c:pt idx="1812">
                  <c:v>60.400300000000001</c:v>
                </c:pt>
                <c:pt idx="1813">
                  <c:v>60.137700000000002</c:v>
                </c:pt>
                <c:pt idx="1814">
                  <c:v>60.137700000000002</c:v>
                </c:pt>
                <c:pt idx="1815">
                  <c:v>60.137700000000002</c:v>
                </c:pt>
                <c:pt idx="1816">
                  <c:v>61.123899999999999</c:v>
                </c:pt>
                <c:pt idx="1817">
                  <c:v>59.546500000000002</c:v>
                </c:pt>
                <c:pt idx="1818">
                  <c:v>58.564500000000002</c:v>
                </c:pt>
                <c:pt idx="1819">
                  <c:v>60.195399999999999</c:v>
                </c:pt>
                <c:pt idx="1820">
                  <c:v>58.121400000000001</c:v>
                </c:pt>
                <c:pt idx="1821">
                  <c:v>58.121400000000001</c:v>
                </c:pt>
                <c:pt idx="1822">
                  <c:v>58.121400000000001</c:v>
                </c:pt>
                <c:pt idx="1823">
                  <c:v>57.837299999999999</c:v>
                </c:pt>
                <c:pt idx="1824">
                  <c:v>60.201700000000002</c:v>
                </c:pt>
                <c:pt idx="1825">
                  <c:v>60.486699999999999</c:v>
                </c:pt>
              </c:numCache>
            </c:numRef>
          </c:val>
          <c:smooth val="0"/>
          <c:extLst>
            <c:ext xmlns:c16="http://schemas.microsoft.com/office/drawing/2014/chart" uri="{C3380CC4-5D6E-409C-BE32-E72D297353CC}">
              <c16:uniqueId val="{00000001-81E7-47B7-B363-5B4CBBCE8A50}"/>
            </c:ext>
          </c:extLst>
        </c:ser>
        <c:ser>
          <c:idx val="2"/>
          <c:order val="2"/>
          <c:tx>
            <c:strRef>
              <c:f>'Calc Data'!$V$27</c:f>
              <c:strCache>
                <c:ptCount val="1"/>
                <c:pt idx="0">
                  <c:v>CSCO US  Equity</c:v>
                </c:pt>
              </c:strCache>
            </c:strRef>
          </c:tx>
          <c:spPr>
            <a:ln w="25400">
              <a:solidFill>
                <a:srgbClr val="E34234"/>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[0]!BB_TRA_SEC3</c:f>
              <c:numCache>
                <c:formatCode>General</c:formatCode>
                <c:ptCount val="1826"/>
                <c:pt idx="0">
                  <c:v>1.7938000000000001</c:v>
                </c:pt>
                <c:pt idx="1">
                  <c:v>1.7938000000000001</c:v>
                </c:pt>
                <c:pt idx="2">
                  <c:v>1.7938000000000001</c:v>
                </c:pt>
                <c:pt idx="3">
                  <c:v>1.7938000000000001</c:v>
                </c:pt>
                <c:pt idx="4">
                  <c:v>0.72909999999999997</c:v>
                </c:pt>
                <c:pt idx="5">
                  <c:v>1.2615000000000001</c:v>
                </c:pt>
                <c:pt idx="6">
                  <c:v>1.2615000000000001</c:v>
                </c:pt>
                <c:pt idx="7">
                  <c:v>2.1741000000000001</c:v>
                </c:pt>
                <c:pt idx="8">
                  <c:v>2.1741000000000001</c:v>
                </c:pt>
                <c:pt idx="9">
                  <c:v>2.1741000000000001</c:v>
                </c:pt>
                <c:pt idx="10">
                  <c:v>1.2043999999999999</c:v>
                </c:pt>
                <c:pt idx="11">
                  <c:v>1.3754999999999999</c:v>
                </c:pt>
                <c:pt idx="12">
                  <c:v>2.8395000000000001</c:v>
                </c:pt>
                <c:pt idx="13">
                  <c:v>2.0028999999999999</c:v>
                </c:pt>
                <c:pt idx="14">
                  <c:v>2.0979999999999999</c:v>
                </c:pt>
                <c:pt idx="15">
                  <c:v>2.0979999999999999</c:v>
                </c:pt>
                <c:pt idx="16">
                  <c:v>2.0979999999999999</c:v>
                </c:pt>
                <c:pt idx="17">
                  <c:v>0.88119999999999998</c:v>
                </c:pt>
                <c:pt idx="18">
                  <c:v>1.8698999999999999</c:v>
                </c:pt>
                <c:pt idx="19">
                  <c:v>2.4401999999999999</c:v>
                </c:pt>
                <c:pt idx="20">
                  <c:v>3.6951000000000001</c:v>
                </c:pt>
                <c:pt idx="21">
                  <c:v>5.0068999999999999</c:v>
                </c:pt>
                <c:pt idx="22">
                  <c:v>5.0068999999999999</c:v>
                </c:pt>
                <c:pt idx="23">
                  <c:v>5.0068999999999999</c:v>
                </c:pt>
                <c:pt idx="24">
                  <c:v>5.4633000000000003</c:v>
                </c:pt>
                <c:pt idx="25">
                  <c:v>5.1020000000000003</c:v>
                </c:pt>
                <c:pt idx="26">
                  <c:v>4.1323999999999996</c:v>
                </c:pt>
                <c:pt idx="27">
                  <c:v>4.7027000000000001</c:v>
                </c:pt>
                <c:pt idx="28">
                  <c:v>5.2731000000000003</c:v>
                </c:pt>
                <c:pt idx="29">
                  <c:v>5.2731000000000003</c:v>
                </c:pt>
                <c:pt idx="30">
                  <c:v>5.2731000000000003</c:v>
                </c:pt>
                <c:pt idx="31">
                  <c:v>5.4252000000000002</c:v>
                </c:pt>
                <c:pt idx="32">
                  <c:v>6.9462000000000002</c:v>
                </c:pt>
                <c:pt idx="33">
                  <c:v>5.8815</c:v>
                </c:pt>
                <c:pt idx="34">
                  <c:v>6.0145999999999997</c:v>
                </c:pt>
                <c:pt idx="35">
                  <c:v>5.6913999999999998</c:v>
                </c:pt>
                <c:pt idx="36">
                  <c:v>5.6913999999999998</c:v>
                </c:pt>
                <c:pt idx="37">
                  <c:v>5.6913999999999998</c:v>
                </c:pt>
                <c:pt idx="38">
                  <c:v>5.4633000000000003</c:v>
                </c:pt>
                <c:pt idx="39">
                  <c:v>5.7294</c:v>
                </c:pt>
                <c:pt idx="40">
                  <c:v>6.2046999999999999</c:v>
                </c:pt>
                <c:pt idx="41">
                  <c:v>7.2123999999999997</c:v>
                </c:pt>
                <c:pt idx="42">
                  <c:v>7.3644999999999996</c:v>
                </c:pt>
                <c:pt idx="43">
                  <c:v>7.3644999999999996</c:v>
                </c:pt>
                <c:pt idx="44">
                  <c:v>7.3644999999999996</c:v>
                </c:pt>
                <c:pt idx="45">
                  <c:v>7.0033000000000003</c:v>
                </c:pt>
                <c:pt idx="46">
                  <c:v>6.4898999999999996</c:v>
                </c:pt>
                <c:pt idx="47">
                  <c:v>4.8548</c:v>
                </c:pt>
                <c:pt idx="48">
                  <c:v>8.8855000000000004</c:v>
                </c:pt>
                <c:pt idx="49">
                  <c:v>10.691700000000001</c:v>
                </c:pt>
                <c:pt idx="50">
                  <c:v>10.691700000000001</c:v>
                </c:pt>
                <c:pt idx="51">
                  <c:v>10.691700000000001</c:v>
                </c:pt>
                <c:pt idx="52">
                  <c:v>11.3001</c:v>
                </c:pt>
                <c:pt idx="53">
                  <c:v>12.783099999999999</c:v>
                </c:pt>
                <c:pt idx="54">
                  <c:v>12.840199999999999</c:v>
                </c:pt>
                <c:pt idx="55">
                  <c:v>12.555</c:v>
                </c:pt>
                <c:pt idx="56">
                  <c:v>12.2127</c:v>
                </c:pt>
                <c:pt idx="57">
                  <c:v>12.2127</c:v>
                </c:pt>
                <c:pt idx="58">
                  <c:v>12.2127</c:v>
                </c:pt>
                <c:pt idx="59">
                  <c:v>12.421900000000001</c:v>
                </c:pt>
                <c:pt idx="60">
                  <c:v>12.2127</c:v>
                </c:pt>
                <c:pt idx="61">
                  <c:v>12.2508</c:v>
                </c:pt>
                <c:pt idx="62">
                  <c:v>13.182399999999999</c:v>
                </c:pt>
                <c:pt idx="63">
                  <c:v>12.9733</c:v>
                </c:pt>
                <c:pt idx="64">
                  <c:v>12.9733</c:v>
                </c:pt>
                <c:pt idx="65">
                  <c:v>12.9733</c:v>
                </c:pt>
                <c:pt idx="66">
                  <c:v>12.9733</c:v>
                </c:pt>
                <c:pt idx="67">
                  <c:v>11.9466</c:v>
                </c:pt>
                <c:pt idx="68">
                  <c:v>11.5663</c:v>
                </c:pt>
                <c:pt idx="69">
                  <c:v>11.414199999999999</c:v>
                </c:pt>
                <c:pt idx="70">
                  <c:v>10.064299999999999</c:v>
                </c:pt>
                <c:pt idx="71">
                  <c:v>10.064299999999999</c:v>
                </c:pt>
                <c:pt idx="72">
                  <c:v>10.064299999999999</c:v>
                </c:pt>
                <c:pt idx="73">
                  <c:v>10.4636</c:v>
                </c:pt>
                <c:pt idx="74">
                  <c:v>10.026300000000001</c:v>
                </c:pt>
                <c:pt idx="75">
                  <c:v>9.4368999999999996</c:v>
                </c:pt>
                <c:pt idx="76">
                  <c:v>8.9995999999999992</c:v>
                </c:pt>
                <c:pt idx="77">
                  <c:v>8.0869999999999997</c:v>
                </c:pt>
                <c:pt idx="78">
                  <c:v>8.0869999999999997</c:v>
                </c:pt>
                <c:pt idx="79">
                  <c:v>8.0869999999999997</c:v>
                </c:pt>
                <c:pt idx="80">
                  <c:v>6.2618</c:v>
                </c:pt>
                <c:pt idx="81">
                  <c:v>5.0640000000000001</c:v>
                </c:pt>
                <c:pt idx="82">
                  <c:v>5.5583</c:v>
                </c:pt>
                <c:pt idx="83">
                  <c:v>7.7827999999999999</c:v>
                </c:pt>
                <c:pt idx="84">
                  <c:v>7.8587999999999996</c:v>
                </c:pt>
                <c:pt idx="85">
                  <c:v>7.8587999999999996</c:v>
                </c:pt>
                <c:pt idx="86">
                  <c:v>7.8587999999999996</c:v>
                </c:pt>
                <c:pt idx="87">
                  <c:v>6.8891999999999998</c:v>
                </c:pt>
                <c:pt idx="88">
                  <c:v>5.5583</c:v>
                </c:pt>
                <c:pt idx="89">
                  <c:v>5.4823000000000004</c:v>
                </c:pt>
                <c:pt idx="90">
                  <c:v>3.4859</c:v>
                </c:pt>
                <c:pt idx="91">
                  <c:v>4.8357999999999999</c:v>
                </c:pt>
                <c:pt idx="92">
                  <c:v>4.8357999999999999</c:v>
                </c:pt>
                <c:pt idx="93">
                  <c:v>4.8357999999999999</c:v>
                </c:pt>
                <c:pt idx="94">
                  <c:v>3.8090999999999999</c:v>
                </c:pt>
                <c:pt idx="95">
                  <c:v>4.6897000000000002</c:v>
                </c:pt>
                <c:pt idx="96">
                  <c:v>3.254</c:v>
                </c:pt>
                <c:pt idx="97">
                  <c:v>5.3213999999999997</c:v>
                </c:pt>
                <c:pt idx="98">
                  <c:v>5.4363000000000001</c:v>
                </c:pt>
                <c:pt idx="99">
                  <c:v>5.4363000000000001</c:v>
                </c:pt>
                <c:pt idx="100">
                  <c:v>5.4363000000000001</c:v>
                </c:pt>
                <c:pt idx="101">
                  <c:v>5.1490999999999998</c:v>
                </c:pt>
                <c:pt idx="102">
                  <c:v>3.9049</c:v>
                </c:pt>
                <c:pt idx="103">
                  <c:v>4.5556999999999999</c:v>
                </c:pt>
                <c:pt idx="104">
                  <c:v>6.5274000000000001</c:v>
                </c:pt>
                <c:pt idx="105">
                  <c:v>5.7617000000000003</c:v>
                </c:pt>
                <c:pt idx="106">
                  <c:v>5.7617000000000003</c:v>
                </c:pt>
                <c:pt idx="107">
                  <c:v>5.7617000000000003</c:v>
                </c:pt>
                <c:pt idx="108">
                  <c:v>5.6467999999999998</c:v>
                </c:pt>
                <c:pt idx="109">
                  <c:v>6.6996000000000002</c:v>
                </c:pt>
                <c:pt idx="110">
                  <c:v>7.5801999999999996</c:v>
                </c:pt>
                <c:pt idx="111">
                  <c:v>6.6039000000000003</c:v>
                </c:pt>
                <c:pt idx="112">
                  <c:v>5.4936999999999996</c:v>
                </c:pt>
                <c:pt idx="113">
                  <c:v>5.4936999999999996</c:v>
                </c:pt>
                <c:pt idx="114">
                  <c:v>5.4936999999999996</c:v>
                </c:pt>
                <c:pt idx="115">
                  <c:v>5.5510999999999999</c:v>
                </c:pt>
                <c:pt idx="116">
                  <c:v>6.8335999999999997</c:v>
                </c:pt>
                <c:pt idx="117">
                  <c:v>7.5419</c:v>
                </c:pt>
                <c:pt idx="118">
                  <c:v>7.6567999999999996</c:v>
                </c:pt>
                <c:pt idx="119">
                  <c:v>7.1398999999999999</c:v>
                </c:pt>
                <c:pt idx="120">
                  <c:v>7.1398999999999999</c:v>
                </c:pt>
                <c:pt idx="121">
                  <c:v>7.1398999999999999</c:v>
                </c:pt>
                <c:pt idx="122">
                  <c:v>7.3887999999999998</c:v>
                </c:pt>
                <c:pt idx="123">
                  <c:v>10.298400000000001</c:v>
                </c:pt>
                <c:pt idx="124">
                  <c:v>10.3558</c:v>
                </c:pt>
                <c:pt idx="125">
                  <c:v>9.3413000000000004</c:v>
                </c:pt>
                <c:pt idx="126">
                  <c:v>9.2455999999999996</c:v>
                </c:pt>
                <c:pt idx="127">
                  <c:v>9.2455999999999996</c:v>
                </c:pt>
                <c:pt idx="128">
                  <c:v>9.2455999999999996</c:v>
                </c:pt>
                <c:pt idx="129">
                  <c:v>9.1115999999999993</c:v>
                </c:pt>
                <c:pt idx="130">
                  <c:v>9.9539000000000009</c:v>
                </c:pt>
                <c:pt idx="131">
                  <c:v>10.585599999999999</c:v>
                </c:pt>
                <c:pt idx="132">
                  <c:v>8.6522000000000006</c:v>
                </c:pt>
                <c:pt idx="133">
                  <c:v>8.7669999999999995</c:v>
                </c:pt>
                <c:pt idx="134">
                  <c:v>8.7669999999999995</c:v>
                </c:pt>
                <c:pt idx="135">
                  <c:v>8.7669999999999995</c:v>
                </c:pt>
                <c:pt idx="136">
                  <c:v>9.6283999999999992</c:v>
                </c:pt>
                <c:pt idx="137">
                  <c:v>9.1115999999999993</c:v>
                </c:pt>
                <c:pt idx="138">
                  <c:v>8.6522000000000006</c:v>
                </c:pt>
                <c:pt idx="139">
                  <c:v>2.6606000000000001</c:v>
                </c:pt>
                <c:pt idx="140">
                  <c:v>1.9332</c:v>
                </c:pt>
                <c:pt idx="141">
                  <c:v>1.9332</c:v>
                </c:pt>
                <c:pt idx="142">
                  <c:v>1.9332</c:v>
                </c:pt>
                <c:pt idx="143">
                  <c:v>4.5174000000000003</c:v>
                </c:pt>
                <c:pt idx="144">
                  <c:v>5.8574000000000002</c:v>
                </c:pt>
                <c:pt idx="145">
                  <c:v>6.3167999999999997</c:v>
                </c:pt>
                <c:pt idx="146">
                  <c:v>6.3167999999999997</c:v>
                </c:pt>
                <c:pt idx="147">
                  <c:v>4.6513999999999998</c:v>
                </c:pt>
                <c:pt idx="148">
                  <c:v>4.6513999999999998</c:v>
                </c:pt>
                <c:pt idx="149">
                  <c:v>4.6513999999999998</c:v>
                </c:pt>
                <c:pt idx="150">
                  <c:v>6.7378999999999998</c:v>
                </c:pt>
                <c:pt idx="151">
                  <c:v>4.9767999999999999</c:v>
                </c:pt>
                <c:pt idx="152">
                  <c:v>5.3404999999999996</c:v>
                </c:pt>
                <c:pt idx="153">
                  <c:v>7.4844999999999997</c:v>
                </c:pt>
                <c:pt idx="154">
                  <c:v>7.6375999999999999</c:v>
                </c:pt>
                <c:pt idx="155">
                  <c:v>7.6375999999999999</c:v>
                </c:pt>
                <c:pt idx="156">
                  <c:v>7.6375999999999999</c:v>
                </c:pt>
                <c:pt idx="157">
                  <c:v>9.0350000000000001</c:v>
                </c:pt>
                <c:pt idx="158">
                  <c:v>11.179</c:v>
                </c:pt>
                <c:pt idx="159">
                  <c:v>9.1499000000000006</c:v>
                </c:pt>
                <c:pt idx="160">
                  <c:v>10.164400000000001</c:v>
                </c:pt>
                <c:pt idx="161">
                  <c:v>13.4186</c:v>
                </c:pt>
                <c:pt idx="162">
                  <c:v>13.4186</c:v>
                </c:pt>
                <c:pt idx="163">
                  <c:v>13.4186</c:v>
                </c:pt>
                <c:pt idx="164">
                  <c:v>12.1935</c:v>
                </c:pt>
                <c:pt idx="165">
                  <c:v>10.585599999999999</c:v>
                </c:pt>
                <c:pt idx="166">
                  <c:v>14.7203</c:v>
                </c:pt>
                <c:pt idx="167">
                  <c:v>15.447699999999999</c:v>
                </c:pt>
                <c:pt idx="168">
                  <c:v>15.7349</c:v>
                </c:pt>
                <c:pt idx="169">
                  <c:v>15.7349</c:v>
                </c:pt>
                <c:pt idx="170">
                  <c:v>15.7349</c:v>
                </c:pt>
                <c:pt idx="171">
                  <c:v>15.5434</c:v>
                </c:pt>
                <c:pt idx="172">
                  <c:v>16.826000000000001</c:v>
                </c:pt>
                <c:pt idx="173">
                  <c:v>17.783100000000001</c:v>
                </c:pt>
                <c:pt idx="174">
                  <c:v>19.218800000000002</c:v>
                </c:pt>
                <c:pt idx="175">
                  <c:v>19.218800000000002</c:v>
                </c:pt>
                <c:pt idx="176">
                  <c:v>19.218800000000002</c:v>
                </c:pt>
                <c:pt idx="177">
                  <c:v>19.218800000000002</c:v>
                </c:pt>
                <c:pt idx="178">
                  <c:v>21.401</c:v>
                </c:pt>
                <c:pt idx="179">
                  <c:v>21.611599999999999</c:v>
                </c:pt>
                <c:pt idx="180">
                  <c:v>22.434699999999999</c:v>
                </c:pt>
                <c:pt idx="181">
                  <c:v>21.783799999999999</c:v>
                </c:pt>
                <c:pt idx="182">
                  <c:v>21.305299999999999</c:v>
                </c:pt>
                <c:pt idx="183">
                  <c:v>21.305299999999999</c:v>
                </c:pt>
                <c:pt idx="184">
                  <c:v>21.305299999999999</c:v>
                </c:pt>
                <c:pt idx="185">
                  <c:v>20.903300000000002</c:v>
                </c:pt>
                <c:pt idx="186">
                  <c:v>17.955400000000001</c:v>
                </c:pt>
                <c:pt idx="187">
                  <c:v>16.087299999999999</c:v>
                </c:pt>
                <c:pt idx="188">
                  <c:v>17.319900000000001</c:v>
                </c:pt>
                <c:pt idx="189">
                  <c:v>17.724299999999999</c:v>
                </c:pt>
                <c:pt idx="190">
                  <c:v>17.724299999999999</c:v>
                </c:pt>
                <c:pt idx="191">
                  <c:v>17.724299999999999</c:v>
                </c:pt>
                <c:pt idx="192">
                  <c:v>19.053100000000001</c:v>
                </c:pt>
                <c:pt idx="193">
                  <c:v>20.112300000000001</c:v>
                </c:pt>
                <c:pt idx="194">
                  <c:v>19.630800000000001</c:v>
                </c:pt>
                <c:pt idx="195">
                  <c:v>18.436800000000002</c:v>
                </c:pt>
                <c:pt idx="196">
                  <c:v>18.167200000000001</c:v>
                </c:pt>
                <c:pt idx="197">
                  <c:v>18.167200000000001</c:v>
                </c:pt>
                <c:pt idx="198">
                  <c:v>18.167200000000001</c:v>
                </c:pt>
                <c:pt idx="199">
                  <c:v>18.167200000000001</c:v>
                </c:pt>
                <c:pt idx="200">
                  <c:v>15.0282</c:v>
                </c:pt>
                <c:pt idx="201">
                  <c:v>13.4297</c:v>
                </c:pt>
                <c:pt idx="202">
                  <c:v>11.8506</c:v>
                </c:pt>
                <c:pt idx="203">
                  <c:v>9.1545000000000005</c:v>
                </c:pt>
                <c:pt idx="204">
                  <c:v>9.1545000000000005</c:v>
                </c:pt>
                <c:pt idx="205">
                  <c:v>9.1545000000000005</c:v>
                </c:pt>
                <c:pt idx="206">
                  <c:v>9.5780999999999992</c:v>
                </c:pt>
                <c:pt idx="207">
                  <c:v>8.0566999999999993</c:v>
                </c:pt>
                <c:pt idx="208">
                  <c:v>6.5545999999999998</c:v>
                </c:pt>
                <c:pt idx="209">
                  <c:v>5.1872999999999996</c:v>
                </c:pt>
                <c:pt idx="210">
                  <c:v>7.0937999999999999</c:v>
                </c:pt>
                <c:pt idx="211">
                  <c:v>7.0937999999999999</c:v>
                </c:pt>
                <c:pt idx="212">
                  <c:v>7.0937999999999999</c:v>
                </c:pt>
                <c:pt idx="213">
                  <c:v>7.2093999999999996</c:v>
                </c:pt>
                <c:pt idx="214">
                  <c:v>6.6317000000000004</c:v>
                </c:pt>
                <c:pt idx="215">
                  <c:v>8.1722999999999999</c:v>
                </c:pt>
                <c:pt idx="216">
                  <c:v>6.3042999999999996</c:v>
                </c:pt>
                <c:pt idx="217">
                  <c:v>6.2080000000000002</c:v>
                </c:pt>
                <c:pt idx="218">
                  <c:v>6.2080000000000002</c:v>
                </c:pt>
                <c:pt idx="219">
                  <c:v>6.2080000000000002</c:v>
                </c:pt>
                <c:pt idx="220">
                  <c:v>6.2465000000000002</c:v>
                </c:pt>
                <c:pt idx="221">
                  <c:v>6.5739000000000001</c:v>
                </c:pt>
                <c:pt idx="222">
                  <c:v>8.4033999999999995</c:v>
                </c:pt>
                <c:pt idx="223">
                  <c:v>5.6688000000000001</c:v>
                </c:pt>
                <c:pt idx="224">
                  <c:v>3.8007</c:v>
                </c:pt>
                <c:pt idx="225">
                  <c:v>3.8007</c:v>
                </c:pt>
                <c:pt idx="226">
                  <c:v>3.8007</c:v>
                </c:pt>
                <c:pt idx="227">
                  <c:v>2.4140999999999999</c:v>
                </c:pt>
                <c:pt idx="228">
                  <c:v>4.5133000000000001</c:v>
                </c:pt>
                <c:pt idx="229">
                  <c:v>4.4748000000000001</c:v>
                </c:pt>
                <c:pt idx="230">
                  <c:v>7.4020000000000001</c:v>
                </c:pt>
                <c:pt idx="231">
                  <c:v>10.1751</c:v>
                </c:pt>
                <c:pt idx="232">
                  <c:v>10.1751</c:v>
                </c:pt>
                <c:pt idx="233">
                  <c:v>10.1751</c:v>
                </c:pt>
                <c:pt idx="234">
                  <c:v>10.1751</c:v>
                </c:pt>
                <c:pt idx="235">
                  <c:v>8.4227000000000007</c:v>
                </c:pt>
                <c:pt idx="236">
                  <c:v>4.8407</c:v>
                </c:pt>
                <c:pt idx="237">
                  <c:v>5.3990999999999998</c:v>
                </c:pt>
                <c:pt idx="238">
                  <c:v>7.9218999999999999</c:v>
                </c:pt>
                <c:pt idx="239">
                  <c:v>7.9218999999999999</c:v>
                </c:pt>
                <c:pt idx="240">
                  <c:v>7.9218999999999999</c:v>
                </c:pt>
                <c:pt idx="241">
                  <c:v>7.4020000000000001</c:v>
                </c:pt>
                <c:pt idx="242">
                  <c:v>5.1872999999999996</c:v>
                </c:pt>
                <c:pt idx="243">
                  <c:v>8.1338000000000008</c:v>
                </c:pt>
                <c:pt idx="244">
                  <c:v>7.9797000000000002</c:v>
                </c:pt>
                <c:pt idx="245">
                  <c:v>8.8270999999999997</c:v>
                </c:pt>
                <c:pt idx="246">
                  <c:v>8.8270999999999997</c:v>
                </c:pt>
                <c:pt idx="247">
                  <c:v>8.8270999999999997</c:v>
                </c:pt>
                <c:pt idx="248">
                  <c:v>7.0552999999999999</c:v>
                </c:pt>
                <c:pt idx="249">
                  <c:v>4.7636000000000003</c:v>
                </c:pt>
                <c:pt idx="250">
                  <c:v>7.6908000000000003</c:v>
                </c:pt>
                <c:pt idx="251">
                  <c:v>5.3605999999999998</c:v>
                </c:pt>
                <c:pt idx="252">
                  <c:v>5.3220999999999998</c:v>
                </c:pt>
                <c:pt idx="253">
                  <c:v>5.3220999999999998</c:v>
                </c:pt>
                <c:pt idx="254">
                  <c:v>5.3220999999999998</c:v>
                </c:pt>
                <c:pt idx="255">
                  <c:v>4.5709999999999997</c:v>
                </c:pt>
                <c:pt idx="256">
                  <c:v>7.0746000000000002</c:v>
                </c:pt>
                <c:pt idx="257">
                  <c:v>7.4790000000000001</c:v>
                </c:pt>
                <c:pt idx="258">
                  <c:v>8.1722999999999999</c:v>
                </c:pt>
                <c:pt idx="259">
                  <c:v>7.7870999999999997</c:v>
                </c:pt>
                <c:pt idx="260">
                  <c:v>7.7870999999999997</c:v>
                </c:pt>
                <c:pt idx="261">
                  <c:v>7.7870999999999997</c:v>
                </c:pt>
                <c:pt idx="262">
                  <c:v>7.8449</c:v>
                </c:pt>
                <c:pt idx="263">
                  <c:v>8.1722999999999999</c:v>
                </c:pt>
                <c:pt idx="264">
                  <c:v>4.9177</c:v>
                </c:pt>
                <c:pt idx="265">
                  <c:v>4.9561999999999999</c:v>
                </c:pt>
                <c:pt idx="266">
                  <c:v>5.8613</c:v>
                </c:pt>
                <c:pt idx="267">
                  <c:v>5.8613</c:v>
                </c:pt>
                <c:pt idx="268">
                  <c:v>5.8613</c:v>
                </c:pt>
                <c:pt idx="269">
                  <c:v>6.1886999999999999</c:v>
                </c:pt>
                <c:pt idx="270">
                  <c:v>7.2093999999999996</c:v>
                </c:pt>
                <c:pt idx="271">
                  <c:v>7.9412000000000003</c:v>
                </c:pt>
                <c:pt idx="272">
                  <c:v>7.3826999999999998</c:v>
                </c:pt>
                <c:pt idx="273">
                  <c:v>7.1901000000000002</c:v>
                </c:pt>
                <c:pt idx="274">
                  <c:v>7.1901000000000002</c:v>
                </c:pt>
                <c:pt idx="275">
                  <c:v>7.1901000000000002</c:v>
                </c:pt>
                <c:pt idx="276">
                  <c:v>7.5945999999999998</c:v>
                </c:pt>
                <c:pt idx="277">
                  <c:v>6.4968000000000004</c:v>
                </c:pt>
                <c:pt idx="278">
                  <c:v>5.4302999999999999</c:v>
                </c:pt>
                <c:pt idx="279">
                  <c:v>5.9344999999999999</c:v>
                </c:pt>
                <c:pt idx="280">
                  <c:v>5.2557999999999998</c:v>
                </c:pt>
                <c:pt idx="281">
                  <c:v>5.2557999999999998</c:v>
                </c:pt>
                <c:pt idx="282">
                  <c:v>5.2557999999999998</c:v>
                </c:pt>
                <c:pt idx="283">
                  <c:v>2.5409999999999999</c:v>
                </c:pt>
                <c:pt idx="284">
                  <c:v>0.48559999999999998</c:v>
                </c:pt>
                <c:pt idx="285">
                  <c:v>1.1254999999999999</c:v>
                </c:pt>
                <c:pt idx="286">
                  <c:v>-0.77490000000000003</c:v>
                </c:pt>
                <c:pt idx="287">
                  <c:v>-0.77490000000000003</c:v>
                </c:pt>
                <c:pt idx="288">
                  <c:v>-0.77490000000000003</c:v>
                </c:pt>
                <c:pt idx="289">
                  <c:v>-0.77490000000000003</c:v>
                </c:pt>
                <c:pt idx="290">
                  <c:v>-0.89119999999999999</c:v>
                </c:pt>
                <c:pt idx="291">
                  <c:v>0.50490000000000002</c:v>
                </c:pt>
                <c:pt idx="292">
                  <c:v>2.8125</c:v>
                </c:pt>
                <c:pt idx="293">
                  <c:v>2.3471000000000002</c:v>
                </c:pt>
                <c:pt idx="294">
                  <c:v>-0.40639999999999998</c:v>
                </c:pt>
                <c:pt idx="295">
                  <c:v>-0.40639999999999998</c:v>
                </c:pt>
                <c:pt idx="296">
                  <c:v>-0.40639999999999998</c:v>
                </c:pt>
                <c:pt idx="297">
                  <c:v>0.71830000000000005</c:v>
                </c:pt>
                <c:pt idx="298">
                  <c:v>-1.2984</c:v>
                </c:pt>
                <c:pt idx="299">
                  <c:v>-4.3817000000000004</c:v>
                </c:pt>
                <c:pt idx="300">
                  <c:v>-1.8220000000000001</c:v>
                </c:pt>
                <c:pt idx="301">
                  <c:v>-5.0216000000000003</c:v>
                </c:pt>
                <c:pt idx="302">
                  <c:v>-5.0216000000000003</c:v>
                </c:pt>
                <c:pt idx="303">
                  <c:v>-5.0216000000000003</c:v>
                </c:pt>
                <c:pt idx="304">
                  <c:v>-3.3151000000000002</c:v>
                </c:pt>
                <c:pt idx="305">
                  <c:v>-3.1987999999999999</c:v>
                </c:pt>
                <c:pt idx="306">
                  <c:v>2.0199999999999999E-2</c:v>
                </c:pt>
                <c:pt idx="307">
                  <c:v>-3.7999000000000001</c:v>
                </c:pt>
                <c:pt idx="308">
                  <c:v>-4.3429000000000002</c:v>
                </c:pt>
                <c:pt idx="309">
                  <c:v>-4.3429000000000002</c:v>
                </c:pt>
                <c:pt idx="310">
                  <c:v>-4.3429000000000002</c:v>
                </c:pt>
                <c:pt idx="311">
                  <c:v>-5.0602999999999998</c:v>
                </c:pt>
                <c:pt idx="312">
                  <c:v>-3.9163000000000001</c:v>
                </c:pt>
                <c:pt idx="313">
                  <c:v>-5.6615000000000002</c:v>
                </c:pt>
                <c:pt idx="314">
                  <c:v>-6.3596000000000004</c:v>
                </c:pt>
                <c:pt idx="315">
                  <c:v>-3.8969</c:v>
                </c:pt>
                <c:pt idx="316">
                  <c:v>-3.8969</c:v>
                </c:pt>
                <c:pt idx="317">
                  <c:v>-3.8969</c:v>
                </c:pt>
                <c:pt idx="318">
                  <c:v>-4.9828000000000001</c:v>
                </c:pt>
                <c:pt idx="319">
                  <c:v>-1.8802000000000001</c:v>
                </c:pt>
                <c:pt idx="320">
                  <c:v>-6.2237999999999998</c:v>
                </c:pt>
                <c:pt idx="321">
                  <c:v>-19.099599999999999</c:v>
                </c:pt>
                <c:pt idx="322">
                  <c:v>-16.733899999999998</c:v>
                </c:pt>
                <c:pt idx="323">
                  <c:v>-16.733899999999998</c:v>
                </c:pt>
                <c:pt idx="324">
                  <c:v>-16.733899999999998</c:v>
                </c:pt>
                <c:pt idx="325">
                  <c:v>-15.938800000000001</c:v>
                </c:pt>
                <c:pt idx="326">
                  <c:v>-15.1244</c:v>
                </c:pt>
                <c:pt idx="327">
                  <c:v>-14.6784</c:v>
                </c:pt>
                <c:pt idx="328">
                  <c:v>-12.758699999999999</c:v>
                </c:pt>
                <c:pt idx="329">
                  <c:v>-11.537000000000001</c:v>
                </c:pt>
                <c:pt idx="330">
                  <c:v>-11.537000000000001</c:v>
                </c:pt>
                <c:pt idx="331">
                  <c:v>-11.537000000000001</c:v>
                </c:pt>
                <c:pt idx="332">
                  <c:v>-11.537000000000001</c:v>
                </c:pt>
                <c:pt idx="333">
                  <c:v>-12.642300000000001</c:v>
                </c:pt>
                <c:pt idx="334">
                  <c:v>-12.2933</c:v>
                </c:pt>
                <c:pt idx="335">
                  <c:v>-11.2074</c:v>
                </c:pt>
                <c:pt idx="336">
                  <c:v>-12.2545</c:v>
                </c:pt>
                <c:pt idx="337">
                  <c:v>-12.2545</c:v>
                </c:pt>
                <c:pt idx="338">
                  <c:v>-12.2545</c:v>
                </c:pt>
                <c:pt idx="339">
                  <c:v>-12.099399999999999</c:v>
                </c:pt>
                <c:pt idx="340">
                  <c:v>-11.634</c:v>
                </c:pt>
                <c:pt idx="341">
                  <c:v>-12.894399999999999</c:v>
                </c:pt>
                <c:pt idx="342">
                  <c:v>-14.174200000000001</c:v>
                </c:pt>
                <c:pt idx="343">
                  <c:v>-15.667400000000001</c:v>
                </c:pt>
                <c:pt idx="344">
                  <c:v>-15.667400000000001</c:v>
                </c:pt>
                <c:pt idx="345">
                  <c:v>-15.667400000000001</c:v>
                </c:pt>
                <c:pt idx="346">
                  <c:v>-16.152200000000001</c:v>
                </c:pt>
                <c:pt idx="347">
                  <c:v>-16.792100000000001</c:v>
                </c:pt>
                <c:pt idx="348">
                  <c:v>-15.0662</c:v>
                </c:pt>
                <c:pt idx="349">
                  <c:v>-15.997</c:v>
                </c:pt>
                <c:pt idx="350">
                  <c:v>-15.8613</c:v>
                </c:pt>
                <c:pt idx="351">
                  <c:v>-15.8613</c:v>
                </c:pt>
                <c:pt idx="352">
                  <c:v>-15.8613</c:v>
                </c:pt>
                <c:pt idx="353">
                  <c:v>-15.8613</c:v>
                </c:pt>
                <c:pt idx="354">
                  <c:v>-14.4069</c:v>
                </c:pt>
                <c:pt idx="355">
                  <c:v>-15.5122</c:v>
                </c:pt>
                <c:pt idx="356">
                  <c:v>-16.753299999999999</c:v>
                </c:pt>
                <c:pt idx="357">
                  <c:v>-14.484500000000001</c:v>
                </c:pt>
                <c:pt idx="358">
                  <c:v>-14.484500000000001</c:v>
                </c:pt>
                <c:pt idx="359">
                  <c:v>-14.484500000000001</c:v>
                </c:pt>
                <c:pt idx="360">
                  <c:v>-15.1244</c:v>
                </c:pt>
                <c:pt idx="361">
                  <c:v>-16.501200000000001</c:v>
                </c:pt>
                <c:pt idx="362">
                  <c:v>-16.850200000000001</c:v>
                </c:pt>
                <c:pt idx="363">
                  <c:v>-17.3156</c:v>
                </c:pt>
                <c:pt idx="364">
                  <c:v>-17.3932</c:v>
                </c:pt>
                <c:pt idx="365">
                  <c:v>-17.3932</c:v>
                </c:pt>
                <c:pt idx="366">
                  <c:v>-17.3932</c:v>
                </c:pt>
                <c:pt idx="367">
                  <c:v>-17.3932</c:v>
                </c:pt>
                <c:pt idx="368">
                  <c:v>-17.897400000000001</c:v>
                </c:pt>
                <c:pt idx="369">
                  <c:v>-16.469000000000001</c:v>
                </c:pt>
                <c:pt idx="370">
                  <c:v>-15.431900000000001</c:v>
                </c:pt>
                <c:pt idx="371">
                  <c:v>-15.099299999999999</c:v>
                </c:pt>
                <c:pt idx="372">
                  <c:v>-15.099299999999999</c:v>
                </c:pt>
                <c:pt idx="373">
                  <c:v>-15.099299999999999</c:v>
                </c:pt>
                <c:pt idx="374">
                  <c:v>-15.373200000000001</c:v>
                </c:pt>
                <c:pt idx="375">
                  <c:v>-16.136299999999999</c:v>
                </c:pt>
                <c:pt idx="376">
                  <c:v>-16.449400000000001</c:v>
                </c:pt>
                <c:pt idx="377">
                  <c:v>-17.173400000000001</c:v>
                </c:pt>
                <c:pt idx="378">
                  <c:v>-15.7254</c:v>
                </c:pt>
                <c:pt idx="379">
                  <c:v>-15.7254</c:v>
                </c:pt>
                <c:pt idx="380">
                  <c:v>-15.7254</c:v>
                </c:pt>
                <c:pt idx="381">
                  <c:v>-16.645099999999999</c:v>
                </c:pt>
                <c:pt idx="382">
                  <c:v>-13.847</c:v>
                </c:pt>
                <c:pt idx="383">
                  <c:v>-13.651400000000001</c:v>
                </c:pt>
                <c:pt idx="384">
                  <c:v>-12.770799999999999</c:v>
                </c:pt>
                <c:pt idx="385">
                  <c:v>-13.005599999999999</c:v>
                </c:pt>
                <c:pt idx="386">
                  <c:v>-13.005599999999999</c:v>
                </c:pt>
                <c:pt idx="387">
                  <c:v>-13.005599999999999</c:v>
                </c:pt>
                <c:pt idx="388">
                  <c:v>-13.240399999999999</c:v>
                </c:pt>
                <c:pt idx="389">
                  <c:v>-14.2384</c:v>
                </c:pt>
                <c:pt idx="390">
                  <c:v>-12.6534</c:v>
                </c:pt>
                <c:pt idx="391">
                  <c:v>-10.735900000000001</c:v>
                </c:pt>
                <c:pt idx="392">
                  <c:v>-11.225099999999999</c:v>
                </c:pt>
                <c:pt idx="393">
                  <c:v>-11.225099999999999</c:v>
                </c:pt>
                <c:pt idx="394">
                  <c:v>-11.225099999999999</c:v>
                </c:pt>
                <c:pt idx="395">
                  <c:v>-11.401199999999999</c:v>
                </c:pt>
                <c:pt idx="396">
                  <c:v>-12.105600000000001</c:v>
                </c:pt>
                <c:pt idx="397">
                  <c:v>-10.559799999999999</c:v>
                </c:pt>
                <c:pt idx="398">
                  <c:v>-11.205500000000001</c:v>
                </c:pt>
                <c:pt idx="399">
                  <c:v>-11.929500000000001</c:v>
                </c:pt>
                <c:pt idx="400">
                  <c:v>-11.929500000000001</c:v>
                </c:pt>
                <c:pt idx="401">
                  <c:v>-11.929500000000001</c:v>
                </c:pt>
                <c:pt idx="402">
                  <c:v>-11.9099</c:v>
                </c:pt>
                <c:pt idx="403">
                  <c:v>-12.105600000000001</c:v>
                </c:pt>
                <c:pt idx="404">
                  <c:v>-9.9532000000000007</c:v>
                </c:pt>
                <c:pt idx="405">
                  <c:v>-10.188000000000001</c:v>
                </c:pt>
                <c:pt idx="406">
                  <c:v>-8.7988</c:v>
                </c:pt>
                <c:pt idx="407">
                  <c:v>-8.7988</c:v>
                </c:pt>
                <c:pt idx="408">
                  <c:v>-8.7988</c:v>
                </c:pt>
                <c:pt idx="409">
                  <c:v>-8.8378999999999994</c:v>
                </c:pt>
                <c:pt idx="410">
                  <c:v>-8.4856999999999996</c:v>
                </c:pt>
                <c:pt idx="411">
                  <c:v>-8.7009000000000007</c:v>
                </c:pt>
                <c:pt idx="412">
                  <c:v>-3.3982999999999999</c:v>
                </c:pt>
                <c:pt idx="413">
                  <c:v>-4.7092999999999998</c:v>
                </c:pt>
                <c:pt idx="414">
                  <c:v>-4.7092999999999998</c:v>
                </c:pt>
                <c:pt idx="415">
                  <c:v>-4.7092999999999998</c:v>
                </c:pt>
                <c:pt idx="416">
                  <c:v>-6.6463999999999999</c:v>
                </c:pt>
                <c:pt idx="417">
                  <c:v>-7.2333999999999996</c:v>
                </c:pt>
                <c:pt idx="418">
                  <c:v>-7.8986999999999998</c:v>
                </c:pt>
                <c:pt idx="419">
                  <c:v>-7.5073999999999996</c:v>
                </c:pt>
                <c:pt idx="420">
                  <c:v>-10.207599999999999</c:v>
                </c:pt>
                <c:pt idx="421">
                  <c:v>-10.207599999999999</c:v>
                </c:pt>
                <c:pt idx="422">
                  <c:v>-10.207599999999999</c:v>
                </c:pt>
                <c:pt idx="423">
                  <c:v>-10.559799999999999</c:v>
                </c:pt>
                <c:pt idx="424">
                  <c:v>-11.4794</c:v>
                </c:pt>
                <c:pt idx="425">
                  <c:v>-12.4969</c:v>
                </c:pt>
                <c:pt idx="426">
                  <c:v>-11.381600000000001</c:v>
                </c:pt>
                <c:pt idx="427">
                  <c:v>-12.751300000000001</c:v>
                </c:pt>
                <c:pt idx="428">
                  <c:v>-12.751300000000001</c:v>
                </c:pt>
                <c:pt idx="429">
                  <c:v>-12.751300000000001</c:v>
                </c:pt>
                <c:pt idx="430">
                  <c:v>-12.751300000000001</c:v>
                </c:pt>
                <c:pt idx="431">
                  <c:v>-12.9861</c:v>
                </c:pt>
                <c:pt idx="432">
                  <c:v>-11.9099</c:v>
                </c:pt>
                <c:pt idx="433">
                  <c:v>-11.225099999999999</c:v>
                </c:pt>
                <c:pt idx="434">
                  <c:v>-10.442399999999999</c:v>
                </c:pt>
                <c:pt idx="435">
                  <c:v>-10.442399999999999</c:v>
                </c:pt>
                <c:pt idx="436">
                  <c:v>-10.442399999999999</c:v>
                </c:pt>
                <c:pt idx="437">
                  <c:v>-9.2096999999999998</c:v>
                </c:pt>
                <c:pt idx="438">
                  <c:v>-13.6905</c:v>
                </c:pt>
                <c:pt idx="439">
                  <c:v>-13.984</c:v>
                </c:pt>
                <c:pt idx="440">
                  <c:v>-15.295</c:v>
                </c:pt>
                <c:pt idx="441">
                  <c:v>-15.275399999999999</c:v>
                </c:pt>
                <c:pt idx="442">
                  <c:v>-15.275399999999999</c:v>
                </c:pt>
                <c:pt idx="443">
                  <c:v>-15.275399999999999</c:v>
                </c:pt>
                <c:pt idx="444">
                  <c:v>-15.275399999999999</c:v>
                </c:pt>
                <c:pt idx="445">
                  <c:v>-16.684200000000001</c:v>
                </c:pt>
                <c:pt idx="446">
                  <c:v>-18.621300000000002</c:v>
                </c:pt>
                <c:pt idx="447">
                  <c:v>-19.482299999999999</c:v>
                </c:pt>
                <c:pt idx="448">
                  <c:v>-20.441099999999999</c:v>
                </c:pt>
                <c:pt idx="449">
                  <c:v>-20.441099999999999</c:v>
                </c:pt>
                <c:pt idx="450">
                  <c:v>-20.441099999999999</c:v>
                </c:pt>
                <c:pt idx="451">
                  <c:v>-20.5976</c:v>
                </c:pt>
                <c:pt idx="452">
                  <c:v>-20.715</c:v>
                </c:pt>
                <c:pt idx="453">
                  <c:v>-19.110499999999998</c:v>
                </c:pt>
                <c:pt idx="454">
                  <c:v>-20.6172</c:v>
                </c:pt>
                <c:pt idx="455">
                  <c:v>-21.732500000000002</c:v>
                </c:pt>
                <c:pt idx="456">
                  <c:v>-21.732500000000002</c:v>
                </c:pt>
                <c:pt idx="457">
                  <c:v>-21.732500000000002</c:v>
                </c:pt>
                <c:pt idx="458">
                  <c:v>-19.208300000000001</c:v>
                </c:pt>
                <c:pt idx="459">
                  <c:v>-17.427800000000001</c:v>
                </c:pt>
                <c:pt idx="460">
                  <c:v>-17.092099999999999</c:v>
                </c:pt>
                <c:pt idx="461">
                  <c:v>-18.020099999999999</c:v>
                </c:pt>
                <c:pt idx="462">
                  <c:v>-20.488199999999999</c:v>
                </c:pt>
                <c:pt idx="463">
                  <c:v>-20.488199999999999</c:v>
                </c:pt>
                <c:pt idx="464">
                  <c:v>-20.488199999999999</c:v>
                </c:pt>
                <c:pt idx="465">
                  <c:v>-21.238499999999998</c:v>
                </c:pt>
                <c:pt idx="466">
                  <c:v>-21.8506</c:v>
                </c:pt>
                <c:pt idx="467">
                  <c:v>-22.462700000000002</c:v>
                </c:pt>
                <c:pt idx="468">
                  <c:v>-19.8169</c:v>
                </c:pt>
                <c:pt idx="469">
                  <c:v>-20.6264</c:v>
                </c:pt>
                <c:pt idx="470">
                  <c:v>-20.6264</c:v>
                </c:pt>
                <c:pt idx="471">
                  <c:v>-20.6264</c:v>
                </c:pt>
                <c:pt idx="472">
                  <c:v>-18.454499999999999</c:v>
                </c:pt>
                <c:pt idx="473">
                  <c:v>-17.486999999999998</c:v>
                </c:pt>
                <c:pt idx="474">
                  <c:v>-17.3093</c:v>
                </c:pt>
                <c:pt idx="475">
                  <c:v>-17.645</c:v>
                </c:pt>
                <c:pt idx="476">
                  <c:v>-15.492800000000001</c:v>
                </c:pt>
                <c:pt idx="477">
                  <c:v>-15.492800000000001</c:v>
                </c:pt>
                <c:pt idx="478">
                  <c:v>-15.492800000000001</c:v>
                </c:pt>
                <c:pt idx="479">
                  <c:v>-14.031700000000001</c:v>
                </c:pt>
                <c:pt idx="480">
                  <c:v>-12.412599999999999</c:v>
                </c:pt>
                <c:pt idx="481">
                  <c:v>-12.373100000000001</c:v>
                </c:pt>
                <c:pt idx="482">
                  <c:v>-12.2941</c:v>
                </c:pt>
                <c:pt idx="483">
                  <c:v>-9.8853000000000009</c:v>
                </c:pt>
                <c:pt idx="484">
                  <c:v>-9.8853000000000009</c:v>
                </c:pt>
                <c:pt idx="485">
                  <c:v>-9.8853000000000009</c:v>
                </c:pt>
                <c:pt idx="486">
                  <c:v>-10.299899999999999</c:v>
                </c:pt>
                <c:pt idx="487">
                  <c:v>-10.2407</c:v>
                </c:pt>
                <c:pt idx="488">
                  <c:v>-11.997999999999999</c:v>
                </c:pt>
                <c:pt idx="489">
                  <c:v>-13.419600000000001</c:v>
                </c:pt>
                <c:pt idx="490">
                  <c:v>-12.0967</c:v>
                </c:pt>
                <c:pt idx="491">
                  <c:v>-12.0967</c:v>
                </c:pt>
                <c:pt idx="492">
                  <c:v>-12.0967</c:v>
                </c:pt>
                <c:pt idx="493">
                  <c:v>-12.0375</c:v>
                </c:pt>
                <c:pt idx="494">
                  <c:v>-11.919</c:v>
                </c:pt>
                <c:pt idx="495">
                  <c:v>-13.3011</c:v>
                </c:pt>
                <c:pt idx="496">
                  <c:v>-9.8458000000000006</c:v>
                </c:pt>
                <c:pt idx="497">
                  <c:v>-11.563599999999999</c:v>
                </c:pt>
                <c:pt idx="498">
                  <c:v>-11.563599999999999</c:v>
                </c:pt>
                <c:pt idx="499">
                  <c:v>-11.563599999999999</c:v>
                </c:pt>
                <c:pt idx="500">
                  <c:v>-11.6623</c:v>
                </c:pt>
                <c:pt idx="501">
                  <c:v>-11.346399999999999</c:v>
                </c:pt>
                <c:pt idx="502">
                  <c:v>-12.353400000000001</c:v>
                </c:pt>
                <c:pt idx="503">
                  <c:v>-8.0096000000000007</c:v>
                </c:pt>
                <c:pt idx="504">
                  <c:v>-5.6402000000000001</c:v>
                </c:pt>
                <c:pt idx="505">
                  <c:v>-5.6402000000000001</c:v>
                </c:pt>
                <c:pt idx="506">
                  <c:v>-5.6402000000000001</c:v>
                </c:pt>
                <c:pt idx="507">
                  <c:v>-5.9757999999999996</c:v>
                </c:pt>
                <c:pt idx="508">
                  <c:v>-4.4752999999999998</c:v>
                </c:pt>
                <c:pt idx="509">
                  <c:v>-4.1001000000000003</c:v>
                </c:pt>
                <c:pt idx="510">
                  <c:v>-4.1001000000000003</c:v>
                </c:pt>
                <c:pt idx="511">
                  <c:v>-4.4358000000000004</c:v>
                </c:pt>
                <c:pt idx="512">
                  <c:v>-4.4358000000000004</c:v>
                </c:pt>
                <c:pt idx="513">
                  <c:v>-4.4358000000000004</c:v>
                </c:pt>
                <c:pt idx="514">
                  <c:v>-5.0675999999999997</c:v>
                </c:pt>
                <c:pt idx="515">
                  <c:v>-4.6726999999999999</c:v>
                </c:pt>
                <c:pt idx="516">
                  <c:v>-1.8294999999999999</c:v>
                </c:pt>
                <c:pt idx="517">
                  <c:v>-1.3359000000000001</c:v>
                </c:pt>
                <c:pt idx="518">
                  <c:v>-1.869</c:v>
                </c:pt>
                <c:pt idx="519">
                  <c:v>-1.869</c:v>
                </c:pt>
                <c:pt idx="520">
                  <c:v>-1.869</c:v>
                </c:pt>
                <c:pt idx="521">
                  <c:v>-2.5994999999999999</c:v>
                </c:pt>
                <c:pt idx="522">
                  <c:v>-4.0606</c:v>
                </c:pt>
                <c:pt idx="523">
                  <c:v>-4.8700999999999999</c:v>
                </c:pt>
                <c:pt idx="524">
                  <c:v>-3.2707999999999999</c:v>
                </c:pt>
                <c:pt idx="525">
                  <c:v>-4.3173000000000004</c:v>
                </c:pt>
                <c:pt idx="526">
                  <c:v>-4.3173000000000004</c:v>
                </c:pt>
                <c:pt idx="527">
                  <c:v>-4.3173000000000004</c:v>
                </c:pt>
                <c:pt idx="528">
                  <c:v>-2.6587000000000001</c:v>
                </c:pt>
                <c:pt idx="529">
                  <c:v>-1.9874000000000001</c:v>
                </c:pt>
                <c:pt idx="530">
                  <c:v>-2.6587000000000001</c:v>
                </c:pt>
                <c:pt idx="531">
                  <c:v>-4.9294000000000002</c:v>
                </c:pt>
                <c:pt idx="532">
                  <c:v>-5.6006999999999998</c:v>
                </c:pt>
                <c:pt idx="533">
                  <c:v>-5.6006999999999998</c:v>
                </c:pt>
                <c:pt idx="534">
                  <c:v>-5.6006999999999998</c:v>
                </c:pt>
                <c:pt idx="535">
                  <c:v>-6.4101999999999997</c:v>
                </c:pt>
                <c:pt idx="536">
                  <c:v>-6.4695</c:v>
                </c:pt>
                <c:pt idx="537">
                  <c:v>-5.8968999999999996</c:v>
                </c:pt>
                <c:pt idx="538">
                  <c:v>-6.5682</c:v>
                </c:pt>
                <c:pt idx="539">
                  <c:v>-6.2523</c:v>
                </c:pt>
                <c:pt idx="540">
                  <c:v>-6.2523</c:v>
                </c:pt>
                <c:pt idx="541">
                  <c:v>-6.2523</c:v>
                </c:pt>
                <c:pt idx="542">
                  <c:v>-6.2523</c:v>
                </c:pt>
                <c:pt idx="543">
                  <c:v>-6.1536</c:v>
                </c:pt>
                <c:pt idx="544">
                  <c:v>-7.0617999999999999</c:v>
                </c:pt>
                <c:pt idx="545">
                  <c:v>-6.2127999999999997</c:v>
                </c:pt>
                <c:pt idx="546">
                  <c:v>-5.9363999999999999</c:v>
                </c:pt>
                <c:pt idx="547">
                  <c:v>-5.9363999999999999</c:v>
                </c:pt>
                <c:pt idx="548">
                  <c:v>-5.9363999999999999</c:v>
                </c:pt>
                <c:pt idx="549">
                  <c:v>-5.9363999999999999</c:v>
                </c:pt>
                <c:pt idx="550">
                  <c:v>-5.3440000000000003</c:v>
                </c:pt>
                <c:pt idx="551">
                  <c:v>-5.3638000000000003</c:v>
                </c:pt>
                <c:pt idx="552">
                  <c:v>-6.6971999999999996</c:v>
                </c:pt>
                <c:pt idx="553">
                  <c:v>-3.8313000000000001</c:v>
                </c:pt>
                <c:pt idx="554">
                  <c:v>-3.8313000000000001</c:v>
                </c:pt>
                <c:pt idx="555">
                  <c:v>-3.8313000000000001</c:v>
                </c:pt>
                <c:pt idx="556">
                  <c:v>-3.3138000000000001</c:v>
                </c:pt>
                <c:pt idx="557">
                  <c:v>-2.8561000000000001</c:v>
                </c:pt>
                <c:pt idx="558">
                  <c:v>-2.06</c:v>
                </c:pt>
                <c:pt idx="559">
                  <c:v>-2.4779</c:v>
                </c:pt>
                <c:pt idx="560">
                  <c:v>-2.7166999999999999</c:v>
                </c:pt>
                <c:pt idx="561">
                  <c:v>-2.7166999999999999</c:v>
                </c:pt>
                <c:pt idx="562">
                  <c:v>-2.7166999999999999</c:v>
                </c:pt>
                <c:pt idx="563">
                  <c:v>-2.7166999999999999</c:v>
                </c:pt>
                <c:pt idx="564">
                  <c:v>-4.3089000000000004</c:v>
                </c:pt>
                <c:pt idx="565">
                  <c:v>-6.6574</c:v>
                </c:pt>
                <c:pt idx="566">
                  <c:v>-7.5331000000000001</c:v>
                </c:pt>
                <c:pt idx="567">
                  <c:v>-6.8963000000000001</c:v>
                </c:pt>
                <c:pt idx="568">
                  <c:v>-6.8963000000000001</c:v>
                </c:pt>
                <c:pt idx="569">
                  <c:v>-6.8963000000000001</c:v>
                </c:pt>
                <c:pt idx="570">
                  <c:v>-5.4633000000000003</c:v>
                </c:pt>
                <c:pt idx="571">
                  <c:v>-4.8463000000000003</c:v>
                </c:pt>
                <c:pt idx="572">
                  <c:v>-4.508</c:v>
                </c:pt>
                <c:pt idx="573">
                  <c:v>-3.7915000000000001</c:v>
                </c:pt>
                <c:pt idx="574">
                  <c:v>-3.4531000000000001</c:v>
                </c:pt>
                <c:pt idx="575">
                  <c:v>-3.4531000000000001</c:v>
                </c:pt>
                <c:pt idx="576">
                  <c:v>-3.4531000000000001</c:v>
                </c:pt>
                <c:pt idx="577">
                  <c:v>-4.0303000000000004</c:v>
                </c:pt>
                <c:pt idx="578">
                  <c:v>-3.1347</c:v>
                </c:pt>
                <c:pt idx="579">
                  <c:v>-3.3336999999999999</c:v>
                </c:pt>
                <c:pt idx="580">
                  <c:v>-1.841</c:v>
                </c:pt>
                <c:pt idx="581">
                  <c:v>-3.2143000000000002</c:v>
                </c:pt>
                <c:pt idx="582">
                  <c:v>-3.2143000000000002</c:v>
                </c:pt>
                <c:pt idx="583">
                  <c:v>-3.2143000000000002</c:v>
                </c:pt>
                <c:pt idx="584">
                  <c:v>-5.3239999999999998</c:v>
                </c:pt>
                <c:pt idx="585">
                  <c:v>-4.7866</c:v>
                </c:pt>
                <c:pt idx="586">
                  <c:v>-6.5380000000000003</c:v>
                </c:pt>
                <c:pt idx="587">
                  <c:v>-6.9958</c:v>
                </c:pt>
                <c:pt idx="588">
                  <c:v>-5.9409000000000001</c:v>
                </c:pt>
                <c:pt idx="589">
                  <c:v>-5.9409000000000001</c:v>
                </c:pt>
                <c:pt idx="590">
                  <c:v>-5.9409000000000001</c:v>
                </c:pt>
                <c:pt idx="591">
                  <c:v>-4.7468000000000004</c:v>
                </c:pt>
                <c:pt idx="592">
                  <c:v>-5.0651999999999999</c:v>
                </c:pt>
                <c:pt idx="593">
                  <c:v>-3.5724999999999998</c:v>
                </c:pt>
                <c:pt idx="594">
                  <c:v>1.4826999999999999</c:v>
                </c:pt>
                <c:pt idx="595">
                  <c:v>1.0448</c:v>
                </c:pt>
                <c:pt idx="596">
                  <c:v>1.0448</c:v>
                </c:pt>
                <c:pt idx="597">
                  <c:v>1.0448</c:v>
                </c:pt>
                <c:pt idx="598">
                  <c:v>1.0448</c:v>
                </c:pt>
                <c:pt idx="599">
                  <c:v>-1.1046</c:v>
                </c:pt>
                <c:pt idx="600">
                  <c:v>-1.8609</c:v>
                </c:pt>
                <c:pt idx="601">
                  <c:v>-2.06</c:v>
                </c:pt>
                <c:pt idx="602">
                  <c:v>-3.5127999999999999</c:v>
                </c:pt>
                <c:pt idx="603">
                  <c:v>-3.5127999999999999</c:v>
                </c:pt>
                <c:pt idx="604">
                  <c:v>-3.5127999999999999</c:v>
                </c:pt>
                <c:pt idx="605">
                  <c:v>-3.0152999999999999</c:v>
                </c:pt>
                <c:pt idx="606">
                  <c:v>-3.6322000000000001</c:v>
                </c:pt>
                <c:pt idx="607">
                  <c:v>-3.7915000000000001</c:v>
                </c:pt>
                <c:pt idx="608">
                  <c:v>-3.4133</c:v>
                </c:pt>
                <c:pt idx="609">
                  <c:v>-1.9206000000000001</c:v>
                </c:pt>
                <c:pt idx="610">
                  <c:v>-1.9206000000000001</c:v>
                </c:pt>
                <c:pt idx="611">
                  <c:v>-1.9206000000000001</c:v>
                </c:pt>
                <c:pt idx="612">
                  <c:v>-1.6419999999999999</c:v>
                </c:pt>
                <c:pt idx="613">
                  <c:v>-2.657</c:v>
                </c:pt>
                <c:pt idx="614">
                  <c:v>-2.2589999999999999</c:v>
                </c:pt>
                <c:pt idx="615">
                  <c:v>-2.8561000000000001</c:v>
                </c:pt>
                <c:pt idx="616">
                  <c:v>-3.3536000000000001</c:v>
                </c:pt>
                <c:pt idx="617">
                  <c:v>-3.3536000000000001</c:v>
                </c:pt>
                <c:pt idx="618">
                  <c:v>-3.3536000000000001</c:v>
                </c:pt>
                <c:pt idx="619">
                  <c:v>-3.6522000000000001</c:v>
                </c:pt>
                <c:pt idx="620">
                  <c:v>-2.3784000000000001</c:v>
                </c:pt>
                <c:pt idx="621">
                  <c:v>-2.3584999999999998</c:v>
                </c:pt>
                <c:pt idx="622">
                  <c:v>-0.24879999999999999</c:v>
                </c:pt>
                <c:pt idx="623">
                  <c:v>-0.1095</c:v>
                </c:pt>
                <c:pt idx="624">
                  <c:v>-0.1095</c:v>
                </c:pt>
                <c:pt idx="625">
                  <c:v>-0.1095</c:v>
                </c:pt>
                <c:pt idx="626">
                  <c:v>1.3832</c:v>
                </c:pt>
                <c:pt idx="627">
                  <c:v>0.8458</c:v>
                </c:pt>
                <c:pt idx="628">
                  <c:v>-1.5624</c:v>
                </c:pt>
                <c:pt idx="629">
                  <c:v>-1.0249999999999999</c:v>
                </c:pt>
                <c:pt idx="630">
                  <c:v>0.52739999999999998</c:v>
                </c:pt>
                <c:pt idx="631">
                  <c:v>0.52739999999999998</c:v>
                </c:pt>
                <c:pt idx="632">
                  <c:v>0.52739999999999998</c:v>
                </c:pt>
                <c:pt idx="633">
                  <c:v>0.58709999999999996</c:v>
                </c:pt>
                <c:pt idx="634">
                  <c:v>0.28849999999999998</c:v>
                </c:pt>
                <c:pt idx="635">
                  <c:v>1.8409</c:v>
                </c:pt>
                <c:pt idx="636">
                  <c:v>2.3584000000000001</c:v>
                </c:pt>
                <c:pt idx="637">
                  <c:v>4.0401999999999996</c:v>
                </c:pt>
                <c:pt idx="638">
                  <c:v>4.0401999999999996</c:v>
                </c:pt>
                <c:pt idx="639">
                  <c:v>4.0401999999999996</c:v>
                </c:pt>
                <c:pt idx="640">
                  <c:v>4.1097999999999999</c:v>
                </c:pt>
                <c:pt idx="641">
                  <c:v>3.9108000000000001</c:v>
                </c:pt>
                <c:pt idx="642">
                  <c:v>3.9108000000000001</c:v>
                </c:pt>
                <c:pt idx="643">
                  <c:v>2.8079000000000001</c:v>
                </c:pt>
                <c:pt idx="644">
                  <c:v>2.8079000000000001</c:v>
                </c:pt>
                <c:pt idx="645">
                  <c:v>2.8079000000000001</c:v>
                </c:pt>
                <c:pt idx="646">
                  <c:v>2.8079000000000001</c:v>
                </c:pt>
                <c:pt idx="647">
                  <c:v>2.9281999999999999</c:v>
                </c:pt>
                <c:pt idx="648">
                  <c:v>1.5044999999999999</c:v>
                </c:pt>
                <c:pt idx="649">
                  <c:v>0.48180000000000001</c:v>
                </c:pt>
                <c:pt idx="650">
                  <c:v>1.8654999999999999</c:v>
                </c:pt>
                <c:pt idx="651">
                  <c:v>1.3441000000000001</c:v>
                </c:pt>
                <c:pt idx="652">
                  <c:v>1.3441000000000001</c:v>
                </c:pt>
                <c:pt idx="653">
                  <c:v>1.3441000000000001</c:v>
                </c:pt>
                <c:pt idx="654">
                  <c:v>0.82269999999999999</c:v>
                </c:pt>
                <c:pt idx="655">
                  <c:v>0.88290000000000002</c:v>
                </c:pt>
                <c:pt idx="656">
                  <c:v>-3.669</c:v>
                </c:pt>
                <c:pt idx="657">
                  <c:v>-6.5965999999999996</c:v>
                </c:pt>
                <c:pt idx="658">
                  <c:v>-5.6942000000000004</c:v>
                </c:pt>
                <c:pt idx="659">
                  <c:v>-5.6942000000000004</c:v>
                </c:pt>
                <c:pt idx="660">
                  <c:v>-5.6942000000000004</c:v>
                </c:pt>
                <c:pt idx="661">
                  <c:v>-4.9724000000000004</c:v>
                </c:pt>
                <c:pt idx="662">
                  <c:v>-5.5739000000000001</c:v>
                </c:pt>
                <c:pt idx="663">
                  <c:v>-6.6768000000000001</c:v>
                </c:pt>
                <c:pt idx="664">
                  <c:v>-6.6367000000000003</c:v>
                </c:pt>
                <c:pt idx="665">
                  <c:v>-5.2530999999999999</c:v>
                </c:pt>
                <c:pt idx="666">
                  <c:v>-5.2530999999999999</c:v>
                </c:pt>
                <c:pt idx="667">
                  <c:v>-5.2530999999999999</c:v>
                </c:pt>
                <c:pt idx="668">
                  <c:v>-5.0726000000000004</c:v>
                </c:pt>
                <c:pt idx="669">
                  <c:v>-7.0377000000000001</c:v>
                </c:pt>
                <c:pt idx="670">
                  <c:v>-7.8398000000000003</c:v>
                </c:pt>
                <c:pt idx="671">
                  <c:v>-8.3612000000000002</c:v>
                </c:pt>
                <c:pt idx="672">
                  <c:v>-7.2583000000000002</c:v>
                </c:pt>
                <c:pt idx="673">
                  <c:v>-7.2583000000000002</c:v>
                </c:pt>
                <c:pt idx="674">
                  <c:v>-7.2583000000000002</c:v>
                </c:pt>
                <c:pt idx="675">
                  <c:v>-7.0778999999999996</c:v>
                </c:pt>
                <c:pt idx="676">
                  <c:v>-6.8171999999999997</c:v>
                </c:pt>
                <c:pt idx="677">
                  <c:v>-6.3358999999999996</c:v>
                </c:pt>
                <c:pt idx="678">
                  <c:v>-7.0176999999999996</c:v>
                </c:pt>
                <c:pt idx="679">
                  <c:v>-6.3358999999999996</c:v>
                </c:pt>
                <c:pt idx="680">
                  <c:v>-6.3358999999999996</c:v>
                </c:pt>
                <c:pt idx="681">
                  <c:v>-6.3358999999999996</c:v>
                </c:pt>
                <c:pt idx="682">
                  <c:v>-5.5538999999999996</c:v>
                </c:pt>
                <c:pt idx="683">
                  <c:v>-5.9147999999999996</c:v>
                </c:pt>
                <c:pt idx="684">
                  <c:v>-4.4911000000000003</c:v>
                </c:pt>
                <c:pt idx="685">
                  <c:v>-3.3481000000000001</c:v>
                </c:pt>
                <c:pt idx="686">
                  <c:v>-1.4833000000000001</c:v>
                </c:pt>
                <c:pt idx="687">
                  <c:v>-1.4833000000000001</c:v>
                </c:pt>
                <c:pt idx="688">
                  <c:v>-1.4833000000000001</c:v>
                </c:pt>
                <c:pt idx="689">
                  <c:v>-2.1049000000000002</c:v>
                </c:pt>
                <c:pt idx="690">
                  <c:v>-1.9244000000000001</c:v>
                </c:pt>
                <c:pt idx="691">
                  <c:v>-2.927</c:v>
                </c:pt>
                <c:pt idx="692">
                  <c:v>-1.6838</c:v>
                </c:pt>
                <c:pt idx="693">
                  <c:v>-1.95E-2</c:v>
                </c:pt>
                <c:pt idx="694">
                  <c:v>-1.95E-2</c:v>
                </c:pt>
                <c:pt idx="695">
                  <c:v>-1.95E-2</c:v>
                </c:pt>
                <c:pt idx="696">
                  <c:v>-1.95E-2</c:v>
                </c:pt>
                <c:pt idx="697">
                  <c:v>0.60219999999999996</c:v>
                </c:pt>
                <c:pt idx="698">
                  <c:v>-0.40039999999999998</c:v>
                </c:pt>
                <c:pt idx="699">
                  <c:v>-0.2601</c:v>
                </c:pt>
                <c:pt idx="700">
                  <c:v>0.3014</c:v>
                </c:pt>
                <c:pt idx="701">
                  <c:v>0.3014</c:v>
                </c:pt>
                <c:pt idx="702">
                  <c:v>0.3014</c:v>
                </c:pt>
                <c:pt idx="703">
                  <c:v>0.68240000000000001</c:v>
                </c:pt>
                <c:pt idx="704">
                  <c:v>-0.1197</c:v>
                </c:pt>
                <c:pt idx="705">
                  <c:v>-0.1799</c:v>
                </c:pt>
                <c:pt idx="706">
                  <c:v>-0.38040000000000002</c:v>
                </c:pt>
                <c:pt idx="707">
                  <c:v>-0.42049999999999998</c:v>
                </c:pt>
                <c:pt idx="708">
                  <c:v>-0.42049999999999998</c:v>
                </c:pt>
                <c:pt idx="709">
                  <c:v>-0.42049999999999998</c:v>
                </c:pt>
                <c:pt idx="710">
                  <c:v>1.2238</c:v>
                </c:pt>
                <c:pt idx="711">
                  <c:v>1.8654999999999999</c:v>
                </c:pt>
                <c:pt idx="712">
                  <c:v>2.1863000000000001</c:v>
                </c:pt>
                <c:pt idx="713">
                  <c:v>4.1314000000000002</c:v>
                </c:pt>
                <c:pt idx="714">
                  <c:v>4.4120999999999997</c:v>
                </c:pt>
                <c:pt idx="715">
                  <c:v>4.4120999999999997</c:v>
                </c:pt>
                <c:pt idx="716">
                  <c:v>4.4120999999999997</c:v>
                </c:pt>
                <c:pt idx="717">
                  <c:v>4.4120999999999997</c:v>
                </c:pt>
                <c:pt idx="718">
                  <c:v>3.3694000000000002</c:v>
                </c:pt>
                <c:pt idx="719">
                  <c:v>1.9657</c:v>
                </c:pt>
                <c:pt idx="720">
                  <c:v>2.5070999999999999</c:v>
                </c:pt>
                <c:pt idx="721">
                  <c:v>0.92300000000000004</c:v>
                </c:pt>
                <c:pt idx="722">
                  <c:v>0.92300000000000004</c:v>
                </c:pt>
                <c:pt idx="723">
                  <c:v>0.92300000000000004</c:v>
                </c:pt>
                <c:pt idx="724">
                  <c:v>0.68240000000000001</c:v>
                </c:pt>
                <c:pt idx="725">
                  <c:v>1.9858</c:v>
                </c:pt>
                <c:pt idx="726">
                  <c:v>2.0057999999999998</c:v>
                </c:pt>
                <c:pt idx="727">
                  <c:v>2.6876000000000002</c:v>
                </c:pt>
                <c:pt idx="728">
                  <c:v>3.7504</c:v>
                </c:pt>
                <c:pt idx="729">
                  <c:v>3.7504</c:v>
                </c:pt>
                <c:pt idx="730">
                  <c:v>3.7504</c:v>
                </c:pt>
                <c:pt idx="731">
                  <c:v>3.9108000000000001</c:v>
                </c:pt>
                <c:pt idx="732">
                  <c:v>3.9108000000000001</c:v>
                </c:pt>
                <c:pt idx="733">
                  <c:v>4.0712000000000002</c:v>
                </c:pt>
                <c:pt idx="734">
                  <c:v>3.2629999999999999</c:v>
                </c:pt>
                <c:pt idx="735">
                  <c:v>3.0206</c:v>
                </c:pt>
                <c:pt idx="736">
                  <c:v>3.0206</c:v>
                </c:pt>
                <c:pt idx="737">
                  <c:v>3.0206</c:v>
                </c:pt>
                <c:pt idx="738">
                  <c:v>3.8490000000000002</c:v>
                </c:pt>
                <c:pt idx="739">
                  <c:v>5.3037000000000001</c:v>
                </c:pt>
                <c:pt idx="740">
                  <c:v>2.5154999999999998</c:v>
                </c:pt>
                <c:pt idx="741">
                  <c:v>4.1116000000000001</c:v>
                </c:pt>
                <c:pt idx="742">
                  <c:v>1.7881</c:v>
                </c:pt>
                <c:pt idx="743">
                  <c:v>1.7881</c:v>
                </c:pt>
                <c:pt idx="744">
                  <c:v>1.7881</c:v>
                </c:pt>
                <c:pt idx="745">
                  <c:v>2.6568999999999998</c:v>
                </c:pt>
                <c:pt idx="746">
                  <c:v>3.5257000000000001</c:v>
                </c:pt>
                <c:pt idx="747">
                  <c:v>5.93</c:v>
                </c:pt>
                <c:pt idx="748">
                  <c:v>5.8087999999999997</c:v>
                </c:pt>
                <c:pt idx="749">
                  <c:v>6.3341000000000003</c:v>
                </c:pt>
                <c:pt idx="750">
                  <c:v>6.3341000000000003</c:v>
                </c:pt>
                <c:pt idx="751">
                  <c:v>6.3341000000000003</c:v>
                </c:pt>
                <c:pt idx="752">
                  <c:v>7.3038999999999996</c:v>
                </c:pt>
                <c:pt idx="753">
                  <c:v>8.2939000000000007</c:v>
                </c:pt>
                <c:pt idx="754">
                  <c:v>7.5260999999999996</c:v>
                </c:pt>
                <c:pt idx="755">
                  <c:v>7.0815999999999999</c:v>
                </c:pt>
                <c:pt idx="756">
                  <c:v>5.2430000000000003</c:v>
                </c:pt>
                <c:pt idx="757">
                  <c:v>5.2430000000000003</c:v>
                </c:pt>
                <c:pt idx="758">
                  <c:v>5.2430000000000003</c:v>
                </c:pt>
                <c:pt idx="759">
                  <c:v>5.1420000000000003</c:v>
                </c:pt>
                <c:pt idx="760">
                  <c:v>6.3947000000000003</c:v>
                </c:pt>
                <c:pt idx="761">
                  <c:v>6.2329999999999997</c:v>
                </c:pt>
                <c:pt idx="762">
                  <c:v>7.3846999999999996</c:v>
                </c:pt>
                <c:pt idx="763">
                  <c:v>6.3341000000000003</c:v>
                </c:pt>
                <c:pt idx="764">
                  <c:v>6.3341000000000003</c:v>
                </c:pt>
                <c:pt idx="765">
                  <c:v>6.3341000000000003</c:v>
                </c:pt>
                <c:pt idx="766">
                  <c:v>7.1017999999999999</c:v>
                </c:pt>
                <c:pt idx="767">
                  <c:v>7.2027999999999999</c:v>
                </c:pt>
                <c:pt idx="768">
                  <c:v>7.0613999999999999</c:v>
                </c:pt>
                <c:pt idx="769">
                  <c:v>7.8292000000000002</c:v>
                </c:pt>
                <c:pt idx="770">
                  <c:v>8.6776999999999997</c:v>
                </c:pt>
                <c:pt idx="771">
                  <c:v>8.6776999999999997</c:v>
                </c:pt>
                <c:pt idx="772">
                  <c:v>8.6776999999999997</c:v>
                </c:pt>
                <c:pt idx="773">
                  <c:v>8.8596000000000004</c:v>
                </c:pt>
                <c:pt idx="774">
                  <c:v>7.7888000000000002</c:v>
                </c:pt>
                <c:pt idx="775">
                  <c:v>7.0007999999999999</c:v>
                </c:pt>
                <c:pt idx="776">
                  <c:v>10.5769</c:v>
                </c:pt>
                <c:pt idx="777">
                  <c:v>11.203200000000001</c:v>
                </c:pt>
                <c:pt idx="778">
                  <c:v>11.203200000000001</c:v>
                </c:pt>
                <c:pt idx="779">
                  <c:v>11.203200000000001</c:v>
                </c:pt>
                <c:pt idx="780">
                  <c:v>12.0114</c:v>
                </c:pt>
                <c:pt idx="781">
                  <c:v>12.0518</c:v>
                </c:pt>
                <c:pt idx="782">
                  <c:v>13.102399999999999</c:v>
                </c:pt>
                <c:pt idx="783">
                  <c:v>11.6073</c:v>
                </c:pt>
                <c:pt idx="784">
                  <c:v>12.5367</c:v>
                </c:pt>
                <c:pt idx="785">
                  <c:v>12.5367</c:v>
                </c:pt>
                <c:pt idx="786">
                  <c:v>12.5367</c:v>
                </c:pt>
                <c:pt idx="787">
                  <c:v>13.546900000000001</c:v>
                </c:pt>
                <c:pt idx="788">
                  <c:v>14.2743</c:v>
                </c:pt>
                <c:pt idx="789">
                  <c:v>14.779400000000001</c:v>
                </c:pt>
                <c:pt idx="790">
                  <c:v>15.8704</c:v>
                </c:pt>
                <c:pt idx="791">
                  <c:v>16.860399999999998</c:v>
                </c:pt>
                <c:pt idx="792">
                  <c:v>16.860399999999998</c:v>
                </c:pt>
                <c:pt idx="793">
                  <c:v>16.860399999999998</c:v>
                </c:pt>
                <c:pt idx="794">
                  <c:v>16.860399999999998</c:v>
                </c:pt>
                <c:pt idx="795">
                  <c:v>15.688499999999999</c:v>
                </c:pt>
                <c:pt idx="796">
                  <c:v>15.486499999999999</c:v>
                </c:pt>
                <c:pt idx="797">
                  <c:v>14.739000000000001</c:v>
                </c:pt>
                <c:pt idx="798">
                  <c:v>14.496499999999999</c:v>
                </c:pt>
                <c:pt idx="799">
                  <c:v>14.496499999999999</c:v>
                </c:pt>
                <c:pt idx="800">
                  <c:v>14.496499999999999</c:v>
                </c:pt>
                <c:pt idx="801">
                  <c:v>14.84</c:v>
                </c:pt>
                <c:pt idx="802">
                  <c:v>13.9308</c:v>
                </c:pt>
                <c:pt idx="803">
                  <c:v>13.708500000000001</c:v>
                </c:pt>
                <c:pt idx="804">
                  <c:v>13.8904</c:v>
                </c:pt>
                <c:pt idx="805">
                  <c:v>13.223699999999999</c:v>
                </c:pt>
                <c:pt idx="806">
                  <c:v>13.223699999999999</c:v>
                </c:pt>
                <c:pt idx="807">
                  <c:v>13.223699999999999</c:v>
                </c:pt>
                <c:pt idx="808">
                  <c:v>13.3651</c:v>
                </c:pt>
                <c:pt idx="809">
                  <c:v>12.819599999999999</c:v>
                </c:pt>
                <c:pt idx="810">
                  <c:v>12.1326</c:v>
                </c:pt>
                <c:pt idx="811">
                  <c:v>7.7685000000000004</c:v>
                </c:pt>
                <c:pt idx="812">
                  <c:v>8.2332000000000001</c:v>
                </c:pt>
                <c:pt idx="813">
                  <c:v>8.2332000000000001</c:v>
                </c:pt>
                <c:pt idx="814">
                  <c:v>8.2332000000000001</c:v>
                </c:pt>
                <c:pt idx="815">
                  <c:v>8.0513999999999992</c:v>
                </c:pt>
                <c:pt idx="816">
                  <c:v>6.4957000000000003</c:v>
                </c:pt>
                <c:pt idx="817">
                  <c:v>7.4856999999999996</c:v>
                </c:pt>
                <c:pt idx="818">
                  <c:v>8.8596000000000004</c:v>
                </c:pt>
                <c:pt idx="819">
                  <c:v>8.6171000000000006</c:v>
                </c:pt>
                <c:pt idx="820">
                  <c:v>8.6171000000000006</c:v>
                </c:pt>
                <c:pt idx="821">
                  <c:v>8.6171000000000006</c:v>
                </c:pt>
                <c:pt idx="822">
                  <c:v>9.89</c:v>
                </c:pt>
                <c:pt idx="823">
                  <c:v>9.1828000000000003</c:v>
                </c:pt>
                <c:pt idx="824">
                  <c:v>8.7758000000000003</c:v>
                </c:pt>
                <c:pt idx="825">
                  <c:v>8.0024999999999995</c:v>
                </c:pt>
                <c:pt idx="826">
                  <c:v>8.7758000000000003</c:v>
                </c:pt>
                <c:pt idx="827">
                  <c:v>8.7758000000000003</c:v>
                </c:pt>
                <c:pt idx="828">
                  <c:v>8.7758000000000003</c:v>
                </c:pt>
                <c:pt idx="829">
                  <c:v>9.7323000000000004</c:v>
                </c:pt>
                <c:pt idx="830">
                  <c:v>9.6305999999999994</c:v>
                </c:pt>
                <c:pt idx="831">
                  <c:v>9.2032000000000007</c:v>
                </c:pt>
                <c:pt idx="832">
                  <c:v>9.5899000000000001</c:v>
                </c:pt>
                <c:pt idx="833">
                  <c:v>9.4269999999999996</c:v>
                </c:pt>
                <c:pt idx="834">
                  <c:v>9.4269999999999996</c:v>
                </c:pt>
                <c:pt idx="835">
                  <c:v>9.4269999999999996</c:v>
                </c:pt>
                <c:pt idx="836">
                  <c:v>10.220700000000001</c:v>
                </c:pt>
                <c:pt idx="837">
                  <c:v>9.7729999999999997</c:v>
                </c:pt>
                <c:pt idx="838">
                  <c:v>9.4269999999999996</c:v>
                </c:pt>
                <c:pt idx="839">
                  <c:v>8.5113000000000003</c:v>
                </c:pt>
                <c:pt idx="840">
                  <c:v>7.7176</c:v>
                </c:pt>
                <c:pt idx="841">
                  <c:v>7.7176</c:v>
                </c:pt>
                <c:pt idx="842">
                  <c:v>7.7176</c:v>
                </c:pt>
                <c:pt idx="843">
                  <c:v>6.2319000000000004</c:v>
                </c:pt>
                <c:pt idx="844">
                  <c:v>7.8803999999999998</c:v>
                </c:pt>
                <c:pt idx="845">
                  <c:v>6.6390000000000002</c:v>
                </c:pt>
                <c:pt idx="846">
                  <c:v>4.5427999999999997</c:v>
                </c:pt>
                <c:pt idx="847">
                  <c:v>4.9295</c:v>
                </c:pt>
                <c:pt idx="848">
                  <c:v>4.9295</c:v>
                </c:pt>
                <c:pt idx="849">
                  <c:v>4.9295</c:v>
                </c:pt>
                <c:pt idx="850">
                  <c:v>4.9497999999999998</c:v>
                </c:pt>
                <c:pt idx="851">
                  <c:v>6.0895000000000001</c:v>
                </c:pt>
                <c:pt idx="852">
                  <c:v>6.2115999999999998</c:v>
                </c:pt>
                <c:pt idx="853">
                  <c:v>7.3512000000000004</c:v>
                </c:pt>
                <c:pt idx="854">
                  <c:v>7.8803999999999998</c:v>
                </c:pt>
                <c:pt idx="855">
                  <c:v>7.8803999999999998</c:v>
                </c:pt>
                <c:pt idx="856">
                  <c:v>7.8803999999999998</c:v>
                </c:pt>
                <c:pt idx="857">
                  <c:v>8.4502000000000006</c:v>
                </c:pt>
                <c:pt idx="858">
                  <c:v>8.1245999999999992</c:v>
                </c:pt>
                <c:pt idx="859">
                  <c:v>7.86</c:v>
                </c:pt>
                <c:pt idx="860">
                  <c:v>5.8249000000000004</c:v>
                </c:pt>
                <c:pt idx="861">
                  <c:v>7.0255999999999998</c:v>
                </c:pt>
                <c:pt idx="862">
                  <c:v>7.0255999999999998</c:v>
                </c:pt>
                <c:pt idx="863">
                  <c:v>7.0255999999999998</c:v>
                </c:pt>
                <c:pt idx="864">
                  <c:v>6.2930000000000001</c:v>
                </c:pt>
                <c:pt idx="865">
                  <c:v>8.2059999999999995</c:v>
                </c:pt>
                <c:pt idx="866">
                  <c:v>8.4298999999999999</c:v>
                </c:pt>
                <c:pt idx="867">
                  <c:v>-2.234</c:v>
                </c:pt>
                <c:pt idx="868">
                  <c:v>-2.8140000000000001</c:v>
                </c:pt>
                <c:pt idx="869">
                  <c:v>-2.8140000000000001</c:v>
                </c:pt>
                <c:pt idx="870">
                  <c:v>-2.8140000000000001</c:v>
                </c:pt>
                <c:pt idx="871">
                  <c:v>-1.766</c:v>
                </c:pt>
                <c:pt idx="872">
                  <c:v>-2.7225000000000001</c:v>
                </c:pt>
                <c:pt idx="873">
                  <c:v>-2.1526000000000001</c:v>
                </c:pt>
                <c:pt idx="874">
                  <c:v>-2.1526000000000001</c:v>
                </c:pt>
                <c:pt idx="875">
                  <c:v>-1.5828</c:v>
                </c:pt>
                <c:pt idx="876">
                  <c:v>-1.5828</c:v>
                </c:pt>
                <c:pt idx="877">
                  <c:v>-1.5828</c:v>
                </c:pt>
                <c:pt idx="878">
                  <c:v>-2.4579</c:v>
                </c:pt>
                <c:pt idx="879">
                  <c:v>-2.6206999999999998</c:v>
                </c:pt>
                <c:pt idx="880">
                  <c:v>-2.2136999999999998</c:v>
                </c:pt>
                <c:pt idx="881">
                  <c:v>-1.5421</c:v>
                </c:pt>
                <c:pt idx="882">
                  <c:v>-1.359</c:v>
                </c:pt>
                <c:pt idx="883">
                  <c:v>-1.359</c:v>
                </c:pt>
                <c:pt idx="884">
                  <c:v>-1.359</c:v>
                </c:pt>
                <c:pt idx="885">
                  <c:v>-2.2136999999999998</c:v>
                </c:pt>
                <c:pt idx="886">
                  <c:v>-2.4579</c:v>
                </c:pt>
                <c:pt idx="887">
                  <c:v>-2.9260000000000002</c:v>
                </c:pt>
                <c:pt idx="888">
                  <c:v>-1.7863</c:v>
                </c:pt>
                <c:pt idx="889">
                  <c:v>-1.5421</c:v>
                </c:pt>
                <c:pt idx="890">
                  <c:v>-1.5421</c:v>
                </c:pt>
                <c:pt idx="891">
                  <c:v>-1.5421</c:v>
                </c:pt>
                <c:pt idx="892">
                  <c:v>0.51329999999999998</c:v>
                </c:pt>
                <c:pt idx="893">
                  <c:v>0.39119999999999999</c:v>
                </c:pt>
                <c:pt idx="894">
                  <c:v>1.1238999999999999</c:v>
                </c:pt>
                <c:pt idx="895">
                  <c:v>0.61509999999999998</c:v>
                </c:pt>
                <c:pt idx="896">
                  <c:v>1.4902</c:v>
                </c:pt>
                <c:pt idx="897">
                  <c:v>1.4902</c:v>
                </c:pt>
                <c:pt idx="898">
                  <c:v>1.4902</c:v>
                </c:pt>
                <c:pt idx="899">
                  <c:v>2.2431999999999999</c:v>
                </c:pt>
                <c:pt idx="900">
                  <c:v>2.1211000000000002</c:v>
                </c:pt>
                <c:pt idx="901">
                  <c:v>1.3476999999999999</c:v>
                </c:pt>
                <c:pt idx="902">
                  <c:v>1.1442000000000001</c:v>
                </c:pt>
                <c:pt idx="903">
                  <c:v>1.9379</c:v>
                </c:pt>
                <c:pt idx="904">
                  <c:v>1.9379</c:v>
                </c:pt>
                <c:pt idx="905">
                  <c:v>1.9379</c:v>
                </c:pt>
                <c:pt idx="906">
                  <c:v>1.9379</c:v>
                </c:pt>
                <c:pt idx="907">
                  <c:v>2.3246000000000002</c:v>
                </c:pt>
                <c:pt idx="908">
                  <c:v>2.6501999999999999</c:v>
                </c:pt>
                <c:pt idx="909">
                  <c:v>2.7315999999999998</c:v>
                </c:pt>
                <c:pt idx="910">
                  <c:v>2.8130000000000002</c:v>
                </c:pt>
                <c:pt idx="911">
                  <c:v>2.8130000000000002</c:v>
                </c:pt>
                <c:pt idx="912">
                  <c:v>2.8130000000000002</c:v>
                </c:pt>
                <c:pt idx="913">
                  <c:v>2.8130000000000002</c:v>
                </c:pt>
                <c:pt idx="914">
                  <c:v>2.7926000000000002</c:v>
                </c:pt>
                <c:pt idx="915">
                  <c:v>3.5863</c:v>
                </c:pt>
                <c:pt idx="916">
                  <c:v>2.7044999999999999</c:v>
                </c:pt>
                <c:pt idx="917">
                  <c:v>2.7250000000000001</c:v>
                </c:pt>
                <c:pt idx="918">
                  <c:v>2.7250000000000001</c:v>
                </c:pt>
                <c:pt idx="919">
                  <c:v>2.7250000000000001</c:v>
                </c:pt>
                <c:pt idx="920">
                  <c:v>3.4838</c:v>
                </c:pt>
                <c:pt idx="921">
                  <c:v>2.3557999999999999</c:v>
                </c:pt>
                <c:pt idx="922">
                  <c:v>3.0326</c:v>
                </c:pt>
                <c:pt idx="923">
                  <c:v>3.4428000000000001</c:v>
                </c:pt>
                <c:pt idx="924">
                  <c:v>3.2376999999999998</c:v>
                </c:pt>
                <c:pt idx="925">
                  <c:v>3.2376999999999998</c:v>
                </c:pt>
                <c:pt idx="926">
                  <c:v>3.2376999999999998</c:v>
                </c:pt>
                <c:pt idx="927">
                  <c:v>3.2376999999999998</c:v>
                </c:pt>
                <c:pt idx="928">
                  <c:v>3.7504</c:v>
                </c:pt>
                <c:pt idx="929">
                  <c:v>3.1556999999999999</c:v>
                </c:pt>
                <c:pt idx="930">
                  <c:v>4.0785</c:v>
                </c:pt>
                <c:pt idx="931">
                  <c:v>5.1448999999999998</c:v>
                </c:pt>
                <c:pt idx="932">
                  <c:v>5.1448999999999998</c:v>
                </c:pt>
                <c:pt idx="933">
                  <c:v>5.1448999999999998</c:v>
                </c:pt>
                <c:pt idx="934">
                  <c:v>5.7602000000000002</c:v>
                </c:pt>
                <c:pt idx="935">
                  <c:v>6.1497999999999999</c:v>
                </c:pt>
                <c:pt idx="936">
                  <c:v>5.2270000000000003</c:v>
                </c:pt>
                <c:pt idx="937">
                  <c:v>7.3188000000000004</c:v>
                </c:pt>
                <c:pt idx="938">
                  <c:v>6.9291</c:v>
                </c:pt>
                <c:pt idx="939">
                  <c:v>6.9291</c:v>
                </c:pt>
                <c:pt idx="940">
                  <c:v>6.9291</c:v>
                </c:pt>
                <c:pt idx="941">
                  <c:v>7.2367999999999997</c:v>
                </c:pt>
                <c:pt idx="942">
                  <c:v>7.1341999999999999</c:v>
                </c:pt>
                <c:pt idx="943">
                  <c:v>2.9096000000000002</c:v>
                </c:pt>
                <c:pt idx="944">
                  <c:v>2.9096000000000002</c:v>
                </c:pt>
                <c:pt idx="945">
                  <c:v>2.9096000000000002</c:v>
                </c:pt>
                <c:pt idx="946">
                  <c:v>2.9096000000000002</c:v>
                </c:pt>
                <c:pt idx="947">
                  <c:v>2.9096000000000002</c:v>
                </c:pt>
                <c:pt idx="948">
                  <c:v>1.5355000000000001</c:v>
                </c:pt>
                <c:pt idx="949">
                  <c:v>2.4994000000000001</c:v>
                </c:pt>
                <c:pt idx="950">
                  <c:v>2.0687000000000002</c:v>
                </c:pt>
                <c:pt idx="951">
                  <c:v>2.4379</c:v>
                </c:pt>
                <c:pt idx="952">
                  <c:v>2.8069999999999999</c:v>
                </c:pt>
                <c:pt idx="953">
                  <c:v>2.8069999999999999</c:v>
                </c:pt>
                <c:pt idx="954">
                  <c:v>2.8069999999999999</c:v>
                </c:pt>
                <c:pt idx="955">
                  <c:v>2.5198999999999998</c:v>
                </c:pt>
                <c:pt idx="956">
                  <c:v>1.8021</c:v>
                </c:pt>
                <c:pt idx="957">
                  <c:v>3.1145999999999998</c:v>
                </c:pt>
                <c:pt idx="958">
                  <c:v>0.61270000000000002</c:v>
                </c:pt>
                <c:pt idx="959">
                  <c:v>-0.65880000000000005</c:v>
                </c:pt>
                <c:pt idx="960">
                  <c:v>-0.65880000000000005</c:v>
                </c:pt>
                <c:pt idx="961">
                  <c:v>-0.65880000000000005</c:v>
                </c:pt>
                <c:pt idx="962">
                  <c:v>-0.65880000000000005</c:v>
                </c:pt>
                <c:pt idx="963">
                  <c:v>-0.98699999999999999</c:v>
                </c:pt>
                <c:pt idx="964">
                  <c:v>-0.57679999999999998</c:v>
                </c:pt>
                <c:pt idx="965">
                  <c:v>-0.39219999999999999</c:v>
                </c:pt>
                <c:pt idx="966">
                  <c:v>0.20250000000000001</c:v>
                </c:pt>
                <c:pt idx="967">
                  <c:v>0.20250000000000001</c:v>
                </c:pt>
                <c:pt idx="968">
                  <c:v>0.20250000000000001</c:v>
                </c:pt>
                <c:pt idx="969">
                  <c:v>-0.7409</c:v>
                </c:pt>
                <c:pt idx="970">
                  <c:v>-0.92549999999999999</c:v>
                </c:pt>
                <c:pt idx="971">
                  <c:v>-1.4381999999999999</c:v>
                </c:pt>
                <c:pt idx="972">
                  <c:v>-0.8024</c:v>
                </c:pt>
                <c:pt idx="973">
                  <c:v>-0.7409</c:v>
                </c:pt>
                <c:pt idx="974">
                  <c:v>-0.7409</c:v>
                </c:pt>
                <c:pt idx="975">
                  <c:v>-0.7409</c:v>
                </c:pt>
                <c:pt idx="976">
                  <c:v>0.75619999999999998</c:v>
                </c:pt>
                <c:pt idx="977">
                  <c:v>0.3871</c:v>
                </c:pt>
                <c:pt idx="978">
                  <c:v>0.83819999999999995</c:v>
                </c:pt>
                <c:pt idx="979">
                  <c:v>0.28449999999999998</c:v>
                </c:pt>
                <c:pt idx="980">
                  <c:v>1.5149999999999999</c:v>
                </c:pt>
                <c:pt idx="981">
                  <c:v>1.5149999999999999</c:v>
                </c:pt>
                <c:pt idx="982">
                  <c:v>1.5149999999999999</c:v>
                </c:pt>
                <c:pt idx="983">
                  <c:v>2.9916</c:v>
                </c:pt>
                <c:pt idx="984">
                  <c:v>2.6840000000000002</c:v>
                </c:pt>
                <c:pt idx="985">
                  <c:v>2.766</c:v>
                </c:pt>
                <c:pt idx="986">
                  <c:v>2.1097000000000001</c:v>
                </c:pt>
                <c:pt idx="987">
                  <c:v>0.34599999999999997</c:v>
                </c:pt>
                <c:pt idx="988">
                  <c:v>0.34599999999999997</c:v>
                </c:pt>
                <c:pt idx="989">
                  <c:v>0.34599999999999997</c:v>
                </c:pt>
                <c:pt idx="990">
                  <c:v>1.0432999999999999</c:v>
                </c:pt>
                <c:pt idx="991">
                  <c:v>0.77669999999999995</c:v>
                </c:pt>
                <c:pt idx="992">
                  <c:v>1.6174999999999999</c:v>
                </c:pt>
                <c:pt idx="993">
                  <c:v>2.2942999999999998</c:v>
                </c:pt>
                <c:pt idx="994">
                  <c:v>2.0891999999999999</c:v>
                </c:pt>
                <c:pt idx="995">
                  <c:v>2.0891999999999999</c:v>
                </c:pt>
                <c:pt idx="996">
                  <c:v>2.0891999999999999</c:v>
                </c:pt>
                <c:pt idx="997">
                  <c:v>1.8842000000000001</c:v>
                </c:pt>
                <c:pt idx="998">
                  <c:v>1.6174999999999999</c:v>
                </c:pt>
                <c:pt idx="999">
                  <c:v>2.0687000000000002</c:v>
                </c:pt>
                <c:pt idx="1000">
                  <c:v>2.3557999999999999</c:v>
                </c:pt>
                <c:pt idx="1001">
                  <c:v>2.3557999999999999</c:v>
                </c:pt>
                <c:pt idx="1002">
                  <c:v>2.3557999999999999</c:v>
                </c:pt>
                <c:pt idx="1003">
                  <c:v>2.3557999999999999</c:v>
                </c:pt>
                <c:pt idx="1004">
                  <c:v>2.6223999999999998</c:v>
                </c:pt>
                <c:pt idx="1005">
                  <c:v>1.2279</c:v>
                </c:pt>
                <c:pt idx="1006">
                  <c:v>0.77669999999999995</c:v>
                </c:pt>
                <c:pt idx="1007">
                  <c:v>-0.52590000000000003</c:v>
                </c:pt>
                <c:pt idx="1008">
                  <c:v>0.38390000000000002</c:v>
                </c:pt>
                <c:pt idx="1009">
                  <c:v>0.38390000000000002</c:v>
                </c:pt>
                <c:pt idx="1010">
                  <c:v>0.38390000000000002</c:v>
                </c:pt>
                <c:pt idx="1011">
                  <c:v>-0.2571</c:v>
                </c:pt>
                <c:pt idx="1012">
                  <c:v>3.4026000000000001</c:v>
                </c:pt>
                <c:pt idx="1013">
                  <c:v>1.7484999999999999</c:v>
                </c:pt>
                <c:pt idx="1014">
                  <c:v>2.4102000000000001</c:v>
                </c:pt>
                <c:pt idx="1015">
                  <c:v>0.25979999999999998</c:v>
                </c:pt>
                <c:pt idx="1016">
                  <c:v>0.25979999999999998</c:v>
                </c:pt>
                <c:pt idx="1017">
                  <c:v>0.25979999999999998</c:v>
                </c:pt>
                <c:pt idx="1018">
                  <c:v>-0.2571</c:v>
                </c:pt>
                <c:pt idx="1019">
                  <c:v>-0.91869999999999996</c:v>
                </c:pt>
                <c:pt idx="1020">
                  <c:v>-1.1875</c:v>
                </c:pt>
                <c:pt idx="1021">
                  <c:v>-0.52590000000000003</c:v>
                </c:pt>
                <c:pt idx="1022">
                  <c:v>-9.1700000000000004E-2</c:v>
                </c:pt>
                <c:pt idx="1023">
                  <c:v>-9.1700000000000004E-2</c:v>
                </c:pt>
                <c:pt idx="1024">
                  <c:v>-9.1700000000000004E-2</c:v>
                </c:pt>
                <c:pt idx="1025">
                  <c:v>-0.46389999999999998</c:v>
                </c:pt>
                <c:pt idx="1026">
                  <c:v>-9.1700000000000004E-2</c:v>
                </c:pt>
                <c:pt idx="1027">
                  <c:v>-2.9700000000000001E-2</c:v>
                </c:pt>
                <c:pt idx="1028">
                  <c:v>-0.54659999999999997</c:v>
                </c:pt>
                <c:pt idx="1029">
                  <c:v>-1.0427999999999999</c:v>
                </c:pt>
                <c:pt idx="1030">
                  <c:v>-1.0427999999999999</c:v>
                </c:pt>
                <c:pt idx="1031">
                  <c:v>-1.0427999999999999</c:v>
                </c:pt>
                <c:pt idx="1032">
                  <c:v>-1.2081999999999999</c:v>
                </c:pt>
                <c:pt idx="1033">
                  <c:v>-2.8622999999999998</c:v>
                </c:pt>
                <c:pt idx="1034">
                  <c:v>-3.1518000000000002</c:v>
                </c:pt>
                <c:pt idx="1035">
                  <c:v>-3.2551999999999999</c:v>
                </c:pt>
                <c:pt idx="1036">
                  <c:v>-2.5729000000000002</c:v>
                </c:pt>
                <c:pt idx="1037">
                  <c:v>-2.5729000000000002</c:v>
                </c:pt>
                <c:pt idx="1038">
                  <c:v>-2.5729000000000002</c:v>
                </c:pt>
                <c:pt idx="1039">
                  <c:v>-2.5935000000000001</c:v>
                </c:pt>
                <c:pt idx="1040">
                  <c:v>-2.242</c:v>
                </c:pt>
                <c:pt idx="1041">
                  <c:v>-0.75329999999999997</c:v>
                </c:pt>
                <c:pt idx="1042">
                  <c:v>-1.1875</c:v>
                </c:pt>
                <c:pt idx="1043">
                  <c:v>-0.62929999999999997</c:v>
                </c:pt>
                <c:pt idx="1044">
                  <c:v>-0.62929999999999997</c:v>
                </c:pt>
                <c:pt idx="1045">
                  <c:v>-0.62929999999999997</c:v>
                </c:pt>
                <c:pt idx="1046">
                  <c:v>0.65269999999999995</c:v>
                </c:pt>
                <c:pt idx="1047">
                  <c:v>1.2109000000000001</c:v>
                </c:pt>
                <c:pt idx="1048">
                  <c:v>2.6996000000000002</c:v>
                </c:pt>
                <c:pt idx="1049">
                  <c:v>-5.0299999999999997E-2</c:v>
                </c:pt>
                <c:pt idx="1050">
                  <c:v>-0.40179999999999999</c:v>
                </c:pt>
                <c:pt idx="1051">
                  <c:v>-0.40179999999999999</c:v>
                </c:pt>
                <c:pt idx="1052">
                  <c:v>-0.40179999999999999</c:v>
                </c:pt>
                <c:pt idx="1053">
                  <c:v>-2.5522</c:v>
                </c:pt>
                <c:pt idx="1054">
                  <c:v>-2.9449999999999998</c:v>
                </c:pt>
                <c:pt idx="1055">
                  <c:v>-1.9319</c:v>
                </c:pt>
                <c:pt idx="1056">
                  <c:v>-3.6480000000000001</c:v>
                </c:pt>
                <c:pt idx="1057">
                  <c:v>-4.0202</c:v>
                </c:pt>
                <c:pt idx="1058">
                  <c:v>-4.0202</c:v>
                </c:pt>
                <c:pt idx="1059">
                  <c:v>-4.0202</c:v>
                </c:pt>
                <c:pt idx="1060">
                  <c:v>-4.0202</c:v>
                </c:pt>
                <c:pt idx="1061">
                  <c:v>-4.3097000000000003</c:v>
                </c:pt>
                <c:pt idx="1062">
                  <c:v>-4.7232000000000003</c:v>
                </c:pt>
                <c:pt idx="1063">
                  <c:v>-4.6405000000000003</c:v>
                </c:pt>
                <c:pt idx="1064">
                  <c:v>-3.8548</c:v>
                </c:pt>
                <c:pt idx="1065">
                  <c:v>-3.8548</c:v>
                </c:pt>
                <c:pt idx="1066">
                  <c:v>-3.8548</c:v>
                </c:pt>
                <c:pt idx="1067">
                  <c:v>-3.5446</c:v>
                </c:pt>
                <c:pt idx="1068">
                  <c:v>-1.9525999999999999</c:v>
                </c:pt>
                <c:pt idx="1069">
                  <c:v>-4.8472999999999997</c:v>
                </c:pt>
                <c:pt idx="1070">
                  <c:v>-4.4131</c:v>
                </c:pt>
                <c:pt idx="1071">
                  <c:v>-5.2194000000000003</c:v>
                </c:pt>
                <c:pt idx="1072">
                  <c:v>-5.2194000000000003</c:v>
                </c:pt>
                <c:pt idx="1073">
                  <c:v>-5.2194000000000003</c:v>
                </c:pt>
                <c:pt idx="1074">
                  <c:v>-5.1988000000000003</c:v>
                </c:pt>
                <c:pt idx="1075">
                  <c:v>-5.3642000000000003</c:v>
                </c:pt>
                <c:pt idx="1076">
                  <c:v>-5.6742999999999997</c:v>
                </c:pt>
                <c:pt idx="1077">
                  <c:v>-5.8811</c:v>
                </c:pt>
                <c:pt idx="1078">
                  <c:v>-5.5503</c:v>
                </c:pt>
                <c:pt idx="1079">
                  <c:v>-5.5503</c:v>
                </c:pt>
                <c:pt idx="1080">
                  <c:v>-5.5503</c:v>
                </c:pt>
                <c:pt idx="1081">
                  <c:v>-5.5296000000000003</c:v>
                </c:pt>
                <c:pt idx="1082">
                  <c:v>-4.9505999999999997</c:v>
                </c:pt>
                <c:pt idx="1083">
                  <c:v>-4.9505999999999997</c:v>
                </c:pt>
                <c:pt idx="1084">
                  <c:v>-3.3999000000000001</c:v>
                </c:pt>
                <c:pt idx="1085">
                  <c:v>-2.2214</c:v>
                </c:pt>
                <c:pt idx="1086">
                  <c:v>-2.2214</c:v>
                </c:pt>
                <c:pt idx="1087">
                  <c:v>-2.2214</c:v>
                </c:pt>
                <c:pt idx="1088">
                  <c:v>-2.242</c:v>
                </c:pt>
                <c:pt idx="1089">
                  <c:v>-2.0352999999999999</c:v>
                </c:pt>
                <c:pt idx="1090">
                  <c:v>-3.1103999999999998</c:v>
                </c:pt>
                <c:pt idx="1091">
                  <c:v>-1.8905000000000001</c:v>
                </c:pt>
                <c:pt idx="1092">
                  <c:v>-1.7665</c:v>
                </c:pt>
                <c:pt idx="1093">
                  <c:v>-1.7665</c:v>
                </c:pt>
                <c:pt idx="1094">
                  <c:v>-1.7665</c:v>
                </c:pt>
                <c:pt idx="1095">
                  <c:v>-1.7458</c:v>
                </c:pt>
                <c:pt idx="1096">
                  <c:v>-2.242</c:v>
                </c:pt>
                <c:pt idx="1097">
                  <c:v>-2.6349</c:v>
                </c:pt>
                <c:pt idx="1098">
                  <c:v>-2.6349</c:v>
                </c:pt>
                <c:pt idx="1099">
                  <c:v>-2.7176</c:v>
                </c:pt>
                <c:pt idx="1100">
                  <c:v>-2.7176</c:v>
                </c:pt>
                <c:pt idx="1101">
                  <c:v>-2.7176</c:v>
                </c:pt>
                <c:pt idx="1102">
                  <c:v>-3.948</c:v>
                </c:pt>
                <c:pt idx="1103">
                  <c:v>-4.4901999999999997</c:v>
                </c:pt>
                <c:pt idx="1104">
                  <c:v>-3.51</c:v>
                </c:pt>
                <c:pt idx="1105">
                  <c:v>-2.4882</c:v>
                </c:pt>
                <c:pt idx="1106">
                  <c:v>-1.1953</c:v>
                </c:pt>
                <c:pt idx="1107">
                  <c:v>-1.1953</c:v>
                </c:pt>
                <c:pt idx="1108">
                  <c:v>-1.1953</c:v>
                </c:pt>
                <c:pt idx="1109">
                  <c:v>-1.1536</c:v>
                </c:pt>
                <c:pt idx="1110">
                  <c:v>-1.1119000000000001</c:v>
                </c:pt>
                <c:pt idx="1111">
                  <c:v>1.1819999999999999</c:v>
                </c:pt>
                <c:pt idx="1112">
                  <c:v>0.18110000000000001</c:v>
                </c:pt>
                <c:pt idx="1113">
                  <c:v>-1.3204</c:v>
                </c:pt>
                <c:pt idx="1114">
                  <c:v>-1.3204</c:v>
                </c:pt>
                <c:pt idx="1115">
                  <c:v>-1.3204</c:v>
                </c:pt>
                <c:pt idx="1116">
                  <c:v>-2.3631000000000002</c:v>
                </c:pt>
                <c:pt idx="1117">
                  <c:v>-3.3222999999999998</c:v>
                </c:pt>
                <c:pt idx="1118">
                  <c:v>-2.3005</c:v>
                </c:pt>
                <c:pt idx="1119">
                  <c:v>-1.4872000000000001</c:v>
                </c:pt>
                <c:pt idx="1120">
                  <c:v>-0.15260000000000001</c:v>
                </c:pt>
                <c:pt idx="1121">
                  <c:v>-0.15260000000000001</c:v>
                </c:pt>
                <c:pt idx="1122">
                  <c:v>-0.15260000000000001</c:v>
                </c:pt>
                <c:pt idx="1123">
                  <c:v>7.6799999999999993E-2</c:v>
                </c:pt>
                <c:pt idx="1124">
                  <c:v>0.3896</c:v>
                </c:pt>
                <c:pt idx="1125">
                  <c:v>1.0361</c:v>
                </c:pt>
                <c:pt idx="1126">
                  <c:v>-1.1744000000000001</c:v>
                </c:pt>
                <c:pt idx="1127">
                  <c:v>-2.6966999999999999</c:v>
                </c:pt>
                <c:pt idx="1128">
                  <c:v>-2.6966999999999999</c:v>
                </c:pt>
                <c:pt idx="1129">
                  <c:v>-2.6966999999999999</c:v>
                </c:pt>
                <c:pt idx="1130">
                  <c:v>-6.7005999999999997</c:v>
                </c:pt>
                <c:pt idx="1131">
                  <c:v>-5.8247999999999998</c:v>
                </c:pt>
                <c:pt idx="1132">
                  <c:v>-5.9081999999999999</c:v>
                </c:pt>
                <c:pt idx="1133">
                  <c:v>-4.4276</c:v>
                </c:pt>
                <c:pt idx="1134">
                  <c:v>-5.1783000000000001</c:v>
                </c:pt>
                <c:pt idx="1135">
                  <c:v>-5.1783000000000001</c:v>
                </c:pt>
                <c:pt idx="1136">
                  <c:v>-5.1783000000000001</c:v>
                </c:pt>
                <c:pt idx="1137">
                  <c:v>-6.4504000000000001</c:v>
                </c:pt>
                <c:pt idx="1138">
                  <c:v>-5.3868999999999998</c:v>
                </c:pt>
                <c:pt idx="1139">
                  <c:v>-5.2408999999999999</c:v>
                </c:pt>
                <c:pt idx="1140">
                  <c:v>1.2029000000000001</c:v>
                </c:pt>
                <c:pt idx="1141">
                  <c:v>3.1423000000000001</c:v>
                </c:pt>
                <c:pt idx="1142">
                  <c:v>3.1423000000000001</c:v>
                </c:pt>
                <c:pt idx="1143">
                  <c:v>3.1423000000000001</c:v>
                </c:pt>
                <c:pt idx="1144">
                  <c:v>4.2267000000000001</c:v>
                </c:pt>
                <c:pt idx="1145">
                  <c:v>4.7689000000000004</c:v>
                </c:pt>
                <c:pt idx="1146">
                  <c:v>5.2068000000000003</c:v>
                </c:pt>
                <c:pt idx="1147">
                  <c:v>4.7271999999999998</c:v>
                </c:pt>
                <c:pt idx="1148">
                  <c:v>5.8116000000000003</c:v>
                </c:pt>
                <c:pt idx="1149">
                  <c:v>5.8116000000000003</c:v>
                </c:pt>
                <c:pt idx="1150">
                  <c:v>5.8116000000000003</c:v>
                </c:pt>
                <c:pt idx="1151">
                  <c:v>5.9157999999999999</c:v>
                </c:pt>
                <c:pt idx="1152">
                  <c:v>5.7489999999999997</c:v>
                </c:pt>
                <c:pt idx="1153">
                  <c:v>3.9556</c:v>
                </c:pt>
                <c:pt idx="1154">
                  <c:v>5.0816999999999997</c:v>
                </c:pt>
                <c:pt idx="1155">
                  <c:v>5.3944999999999999</c:v>
                </c:pt>
                <c:pt idx="1156">
                  <c:v>5.3944999999999999</c:v>
                </c:pt>
                <c:pt idx="1157">
                  <c:v>5.3944999999999999</c:v>
                </c:pt>
                <c:pt idx="1158">
                  <c:v>5.3944999999999999</c:v>
                </c:pt>
                <c:pt idx="1159">
                  <c:v>4.3935000000000004</c:v>
                </c:pt>
                <c:pt idx="1160">
                  <c:v>3.6427999999999998</c:v>
                </c:pt>
                <c:pt idx="1161">
                  <c:v>2.4540999999999999</c:v>
                </c:pt>
                <c:pt idx="1162">
                  <c:v>1.1403000000000001</c:v>
                </c:pt>
                <c:pt idx="1163">
                  <c:v>1.1403000000000001</c:v>
                </c:pt>
                <c:pt idx="1164">
                  <c:v>1.1403000000000001</c:v>
                </c:pt>
                <c:pt idx="1165">
                  <c:v>1.5573999999999999</c:v>
                </c:pt>
                <c:pt idx="1166">
                  <c:v>1.7451000000000001</c:v>
                </c:pt>
                <c:pt idx="1167">
                  <c:v>2.4123999999999999</c:v>
                </c:pt>
                <c:pt idx="1168">
                  <c:v>3.4550999999999998</c:v>
                </c:pt>
                <c:pt idx="1169">
                  <c:v>3.8513000000000002</c:v>
                </c:pt>
                <c:pt idx="1170">
                  <c:v>3.8513000000000002</c:v>
                </c:pt>
                <c:pt idx="1171">
                  <c:v>3.8513000000000002</c:v>
                </c:pt>
                <c:pt idx="1172">
                  <c:v>6.4162999999999997</c:v>
                </c:pt>
                <c:pt idx="1173">
                  <c:v>5.5404999999999998</c:v>
                </c:pt>
                <c:pt idx="1174">
                  <c:v>5.4569999999999999</c:v>
                </c:pt>
                <c:pt idx="1175">
                  <c:v>7.2713000000000001</c:v>
                </c:pt>
                <c:pt idx="1176">
                  <c:v>8.3765999999999998</c:v>
                </c:pt>
                <c:pt idx="1177">
                  <c:v>8.3765999999999998</c:v>
                </c:pt>
                <c:pt idx="1178">
                  <c:v>8.3765999999999998</c:v>
                </c:pt>
                <c:pt idx="1179">
                  <c:v>8.8353000000000002</c:v>
                </c:pt>
                <c:pt idx="1180">
                  <c:v>9.5235000000000003</c:v>
                </c:pt>
                <c:pt idx="1181">
                  <c:v>9.7946000000000009</c:v>
                </c:pt>
                <c:pt idx="1182">
                  <c:v>10.2117</c:v>
                </c:pt>
                <c:pt idx="1183">
                  <c:v>10.5662</c:v>
                </c:pt>
                <c:pt idx="1184">
                  <c:v>10.5662</c:v>
                </c:pt>
                <c:pt idx="1185">
                  <c:v>10.5662</c:v>
                </c:pt>
                <c:pt idx="1186">
                  <c:v>10.9833</c:v>
                </c:pt>
                <c:pt idx="1187">
                  <c:v>9.9823000000000004</c:v>
                </c:pt>
                <c:pt idx="1188">
                  <c:v>10.5662</c:v>
                </c:pt>
                <c:pt idx="1189">
                  <c:v>10.167</c:v>
                </c:pt>
                <c:pt idx="1190">
                  <c:v>10.839399999999999</c:v>
                </c:pt>
                <c:pt idx="1191">
                  <c:v>10.839399999999999</c:v>
                </c:pt>
                <c:pt idx="1192">
                  <c:v>10.839399999999999</c:v>
                </c:pt>
                <c:pt idx="1193">
                  <c:v>10.335100000000001</c:v>
                </c:pt>
                <c:pt idx="1194">
                  <c:v>10.7973</c:v>
                </c:pt>
                <c:pt idx="1195">
                  <c:v>12.5413</c:v>
                </c:pt>
                <c:pt idx="1196">
                  <c:v>12.4993</c:v>
                </c:pt>
                <c:pt idx="1197">
                  <c:v>13.991199999999999</c:v>
                </c:pt>
                <c:pt idx="1198">
                  <c:v>13.991199999999999</c:v>
                </c:pt>
                <c:pt idx="1199">
                  <c:v>13.991199999999999</c:v>
                </c:pt>
                <c:pt idx="1200">
                  <c:v>14.033200000000001</c:v>
                </c:pt>
                <c:pt idx="1201">
                  <c:v>13.634</c:v>
                </c:pt>
                <c:pt idx="1202">
                  <c:v>18.466799999999999</c:v>
                </c:pt>
                <c:pt idx="1203">
                  <c:v>18.508800000000001</c:v>
                </c:pt>
                <c:pt idx="1204">
                  <c:v>19.2653</c:v>
                </c:pt>
                <c:pt idx="1205">
                  <c:v>19.2653</c:v>
                </c:pt>
                <c:pt idx="1206">
                  <c:v>19.2653</c:v>
                </c:pt>
                <c:pt idx="1207">
                  <c:v>18.908000000000001</c:v>
                </c:pt>
                <c:pt idx="1208">
                  <c:v>18.929099999999998</c:v>
                </c:pt>
                <c:pt idx="1209">
                  <c:v>18.256699999999999</c:v>
                </c:pt>
                <c:pt idx="1210">
                  <c:v>17.584299999999999</c:v>
                </c:pt>
                <c:pt idx="1211">
                  <c:v>17.122</c:v>
                </c:pt>
                <c:pt idx="1212">
                  <c:v>17.122</c:v>
                </c:pt>
                <c:pt idx="1213">
                  <c:v>17.122</c:v>
                </c:pt>
                <c:pt idx="1214">
                  <c:v>16.1554</c:v>
                </c:pt>
                <c:pt idx="1215">
                  <c:v>16.995899999999999</c:v>
                </c:pt>
                <c:pt idx="1216">
                  <c:v>16.806799999999999</c:v>
                </c:pt>
                <c:pt idx="1217">
                  <c:v>15.0838</c:v>
                </c:pt>
                <c:pt idx="1218">
                  <c:v>16.617699999999999</c:v>
                </c:pt>
                <c:pt idx="1219">
                  <c:v>16.617699999999999</c:v>
                </c:pt>
                <c:pt idx="1220">
                  <c:v>16.617699999999999</c:v>
                </c:pt>
                <c:pt idx="1221">
                  <c:v>17.3111</c:v>
                </c:pt>
                <c:pt idx="1222">
                  <c:v>18.0045</c:v>
                </c:pt>
                <c:pt idx="1223">
                  <c:v>21.5976</c:v>
                </c:pt>
                <c:pt idx="1224">
                  <c:v>22.038900000000002</c:v>
                </c:pt>
                <c:pt idx="1225">
                  <c:v>21.9968</c:v>
                </c:pt>
                <c:pt idx="1226">
                  <c:v>21.9968</c:v>
                </c:pt>
                <c:pt idx="1227">
                  <c:v>21.9968</c:v>
                </c:pt>
                <c:pt idx="1228">
                  <c:v>23.194500000000001</c:v>
                </c:pt>
                <c:pt idx="1229">
                  <c:v>23.3626</c:v>
                </c:pt>
                <c:pt idx="1230">
                  <c:v>24.350200000000001</c:v>
                </c:pt>
                <c:pt idx="1231">
                  <c:v>21.7027</c:v>
                </c:pt>
                <c:pt idx="1232">
                  <c:v>20.7361</c:v>
                </c:pt>
                <c:pt idx="1233">
                  <c:v>20.7361</c:v>
                </c:pt>
                <c:pt idx="1234">
                  <c:v>20.7361</c:v>
                </c:pt>
                <c:pt idx="1235">
                  <c:v>20.4209</c:v>
                </c:pt>
                <c:pt idx="1236">
                  <c:v>19.790600000000001</c:v>
                </c:pt>
                <c:pt idx="1237">
                  <c:v>20.8202</c:v>
                </c:pt>
                <c:pt idx="1238">
                  <c:v>20.946200000000001</c:v>
                </c:pt>
                <c:pt idx="1239">
                  <c:v>23.026399999999999</c:v>
                </c:pt>
                <c:pt idx="1240">
                  <c:v>23.026399999999999</c:v>
                </c:pt>
                <c:pt idx="1241">
                  <c:v>23.026399999999999</c:v>
                </c:pt>
                <c:pt idx="1242">
                  <c:v>23.425699999999999</c:v>
                </c:pt>
                <c:pt idx="1243">
                  <c:v>25.2117</c:v>
                </c:pt>
                <c:pt idx="1244">
                  <c:v>24.581299999999999</c:v>
                </c:pt>
                <c:pt idx="1245">
                  <c:v>24.581299999999999</c:v>
                </c:pt>
                <c:pt idx="1246">
                  <c:v>24.4132</c:v>
                </c:pt>
                <c:pt idx="1247">
                  <c:v>24.4132</c:v>
                </c:pt>
                <c:pt idx="1248">
                  <c:v>24.4132</c:v>
                </c:pt>
                <c:pt idx="1249">
                  <c:v>24.875499999999999</c:v>
                </c:pt>
                <c:pt idx="1250">
                  <c:v>24.980599999999999</c:v>
                </c:pt>
                <c:pt idx="1251">
                  <c:v>25.274699999999999</c:v>
                </c:pt>
                <c:pt idx="1252">
                  <c:v>26.115200000000002</c:v>
                </c:pt>
                <c:pt idx="1253">
                  <c:v>25.842099999999999</c:v>
                </c:pt>
                <c:pt idx="1254">
                  <c:v>25.842099999999999</c:v>
                </c:pt>
                <c:pt idx="1255">
                  <c:v>25.842099999999999</c:v>
                </c:pt>
                <c:pt idx="1256">
                  <c:v>23.866900000000001</c:v>
                </c:pt>
                <c:pt idx="1257">
                  <c:v>23.383600000000001</c:v>
                </c:pt>
                <c:pt idx="1258">
                  <c:v>23.110499999999998</c:v>
                </c:pt>
                <c:pt idx="1259">
                  <c:v>23.6568</c:v>
                </c:pt>
                <c:pt idx="1260">
                  <c:v>23.173500000000001</c:v>
                </c:pt>
                <c:pt idx="1261">
                  <c:v>23.173500000000001</c:v>
                </c:pt>
                <c:pt idx="1262">
                  <c:v>23.173500000000001</c:v>
                </c:pt>
                <c:pt idx="1263">
                  <c:v>22.606200000000001</c:v>
                </c:pt>
                <c:pt idx="1264">
                  <c:v>22.9634</c:v>
                </c:pt>
                <c:pt idx="1265">
                  <c:v>20.883199999999999</c:v>
                </c:pt>
                <c:pt idx="1266">
                  <c:v>21.093299999999999</c:v>
                </c:pt>
                <c:pt idx="1267">
                  <c:v>22.9634</c:v>
                </c:pt>
                <c:pt idx="1268">
                  <c:v>22.9634</c:v>
                </c:pt>
                <c:pt idx="1269">
                  <c:v>22.9634</c:v>
                </c:pt>
                <c:pt idx="1270">
                  <c:v>23.93</c:v>
                </c:pt>
                <c:pt idx="1271">
                  <c:v>25.757999999999999</c:v>
                </c:pt>
                <c:pt idx="1272">
                  <c:v>25.757999999999999</c:v>
                </c:pt>
                <c:pt idx="1273">
                  <c:v>26.031199999999998</c:v>
                </c:pt>
                <c:pt idx="1274">
                  <c:v>25.253699999999998</c:v>
                </c:pt>
                <c:pt idx="1275">
                  <c:v>25.253699999999998</c:v>
                </c:pt>
                <c:pt idx="1276">
                  <c:v>25.253699999999998</c:v>
                </c:pt>
                <c:pt idx="1277">
                  <c:v>24.371200000000002</c:v>
                </c:pt>
                <c:pt idx="1278">
                  <c:v>24.392199999999999</c:v>
                </c:pt>
                <c:pt idx="1279">
                  <c:v>24.392199999999999</c:v>
                </c:pt>
                <c:pt idx="1280">
                  <c:v>24.182099999999998</c:v>
                </c:pt>
                <c:pt idx="1281">
                  <c:v>24.5183</c:v>
                </c:pt>
                <c:pt idx="1282">
                  <c:v>24.5183</c:v>
                </c:pt>
                <c:pt idx="1283">
                  <c:v>24.5183</c:v>
                </c:pt>
                <c:pt idx="1284">
                  <c:v>24.3279</c:v>
                </c:pt>
                <c:pt idx="1285">
                  <c:v>24.666399999999999</c:v>
                </c:pt>
                <c:pt idx="1286">
                  <c:v>25.2376</c:v>
                </c:pt>
                <c:pt idx="1287">
                  <c:v>25.2376</c:v>
                </c:pt>
                <c:pt idx="1288">
                  <c:v>24.264399999999998</c:v>
                </c:pt>
                <c:pt idx="1289">
                  <c:v>24.264399999999998</c:v>
                </c:pt>
                <c:pt idx="1290">
                  <c:v>24.264399999999998</c:v>
                </c:pt>
                <c:pt idx="1291">
                  <c:v>24.306799999999999</c:v>
                </c:pt>
                <c:pt idx="1292">
                  <c:v>25.512599999999999</c:v>
                </c:pt>
                <c:pt idx="1293">
                  <c:v>26.887699999999999</c:v>
                </c:pt>
                <c:pt idx="1294">
                  <c:v>26.549199999999999</c:v>
                </c:pt>
                <c:pt idx="1295">
                  <c:v>27.416499999999999</c:v>
                </c:pt>
                <c:pt idx="1296">
                  <c:v>27.416499999999999</c:v>
                </c:pt>
                <c:pt idx="1297">
                  <c:v>27.416499999999999</c:v>
                </c:pt>
                <c:pt idx="1298">
                  <c:v>27.416499999999999</c:v>
                </c:pt>
                <c:pt idx="1299">
                  <c:v>29.108899999999998</c:v>
                </c:pt>
                <c:pt idx="1300">
                  <c:v>30.3782</c:v>
                </c:pt>
                <c:pt idx="1301">
                  <c:v>31.647500000000001</c:v>
                </c:pt>
                <c:pt idx="1302">
                  <c:v>31.647500000000001</c:v>
                </c:pt>
                <c:pt idx="1303">
                  <c:v>31.647500000000001</c:v>
                </c:pt>
                <c:pt idx="1304">
                  <c:v>31.647500000000001</c:v>
                </c:pt>
                <c:pt idx="1305">
                  <c:v>24.983699999999999</c:v>
                </c:pt>
                <c:pt idx="1306">
                  <c:v>25.7241</c:v>
                </c:pt>
                <c:pt idx="1307">
                  <c:v>25.978000000000002</c:v>
                </c:pt>
                <c:pt idx="1308">
                  <c:v>27.924299999999999</c:v>
                </c:pt>
                <c:pt idx="1309">
                  <c:v>28.199300000000001</c:v>
                </c:pt>
                <c:pt idx="1310">
                  <c:v>28.199300000000001</c:v>
                </c:pt>
                <c:pt idx="1311">
                  <c:v>28.199300000000001</c:v>
                </c:pt>
                <c:pt idx="1312">
                  <c:v>29.130099999999999</c:v>
                </c:pt>
                <c:pt idx="1313">
                  <c:v>29.764700000000001</c:v>
                </c:pt>
                <c:pt idx="1314">
                  <c:v>32.366799999999998</c:v>
                </c:pt>
                <c:pt idx="1315">
                  <c:v>31.732199999999999</c:v>
                </c:pt>
                <c:pt idx="1316">
                  <c:v>31.732199999999999</c:v>
                </c:pt>
                <c:pt idx="1317">
                  <c:v>31.732199999999999</c:v>
                </c:pt>
                <c:pt idx="1318">
                  <c:v>31.732199999999999</c:v>
                </c:pt>
                <c:pt idx="1319">
                  <c:v>32.874499999999998</c:v>
                </c:pt>
                <c:pt idx="1320">
                  <c:v>32.070599999999999</c:v>
                </c:pt>
                <c:pt idx="1321">
                  <c:v>32.282200000000003</c:v>
                </c:pt>
                <c:pt idx="1322">
                  <c:v>35.0535</c:v>
                </c:pt>
                <c:pt idx="1323">
                  <c:v>37.232500000000002</c:v>
                </c:pt>
                <c:pt idx="1324">
                  <c:v>37.232500000000002</c:v>
                </c:pt>
                <c:pt idx="1325">
                  <c:v>37.232500000000002</c:v>
                </c:pt>
                <c:pt idx="1326">
                  <c:v>37.232500000000002</c:v>
                </c:pt>
                <c:pt idx="1327">
                  <c:v>36.640099999999997</c:v>
                </c:pt>
                <c:pt idx="1328">
                  <c:v>37.168999999999997</c:v>
                </c:pt>
                <c:pt idx="1329">
                  <c:v>36.809399999999997</c:v>
                </c:pt>
                <c:pt idx="1330">
                  <c:v>35.349699999999999</c:v>
                </c:pt>
                <c:pt idx="1331">
                  <c:v>35.349699999999999</c:v>
                </c:pt>
                <c:pt idx="1332">
                  <c:v>35.349699999999999</c:v>
                </c:pt>
                <c:pt idx="1333">
                  <c:v>33.784199999999998</c:v>
                </c:pt>
                <c:pt idx="1334">
                  <c:v>35.963200000000001</c:v>
                </c:pt>
                <c:pt idx="1335">
                  <c:v>35.561199999999999</c:v>
                </c:pt>
                <c:pt idx="1336">
                  <c:v>34.99</c:v>
                </c:pt>
                <c:pt idx="1337">
                  <c:v>35.624699999999997</c:v>
                </c:pt>
                <c:pt idx="1338">
                  <c:v>35.624699999999997</c:v>
                </c:pt>
                <c:pt idx="1339">
                  <c:v>35.624699999999997</c:v>
                </c:pt>
                <c:pt idx="1340">
                  <c:v>34.291899999999998</c:v>
                </c:pt>
                <c:pt idx="1341">
                  <c:v>33.826500000000003</c:v>
                </c:pt>
                <c:pt idx="1342">
                  <c:v>35.307299999999998</c:v>
                </c:pt>
                <c:pt idx="1343">
                  <c:v>34.143799999999999</c:v>
                </c:pt>
                <c:pt idx="1344">
                  <c:v>35.265000000000001</c:v>
                </c:pt>
                <c:pt idx="1345">
                  <c:v>35.265000000000001</c:v>
                </c:pt>
                <c:pt idx="1346">
                  <c:v>35.265000000000001</c:v>
                </c:pt>
                <c:pt idx="1347">
                  <c:v>31.2879</c:v>
                </c:pt>
                <c:pt idx="1348">
                  <c:v>28.3474</c:v>
                </c:pt>
                <c:pt idx="1349">
                  <c:v>27.903099999999998</c:v>
                </c:pt>
                <c:pt idx="1350">
                  <c:v>26.2319</c:v>
                </c:pt>
                <c:pt idx="1351">
                  <c:v>27.9877</c:v>
                </c:pt>
                <c:pt idx="1352">
                  <c:v>27.9877</c:v>
                </c:pt>
                <c:pt idx="1353">
                  <c:v>27.9877</c:v>
                </c:pt>
                <c:pt idx="1354">
                  <c:v>28.812799999999999</c:v>
                </c:pt>
                <c:pt idx="1355">
                  <c:v>27.564599999999999</c:v>
                </c:pt>
                <c:pt idx="1356">
                  <c:v>29.299299999999999</c:v>
                </c:pt>
                <c:pt idx="1357">
                  <c:v>28.241599999999998</c:v>
                </c:pt>
                <c:pt idx="1358">
                  <c:v>27.564599999999999</c:v>
                </c:pt>
                <c:pt idx="1359">
                  <c:v>27.564599999999999</c:v>
                </c:pt>
                <c:pt idx="1360">
                  <c:v>27.564599999999999</c:v>
                </c:pt>
                <c:pt idx="1361">
                  <c:v>28.981999999999999</c:v>
                </c:pt>
                <c:pt idx="1362">
                  <c:v>29.0243</c:v>
                </c:pt>
                <c:pt idx="1363">
                  <c:v>30.7379</c:v>
                </c:pt>
                <c:pt idx="1364">
                  <c:v>29.8917</c:v>
                </c:pt>
                <c:pt idx="1365">
                  <c:v>28.749300000000002</c:v>
                </c:pt>
                <c:pt idx="1366">
                  <c:v>28.749300000000002</c:v>
                </c:pt>
                <c:pt idx="1367">
                  <c:v>28.749300000000002</c:v>
                </c:pt>
                <c:pt idx="1368">
                  <c:v>30.547499999999999</c:v>
                </c:pt>
                <c:pt idx="1369">
                  <c:v>30.7379</c:v>
                </c:pt>
                <c:pt idx="1370">
                  <c:v>30.780200000000001</c:v>
                </c:pt>
                <c:pt idx="1371">
                  <c:v>22.1066</c:v>
                </c:pt>
                <c:pt idx="1372">
                  <c:v>16.204799999999999</c:v>
                </c:pt>
                <c:pt idx="1373">
                  <c:v>16.204799999999999</c:v>
                </c:pt>
                <c:pt idx="1374">
                  <c:v>16.204799999999999</c:v>
                </c:pt>
                <c:pt idx="1375">
                  <c:v>15.9278</c:v>
                </c:pt>
                <c:pt idx="1376">
                  <c:v>13.3284</c:v>
                </c:pt>
                <c:pt idx="1377">
                  <c:v>23.8538</c:v>
                </c:pt>
                <c:pt idx="1378">
                  <c:v>20.572600000000001</c:v>
                </c:pt>
                <c:pt idx="1379">
                  <c:v>22.1492</c:v>
                </c:pt>
                <c:pt idx="1380">
                  <c:v>22.1492</c:v>
                </c:pt>
                <c:pt idx="1381">
                  <c:v>22.1492</c:v>
                </c:pt>
                <c:pt idx="1382">
                  <c:v>22.319700000000001</c:v>
                </c:pt>
                <c:pt idx="1383">
                  <c:v>21.872299999999999</c:v>
                </c:pt>
                <c:pt idx="1384">
                  <c:v>18.804099999999998</c:v>
                </c:pt>
                <c:pt idx="1385">
                  <c:v>18.804099999999998</c:v>
                </c:pt>
                <c:pt idx="1386">
                  <c:v>18.804099999999998</c:v>
                </c:pt>
                <c:pt idx="1387">
                  <c:v>18.804099999999998</c:v>
                </c:pt>
                <c:pt idx="1388">
                  <c:v>18.804099999999998</c:v>
                </c:pt>
                <c:pt idx="1389">
                  <c:v>15.842599999999999</c:v>
                </c:pt>
                <c:pt idx="1390">
                  <c:v>17.270099999999999</c:v>
                </c:pt>
                <c:pt idx="1391">
                  <c:v>18.527200000000001</c:v>
                </c:pt>
                <c:pt idx="1392">
                  <c:v>19.933399999999999</c:v>
                </c:pt>
                <c:pt idx="1393">
                  <c:v>20.828299999999999</c:v>
                </c:pt>
                <c:pt idx="1394">
                  <c:v>20.828299999999999</c:v>
                </c:pt>
                <c:pt idx="1395">
                  <c:v>20.828299999999999</c:v>
                </c:pt>
                <c:pt idx="1396">
                  <c:v>21.1052</c:v>
                </c:pt>
                <c:pt idx="1397">
                  <c:v>22.1706</c:v>
                </c:pt>
                <c:pt idx="1398">
                  <c:v>23.0015</c:v>
                </c:pt>
                <c:pt idx="1399">
                  <c:v>23.8324</c:v>
                </c:pt>
                <c:pt idx="1400">
                  <c:v>26.410499999999999</c:v>
                </c:pt>
                <c:pt idx="1401">
                  <c:v>26.410499999999999</c:v>
                </c:pt>
                <c:pt idx="1402">
                  <c:v>26.410499999999999</c:v>
                </c:pt>
                <c:pt idx="1403">
                  <c:v>26.389199999999999</c:v>
                </c:pt>
                <c:pt idx="1404">
                  <c:v>26.176100000000002</c:v>
                </c:pt>
                <c:pt idx="1405">
                  <c:v>26.921900000000001</c:v>
                </c:pt>
                <c:pt idx="1406">
                  <c:v>27.220199999999998</c:v>
                </c:pt>
                <c:pt idx="1407">
                  <c:v>27.347999999999999</c:v>
                </c:pt>
                <c:pt idx="1408">
                  <c:v>27.347999999999999</c:v>
                </c:pt>
                <c:pt idx="1409">
                  <c:v>27.347999999999999</c:v>
                </c:pt>
                <c:pt idx="1410">
                  <c:v>31.3962</c:v>
                </c:pt>
                <c:pt idx="1411">
                  <c:v>31.630600000000001</c:v>
                </c:pt>
                <c:pt idx="1412">
                  <c:v>30.586600000000001</c:v>
                </c:pt>
                <c:pt idx="1413">
                  <c:v>36.914499999999997</c:v>
                </c:pt>
                <c:pt idx="1414">
                  <c:v>35.550899999999999</c:v>
                </c:pt>
                <c:pt idx="1415">
                  <c:v>35.550899999999999</c:v>
                </c:pt>
                <c:pt idx="1416">
                  <c:v>35.550899999999999</c:v>
                </c:pt>
                <c:pt idx="1417">
                  <c:v>36.190100000000001</c:v>
                </c:pt>
                <c:pt idx="1418">
                  <c:v>35.1248</c:v>
                </c:pt>
                <c:pt idx="1419">
                  <c:v>34.656100000000002</c:v>
                </c:pt>
                <c:pt idx="1420">
                  <c:v>34.997</c:v>
                </c:pt>
                <c:pt idx="1421">
                  <c:v>34.464300000000001</c:v>
                </c:pt>
                <c:pt idx="1422">
                  <c:v>34.464300000000001</c:v>
                </c:pt>
                <c:pt idx="1423">
                  <c:v>34.464300000000001</c:v>
                </c:pt>
                <c:pt idx="1424">
                  <c:v>34.464300000000001</c:v>
                </c:pt>
                <c:pt idx="1425">
                  <c:v>35.8279</c:v>
                </c:pt>
                <c:pt idx="1426">
                  <c:v>34.9544</c:v>
                </c:pt>
                <c:pt idx="1427">
                  <c:v>34.336500000000001</c:v>
                </c:pt>
                <c:pt idx="1428">
                  <c:v>34.315199999999997</c:v>
                </c:pt>
                <c:pt idx="1429">
                  <c:v>34.315199999999997</c:v>
                </c:pt>
                <c:pt idx="1430">
                  <c:v>34.315199999999997</c:v>
                </c:pt>
                <c:pt idx="1431">
                  <c:v>36.040999999999997</c:v>
                </c:pt>
                <c:pt idx="1432">
                  <c:v>37.127600000000001</c:v>
                </c:pt>
                <c:pt idx="1433">
                  <c:v>37.191499999999998</c:v>
                </c:pt>
                <c:pt idx="1434">
                  <c:v>37.681600000000003</c:v>
                </c:pt>
                <c:pt idx="1435">
                  <c:v>40.749699999999997</c:v>
                </c:pt>
                <c:pt idx="1436">
                  <c:v>40.749699999999997</c:v>
                </c:pt>
                <c:pt idx="1437">
                  <c:v>40.749699999999997</c:v>
                </c:pt>
                <c:pt idx="1438">
                  <c:v>40.408799999999999</c:v>
                </c:pt>
                <c:pt idx="1439">
                  <c:v>38.8108</c:v>
                </c:pt>
                <c:pt idx="1440">
                  <c:v>36.7654</c:v>
                </c:pt>
                <c:pt idx="1441">
                  <c:v>38.704300000000003</c:v>
                </c:pt>
                <c:pt idx="1442">
                  <c:v>36.552300000000002</c:v>
                </c:pt>
                <c:pt idx="1443">
                  <c:v>36.552300000000002</c:v>
                </c:pt>
                <c:pt idx="1444">
                  <c:v>36.552300000000002</c:v>
                </c:pt>
                <c:pt idx="1445">
                  <c:v>39.577800000000003</c:v>
                </c:pt>
                <c:pt idx="1446">
                  <c:v>39.194299999999998</c:v>
                </c:pt>
                <c:pt idx="1447">
                  <c:v>40.280900000000003</c:v>
                </c:pt>
                <c:pt idx="1448">
                  <c:v>40.280900000000003</c:v>
                </c:pt>
                <c:pt idx="1449">
                  <c:v>41.303600000000003</c:v>
                </c:pt>
                <c:pt idx="1450">
                  <c:v>41.303600000000003</c:v>
                </c:pt>
                <c:pt idx="1451">
                  <c:v>41.303600000000003</c:v>
                </c:pt>
                <c:pt idx="1452">
                  <c:v>43.562100000000001</c:v>
                </c:pt>
                <c:pt idx="1453">
                  <c:v>44.648699999999998</c:v>
                </c:pt>
                <c:pt idx="1454">
                  <c:v>45.2879</c:v>
                </c:pt>
                <c:pt idx="1455">
                  <c:v>46.907200000000003</c:v>
                </c:pt>
                <c:pt idx="1456">
                  <c:v>46.268000000000001</c:v>
                </c:pt>
                <c:pt idx="1457">
                  <c:v>46.268000000000001</c:v>
                </c:pt>
                <c:pt idx="1458">
                  <c:v>46.268000000000001</c:v>
                </c:pt>
                <c:pt idx="1459">
                  <c:v>47.823399999999999</c:v>
                </c:pt>
                <c:pt idx="1460">
                  <c:v>47.226799999999997</c:v>
                </c:pt>
                <c:pt idx="1461">
                  <c:v>46.1402</c:v>
                </c:pt>
                <c:pt idx="1462">
                  <c:v>48.675600000000003</c:v>
                </c:pt>
                <c:pt idx="1463">
                  <c:v>48.675600000000003</c:v>
                </c:pt>
                <c:pt idx="1464">
                  <c:v>48.675600000000003</c:v>
                </c:pt>
                <c:pt idx="1465">
                  <c:v>48.675600000000003</c:v>
                </c:pt>
                <c:pt idx="1466">
                  <c:v>47.732599999999998</c:v>
                </c:pt>
                <c:pt idx="1467">
                  <c:v>47.003900000000002</c:v>
                </c:pt>
                <c:pt idx="1468">
                  <c:v>48.461300000000001</c:v>
                </c:pt>
                <c:pt idx="1469">
                  <c:v>47.368299999999998</c:v>
                </c:pt>
                <c:pt idx="1470">
                  <c:v>45.632300000000001</c:v>
                </c:pt>
                <c:pt idx="1471">
                  <c:v>45.632300000000001</c:v>
                </c:pt>
                <c:pt idx="1472">
                  <c:v>45.632300000000001</c:v>
                </c:pt>
                <c:pt idx="1473">
                  <c:v>45.3536</c:v>
                </c:pt>
                <c:pt idx="1474">
                  <c:v>43.981999999999999</c:v>
                </c:pt>
                <c:pt idx="1475">
                  <c:v>44.389200000000002</c:v>
                </c:pt>
                <c:pt idx="1476">
                  <c:v>46.382399999999997</c:v>
                </c:pt>
                <c:pt idx="1477">
                  <c:v>45.846600000000002</c:v>
                </c:pt>
                <c:pt idx="1478">
                  <c:v>45.846600000000002</c:v>
                </c:pt>
                <c:pt idx="1479">
                  <c:v>45.846600000000002</c:v>
                </c:pt>
                <c:pt idx="1480">
                  <c:v>46.4681</c:v>
                </c:pt>
                <c:pt idx="1481">
                  <c:v>46.082299999999996</c:v>
                </c:pt>
                <c:pt idx="1482">
                  <c:v>47.068199999999997</c:v>
                </c:pt>
                <c:pt idx="1483">
                  <c:v>46.360999999999997</c:v>
                </c:pt>
                <c:pt idx="1484">
                  <c:v>47.218200000000003</c:v>
                </c:pt>
                <c:pt idx="1485">
                  <c:v>47.218200000000003</c:v>
                </c:pt>
                <c:pt idx="1486">
                  <c:v>47.218200000000003</c:v>
                </c:pt>
                <c:pt idx="1487">
                  <c:v>45.567999999999998</c:v>
                </c:pt>
                <c:pt idx="1488">
                  <c:v>45.653700000000001</c:v>
                </c:pt>
                <c:pt idx="1489">
                  <c:v>46.328800000000001</c:v>
                </c:pt>
                <c:pt idx="1490">
                  <c:v>45.910899999999998</c:v>
                </c:pt>
                <c:pt idx="1491">
                  <c:v>43.831899999999997</c:v>
                </c:pt>
                <c:pt idx="1492">
                  <c:v>43.831899999999997</c:v>
                </c:pt>
                <c:pt idx="1493">
                  <c:v>43.831899999999997</c:v>
                </c:pt>
                <c:pt idx="1494">
                  <c:v>46.7896</c:v>
                </c:pt>
                <c:pt idx="1495">
                  <c:v>44.710700000000003</c:v>
                </c:pt>
                <c:pt idx="1496">
                  <c:v>48.332700000000003</c:v>
                </c:pt>
                <c:pt idx="1497">
                  <c:v>49.811500000000002</c:v>
                </c:pt>
                <c:pt idx="1498">
                  <c:v>53.862200000000001</c:v>
                </c:pt>
                <c:pt idx="1499">
                  <c:v>53.862200000000001</c:v>
                </c:pt>
                <c:pt idx="1500">
                  <c:v>53.862200000000001</c:v>
                </c:pt>
                <c:pt idx="1501">
                  <c:v>51.461799999999997</c:v>
                </c:pt>
                <c:pt idx="1502">
                  <c:v>52.983499999999999</c:v>
                </c:pt>
                <c:pt idx="1503">
                  <c:v>50.883200000000002</c:v>
                </c:pt>
                <c:pt idx="1504">
                  <c:v>48.525599999999997</c:v>
                </c:pt>
                <c:pt idx="1505">
                  <c:v>41.881599999999999</c:v>
                </c:pt>
                <c:pt idx="1506">
                  <c:v>41.881599999999999</c:v>
                </c:pt>
                <c:pt idx="1507">
                  <c:v>41.881599999999999</c:v>
                </c:pt>
                <c:pt idx="1508">
                  <c:v>43.488999999999997</c:v>
                </c:pt>
                <c:pt idx="1509">
                  <c:v>43.081800000000001</c:v>
                </c:pt>
                <c:pt idx="1510">
                  <c:v>43.831899999999997</c:v>
                </c:pt>
                <c:pt idx="1511">
                  <c:v>43.639099999999999</c:v>
                </c:pt>
                <c:pt idx="1512">
                  <c:v>44.281999999999996</c:v>
                </c:pt>
                <c:pt idx="1513">
                  <c:v>44.281999999999996</c:v>
                </c:pt>
                <c:pt idx="1514">
                  <c:v>44.281999999999996</c:v>
                </c:pt>
                <c:pt idx="1515">
                  <c:v>43.8962</c:v>
                </c:pt>
                <c:pt idx="1516">
                  <c:v>46.575299999999999</c:v>
                </c:pt>
                <c:pt idx="1517">
                  <c:v>46.682400000000001</c:v>
                </c:pt>
                <c:pt idx="1518">
                  <c:v>48.804200000000002</c:v>
                </c:pt>
                <c:pt idx="1519">
                  <c:v>48.075499999999998</c:v>
                </c:pt>
                <c:pt idx="1520">
                  <c:v>48.075499999999998</c:v>
                </c:pt>
                <c:pt idx="1521">
                  <c:v>48.075499999999998</c:v>
                </c:pt>
                <c:pt idx="1522">
                  <c:v>48.075499999999998</c:v>
                </c:pt>
                <c:pt idx="1523">
                  <c:v>45.3108</c:v>
                </c:pt>
                <c:pt idx="1524">
                  <c:v>45.032200000000003</c:v>
                </c:pt>
                <c:pt idx="1525">
                  <c:v>45.718000000000004</c:v>
                </c:pt>
                <c:pt idx="1526">
                  <c:v>43.381900000000002</c:v>
                </c:pt>
                <c:pt idx="1527">
                  <c:v>43.381900000000002</c:v>
                </c:pt>
                <c:pt idx="1528">
                  <c:v>43.381900000000002</c:v>
                </c:pt>
                <c:pt idx="1529">
                  <c:v>43.338999999999999</c:v>
                </c:pt>
                <c:pt idx="1530">
                  <c:v>44.3249</c:v>
                </c:pt>
                <c:pt idx="1531">
                  <c:v>46.018000000000001</c:v>
                </c:pt>
                <c:pt idx="1532">
                  <c:v>45.075000000000003</c:v>
                </c:pt>
                <c:pt idx="1533">
                  <c:v>42.588900000000002</c:v>
                </c:pt>
                <c:pt idx="1534">
                  <c:v>42.588900000000002</c:v>
                </c:pt>
                <c:pt idx="1535">
                  <c:v>42.588900000000002</c:v>
                </c:pt>
                <c:pt idx="1536">
                  <c:v>43.639099999999999</c:v>
                </c:pt>
                <c:pt idx="1537">
                  <c:v>43.446199999999997</c:v>
                </c:pt>
                <c:pt idx="1538">
                  <c:v>45.139299999999999</c:v>
                </c:pt>
                <c:pt idx="1539">
                  <c:v>47.196800000000003</c:v>
                </c:pt>
                <c:pt idx="1540">
                  <c:v>46.189500000000002</c:v>
                </c:pt>
                <c:pt idx="1541">
                  <c:v>46.189500000000002</c:v>
                </c:pt>
                <c:pt idx="1542">
                  <c:v>46.189500000000002</c:v>
                </c:pt>
                <c:pt idx="1543">
                  <c:v>45.203600000000002</c:v>
                </c:pt>
                <c:pt idx="1544">
                  <c:v>44.753500000000003</c:v>
                </c:pt>
                <c:pt idx="1545">
                  <c:v>44.281999999999996</c:v>
                </c:pt>
                <c:pt idx="1546">
                  <c:v>45.417900000000003</c:v>
                </c:pt>
                <c:pt idx="1547">
                  <c:v>44.067700000000002</c:v>
                </c:pt>
                <c:pt idx="1548">
                  <c:v>44.067700000000002</c:v>
                </c:pt>
                <c:pt idx="1549">
                  <c:v>44.067700000000002</c:v>
                </c:pt>
                <c:pt idx="1550">
                  <c:v>45.139299999999999</c:v>
                </c:pt>
                <c:pt idx="1551">
                  <c:v>46.639600000000002</c:v>
                </c:pt>
                <c:pt idx="1552">
                  <c:v>47.346800000000002</c:v>
                </c:pt>
                <c:pt idx="1553">
                  <c:v>46.403799999999997</c:v>
                </c:pt>
                <c:pt idx="1554">
                  <c:v>46.4467</c:v>
                </c:pt>
                <c:pt idx="1555">
                  <c:v>46.4467</c:v>
                </c:pt>
                <c:pt idx="1556">
                  <c:v>46.4467</c:v>
                </c:pt>
                <c:pt idx="1557">
                  <c:v>48.581299999999999</c:v>
                </c:pt>
                <c:pt idx="1558">
                  <c:v>48.743000000000002</c:v>
                </c:pt>
                <c:pt idx="1559">
                  <c:v>51.643000000000001</c:v>
                </c:pt>
                <c:pt idx="1560">
                  <c:v>50.845300000000002</c:v>
                </c:pt>
                <c:pt idx="1561">
                  <c:v>46.489800000000002</c:v>
                </c:pt>
                <c:pt idx="1562">
                  <c:v>46.489800000000002</c:v>
                </c:pt>
                <c:pt idx="1563">
                  <c:v>46.489800000000002</c:v>
                </c:pt>
                <c:pt idx="1564">
                  <c:v>45.454799999999999</c:v>
                </c:pt>
                <c:pt idx="1565">
                  <c:v>48.042200000000001</c:v>
                </c:pt>
                <c:pt idx="1566">
                  <c:v>49.896500000000003</c:v>
                </c:pt>
                <c:pt idx="1567">
                  <c:v>48.9694</c:v>
                </c:pt>
                <c:pt idx="1568">
                  <c:v>51.211799999999997</c:v>
                </c:pt>
                <c:pt idx="1569">
                  <c:v>51.211799999999997</c:v>
                </c:pt>
                <c:pt idx="1570">
                  <c:v>51.211799999999997</c:v>
                </c:pt>
                <c:pt idx="1571">
                  <c:v>52.332999999999998</c:v>
                </c:pt>
                <c:pt idx="1572">
                  <c:v>52.483899999999998</c:v>
                </c:pt>
                <c:pt idx="1573">
                  <c:v>52.354599999999998</c:v>
                </c:pt>
                <c:pt idx="1574">
                  <c:v>51.5137</c:v>
                </c:pt>
                <c:pt idx="1575">
                  <c:v>52.289900000000003</c:v>
                </c:pt>
                <c:pt idx="1576">
                  <c:v>52.289900000000003</c:v>
                </c:pt>
                <c:pt idx="1577">
                  <c:v>52.289900000000003</c:v>
                </c:pt>
                <c:pt idx="1578">
                  <c:v>53.928600000000003</c:v>
                </c:pt>
                <c:pt idx="1579">
                  <c:v>56.5807</c:v>
                </c:pt>
                <c:pt idx="1580">
                  <c:v>53.799199999999999</c:v>
                </c:pt>
                <c:pt idx="1581">
                  <c:v>57.2059</c:v>
                </c:pt>
                <c:pt idx="1582">
                  <c:v>57.6372</c:v>
                </c:pt>
                <c:pt idx="1583">
                  <c:v>57.6372</c:v>
                </c:pt>
                <c:pt idx="1584">
                  <c:v>57.6372</c:v>
                </c:pt>
                <c:pt idx="1585">
                  <c:v>60.526400000000002</c:v>
                </c:pt>
                <c:pt idx="1586">
                  <c:v>55.933799999999998</c:v>
                </c:pt>
                <c:pt idx="1587">
                  <c:v>55.459400000000002</c:v>
                </c:pt>
                <c:pt idx="1588">
                  <c:v>53.173900000000003</c:v>
                </c:pt>
                <c:pt idx="1589">
                  <c:v>53.238599999999998</c:v>
                </c:pt>
                <c:pt idx="1590">
                  <c:v>53.238599999999998</c:v>
                </c:pt>
                <c:pt idx="1591">
                  <c:v>53.238599999999998</c:v>
                </c:pt>
                <c:pt idx="1592">
                  <c:v>55.437899999999999</c:v>
                </c:pt>
                <c:pt idx="1593">
                  <c:v>54.618499999999997</c:v>
                </c:pt>
                <c:pt idx="1594">
                  <c:v>59.469900000000003</c:v>
                </c:pt>
                <c:pt idx="1595">
                  <c:v>66.843999999999994</c:v>
                </c:pt>
                <c:pt idx="1596">
                  <c:v>68.180800000000005</c:v>
                </c:pt>
                <c:pt idx="1597">
                  <c:v>68.180800000000005</c:v>
                </c:pt>
                <c:pt idx="1598">
                  <c:v>68.180800000000005</c:v>
                </c:pt>
                <c:pt idx="1599">
                  <c:v>67.706500000000005</c:v>
                </c:pt>
                <c:pt idx="1600">
                  <c:v>66.822400000000002</c:v>
                </c:pt>
                <c:pt idx="1601">
                  <c:v>69.021699999999996</c:v>
                </c:pt>
                <c:pt idx="1602">
                  <c:v>62.661000000000001</c:v>
                </c:pt>
                <c:pt idx="1603">
                  <c:v>64.084100000000007</c:v>
                </c:pt>
                <c:pt idx="1604">
                  <c:v>64.084100000000007</c:v>
                </c:pt>
                <c:pt idx="1605">
                  <c:v>64.084100000000007</c:v>
                </c:pt>
                <c:pt idx="1606">
                  <c:v>64.385999999999996</c:v>
                </c:pt>
                <c:pt idx="1607">
                  <c:v>64.558499999999995</c:v>
                </c:pt>
                <c:pt idx="1608">
                  <c:v>64.019400000000005</c:v>
                </c:pt>
                <c:pt idx="1609">
                  <c:v>64.019400000000005</c:v>
                </c:pt>
                <c:pt idx="1610">
                  <c:v>65.895300000000006</c:v>
                </c:pt>
                <c:pt idx="1611">
                  <c:v>65.895300000000006</c:v>
                </c:pt>
                <c:pt idx="1612">
                  <c:v>65.895300000000006</c:v>
                </c:pt>
                <c:pt idx="1613">
                  <c:v>63.954700000000003</c:v>
                </c:pt>
                <c:pt idx="1614">
                  <c:v>65.744399999999999</c:v>
                </c:pt>
                <c:pt idx="1615">
                  <c:v>67.641800000000003</c:v>
                </c:pt>
                <c:pt idx="1616">
                  <c:v>67.663300000000007</c:v>
                </c:pt>
                <c:pt idx="1617">
                  <c:v>68.116100000000003</c:v>
                </c:pt>
                <c:pt idx="1618">
                  <c:v>68.116100000000003</c:v>
                </c:pt>
                <c:pt idx="1619">
                  <c:v>68.116100000000003</c:v>
                </c:pt>
                <c:pt idx="1620">
                  <c:v>70.0351</c:v>
                </c:pt>
                <c:pt idx="1621">
                  <c:v>71.436599999999999</c:v>
                </c:pt>
                <c:pt idx="1622">
                  <c:v>73.032200000000003</c:v>
                </c:pt>
                <c:pt idx="1623">
                  <c:v>70.9191</c:v>
                </c:pt>
                <c:pt idx="1624">
                  <c:v>67.749600000000001</c:v>
                </c:pt>
                <c:pt idx="1625">
                  <c:v>67.749600000000001</c:v>
                </c:pt>
                <c:pt idx="1626">
                  <c:v>67.749600000000001</c:v>
                </c:pt>
                <c:pt idx="1627">
                  <c:v>68.719899999999996</c:v>
                </c:pt>
                <c:pt idx="1628">
                  <c:v>67.210499999999996</c:v>
                </c:pt>
                <c:pt idx="1629">
                  <c:v>63.868499999999997</c:v>
                </c:pt>
                <c:pt idx="1630">
                  <c:v>65.916799999999995</c:v>
                </c:pt>
                <c:pt idx="1631">
                  <c:v>69.086399999999998</c:v>
                </c:pt>
                <c:pt idx="1632">
                  <c:v>69.086399999999998</c:v>
                </c:pt>
                <c:pt idx="1633">
                  <c:v>69.086399999999998</c:v>
                </c:pt>
                <c:pt idx="1634">
                  <c:v>68.418000000000006</c:v>
                </c:pt>
                <c:pt idx="1635">
                  <c:v>68.2239</c:v>
                </c:pt>
                <c:pt idx="1636">
                  <c:v>68.2239</c:v>
                </c:pt>
                <c:pt idx="1637">
                  <c:v>68.2239</c:v>
                </c:pt>
                <c:pt idx="1638">
                  <c:v>68.525800000000004</c:v>
                </c:pt>
                <c:pt idx="1639">
                  <c:v>68.525800000000004</c:v>
                </c:pt>
                <c:pt idx="1640">
                  <c:v>68.525800000000004</c:v>
                </c:pt>
                <c:pt idx="1641">
                  <c:v>67.727999999999994</c:v>
                </c:pt>
                <c:pt idx="1642">
                  <c:v>66.908699999999996</c:v>
                </c:pt>
                <c:pt idx="1643">
                  <c:v>66.089299999999994</c:v>
                </c:pt>
                <c:pt idx="1644">
                  <c:v>66.089299999999994</c:v>
                </c:pt>
                <c:pt idx="1645">
                  <c:v>64.838800000000006</c:v>
                </c:pt>
                <c:pt idx="1646">
                  <c:v>64.838800000000006</c:v>
                </c:pt>
                <c:pt idx="1647">
                  <c:v>64.838800000000006</c:v>
                </c:pt>
                <c:pt idx="1648">
                  <c:v>63.8416</c:v>
                </c:pt>
                <c:pt idx="1649">
                  <c:v>63.082900000000002</c:v>
                </c:pt>
                <c:pt idx="1650">
                  <c:v>61.9773</c:v>
                </c:pt>
                <c:pt idx="1651">
                  <c:v>60.329799999999999</c:v>
                </c:pt>
                <c:pt idx="1652">
                  <c:v>60.156300000000002</c:v>
                </c:pt>
                <c:pt idx="1653">
                  <c:v>60.156300000000002</c:v>
                </c:pt>
                <c:pt idx="1654">
                  <c:v>60.156300000000002</c:v>
                </c:pt>
                <c:pt idx="1655">
                  <c:v>60.438099999999999</c:v>
                </c:pt>
                <c:pt idx="1656">
                  <c:v>63.603099999999998</c:v>
                </c:pt>
                <c:pt idx="1657">
                  <c:v>61.305300000000003</c:v>
                </c:pt>
                <c:pt idx="1658">
                  <c:v>63.126199999999997</c:v>
                </c:pt>
                <c:pt idx="1659">
                  <c:v>62.996099999999998</c:v>
                </c:pt>
                <c:pt idx="1660">
                  <c:v>62.996099999999998</c:v>
                </c:pt>
                <c:pt idx="1661">
                  <c:v>62.996099999999998</c:v>
                </c:pt>
                <c:pt idx="1662">
                  <c:v>62.996099999999998</c:v>
                </c:pt>
                <c:pt idx="1663">
                  <c:v>59.007399999999997</c:v>
                </c:pt>
                <c:pt idx="1664">
                  <c:v>59.744500000000002</c:v>
                </c:pt>
                <c:pt idx="1665">
                  <c:v>61.131799999999998</c:v>
                </c:pt>
                <c:pt idx="1666">
                  <c:v>61.695500000000003</c:v>
                </c:pt>
                <c:pt idx="1667">
                  <c:v>61.695500000000003</c:v>
                </c:pt>
                <c:pt idx="1668">
                  <c:v>61.695500000000003</c:v>
                </c:pt>
                <c:pt idx="1669">
                  <c:v>66.941500000000005</c:v>
                </c:pt>
                <c:pt idx="1670">
                  <c:v>70.561700000000002</c:v>
                </c:pt>
                <c:pt idx="1671">
                  <c:v>71.168700000000001</c:v>
                </c:pt>
                <c:pt idx="1672">
                  <c:v>70.019800000000004</c:v>
                </c:pt>
                <c:pt idx="1673">
                  <c:v>69.781300000000002</c:v>
                </c:pt>
                <c:pt idx="1674">
                  <c:v>69.781300000000002</c:v>
                </c:pt>
                <c:pt idx="1675">
                  <c:v>69.781300000000002</c:v>
                </c:pt>
                <c:pt idx="1676">
                  <c:v>74.810599999999994</c:v>
                </c:pt>
                <c:pt idx="1677">
                  <c:v>80.165000000000006</c:v>
                </c:pt>
                <c:pt idx="1678">
                  <c:v>75.937799999999996</c:v>
                </c:pt>
                <c:pt idx="1679">
                  <c:v>78.539199999999994</c:v>
                </c:pt>
                <c:pt idx="1680">
                  <c:v>83.872</c:v>
                </c:pt>
                <c:pt idx="1681">
                  <c:v>83.872</c:v>
                </c:pt>
                <c:pt idx="1682">
                  <c:v>83.872</c:v>
                </c:pt>
                <c:pt idx="1683">
                  <c:v>88.120800000000003</c:v>
                </c:pt>
                <c:pt idx="1684">
                  <c:v>87.058599999999998</c:v>
                </c:pt>
                <c:pt idx="1685">
                  <c:v>85.4328</c:v>
                </c:pt>
                <c:pt idx="1686">
                  <c:v>62.584299999999999</c:v>
                </c:pt>
                <c:pt idx="1687">
                  <c:v>66.594700000000003</c:v>
                </c:pt>
                <c:pt idx="1688">
                  <c:v>66.594700000000003</c:v>
                </c:pt>
                <c:pt idx="1689">
                  <c:v>66.594700000000003</c:v>
                </c:pt>
                <c:pt idx="1690">
                  <c:v>66.594700000000003</c:v>
                </c:pt>
                <c:pt idx="1691">
                  <c:v>66.594700000000003</c:v>
                </c:pt>
                <c:pt idx="1692">
                  <c:v>69.477800000000002</c:v>
                </c:pt>
                <c:pt idx="1693">
                  <c:v>70.301599999999993</c:v>
                </c:pt>
                <c:pt idx="1694">
                  <c:v>71.688999999999993</c:v>
                </c:pt>
                <c:pt idx="1695">
                  <c:v>71.688999999999993</c:v>
                </c:pt>
                <c:pt idx="1696">
                  <c:v>71.688999999999993</c:v>
                </c:pt>
                <c:pt idx="1697">
                  <c:v>68.524000000000001</c:v>
                </c:pt>
                <c:pt idx="1698">
                  <c:v>69.391099999999994</c:v>
                </c:pt>
                <c:pt idx="1699">
                  <c:v>71.515600000000006</c:v>
                </c:pt>
                <c:pt idx="1700">
                  <c:v>69.304400000000001</c:v>
                </c:pt>
                <c:pt idx="1701">
                  <c:v>72.252600000000001</c:v>
                </c:pt>
                <c:pt idx="1702">
                  <c:v>72.252600000000001</c:v>
                </c:pt>
                <c:pt idx="1703">
                  <c:v>72.252600000000001</c:v>
                </c:pt>
                <c:pt idx="1704">
                  <c:v>72.165899999999993</c:v>
                </c:pt>
                <c:pt idx="1705">
                  <c:v>71.168700000000001</c:v>
                </c:pt>
                <c:pt idx="1706">
                  <c:v>75.309200000000004</c:v>
                </c:pt>
                <c:pt idx="1707">
                  <c:v>73.444900000000004</c:v>
                </c:pt>
                <c:pt idx="1708">
                  <c:v>70.474999999999994</c:v>
                </c:pt>
                <c:pt idx="1709">
                  <c:v>70.474999999999994</c:v>
                </c:pt>
                <c:pt idx="1710">
                  <c:v>70.474999999999994</c:v>
                </c:pt>
                <c:pt idx="1711">
                  <c:v>65.207300000000004</c:v>
                </c:pt>
                <c:pt idx="1712">
                  <c:v>68.437299999999993</c:v>
                </c:pt>
                <c:pt idx="1713">
                  <c:v>69.304400000000001</c:v>
                </c:pt>
                <c:pt idx="1714">
                  <c:v>68.524000000000001</c:v>
                </c:pt>
                <c:pt idx="1715">
                  <c:v>69.802999999999997</c:v>
                </c:pt>
                <c:pt idx="1716">
                  <c:v>69.802999999999997</c:v>
                </c:pt>
                <c:pt idx="1717">
                  <c:v>69.802999999999997</c:v>
                </c:pt>
                <c:pt idx="1718">
                  <c:v>71.038600000000002</c:v>
                </c:pt>
                <c:pt idx="1719">
                  <c:v>71.840699999999998</c:v>
                </c:pt>
                <c:pt idx="1720">
                  <c:v>68.220500000000001</c:v>
                </c:pt>
                <c:pt idx="1721">
                  <c:v>70.193200000000004</c:v>
                </c:pt>
                <c:pt idx="1722">
                  <c:v>68.328900000000004</c:v>
                </c:pt>
                <c:pt idx="1723">
                  <c:v>68.328900000000004</c:v>
                </c:pt>
                <c:pt idx="1724">
                  <c:v>68.328900000000004</c:v>
                </c:pt>
                <c:pt idx="1725">
                  <c:v>70.865200000000002</c:v>
                </c:pt>
                <c:pt idx="1726">
                  <c:v>75.287499999999994</c:v>
                </c:pt>
                <c:pt idx="1727">
                  <c:v>77.390299999999996</c:v>
                </c:pt>
                <c:pt idx="1728">
                  <c:v>78.105599999999995</c:v>
                </c:pt>
                <c:pt idx="1729">
                  <c:v>73.249799999999993</c:v>
                </c:pt>
                <c:pt idx="1730">
                  <c:v>73.249799999999993</c:v>
                </c:pt>
                <c:pt idx="1731">
                  <c:v>73.249799999999993</c:v>
                </c:pt>
                <c:pt idx="1732">
                  <c:v>67.006600000000006</c:v>
                </c:pt>
                <c:pt idx="1733">
                  <c:v>68.198800000000006</c:v>
                </c:pt>
                <c:pt idx="1734">
                  <c:v>68.935900000000004</c:v>
                </c:pt>
                <c:pt idx="1735">
                  <c:v>72.209299999999999</c:v>
                </c:pt>
                <c:pt idx="1736">
                  <c:v>72.209299999999999</c:v>
                </c:pt>
                <c:pt idx="1737">
                  <c:v>72.209299999999999</c:v>
                </c:pt>
                <c:pt idx="1738">
                  <c:v>72.209299999999999</c:v>
                </c:pt>
                <c:pt idx="1739">
                  <c:v>75.293000000000006</c:v>
                </c:pt>
                <c:pt idx="1740">
                  <c:v>75.826899999999995</c:v>
                </c:pt>
                <c:pt idx="1741">
                  <c:v>82.4084</c:v>
                </c:pt>
                <c:pt idx="1742">
                  <c:v>81.253399999999999</c:v>
                </c:pt>
                <c:pt idx="1743">
                  <c:v>79.183000000000007</c:v>
                </c:pt>
                <c:pt idx="1744">
                  <c:v>79.183000000000007</c:v>
                </c:pt>
                <c:pt idx="1745">
                  <c:v>79.183000000000007</c:v>
                </c:pt>
                <c:pt idx="1746">
                  <c:v>79.466399999999993</c:v>
                </c:pt>
                <c:pt idx="1747">
                  <c:v>80.033000000000001</c:v>
                </c:pt>
                <c:pt idx="1748">
                  <c:v>79.488200000000006</c:v>
                </c:pt>
                <c:pt idx="1749">
                  <c:v>84.151899999999998</c:v>
                </c:pt>
                <c:pt idx="1750">
                  <c:v>87.965699999999998</c:v>
                </c:pt>
                <c:pt idx="1751">
                  <c:v>87.965699999999998</c:v>
                </c:pt>
                <c:pt idx="1752">
                  <c:v>87.965699999999998</c:v>
                </c:pt>
                <c:pt idx="1753">
                  <c:v>91.147499999999994</c:v>
                </c:pt>
                <c:pt idx="1754">
                  <c:v>95.484300000000005</c:v>
                </c:pt>
                <c:pt idx="1755">
                  <c:v>95.702200000000005</c:v>
                </c:pt>
                <c:pt idx="1756">
                  <c:v>93.065299999999993</c:v>
                </c:pt>
                <c:pt idx="1757">
                  <c:v>93.980599999999995</c:v>
                </c:pt>
                <c:pt idx="1758">
                  <c:v>93.980599999999995</c:v>
                </c:pt>
                <c:pt idx="1759">
                  <c:v>93.980599999999995</c:v>
                </c:pt>
                <c:pt idx="1760">
                  <c:v>92.346100000000007</c:v>
                </c:pt>
                <c:pt idx="1761">
                  <c:v>89.295100000000005</c:v>
                </c:pt>
                <c:pt idx="1762">
                  <c:v>95.200999999999993</c:v>
                </c:pt>
                <c:pt idx="1763">
                  <c:v>99.4071</c:v>
                </c:pt>
                <c:pt idx="1764">
                  <c:v>100.1698</c:v>
                </c:pt>
                <c:pt idx="1765">
                  <c:v>100.1698</c:v>
                </c:pt>
                <c:pt idx="1766">
                  <c:v>100.1698</c:v>
                </c:pt>
                <c:pt idx="1767">
                  <c:v>101.86969999999999</c:v>
                </c:pt>
                <c:pt idx="1768">
                  <c:v>105.5091</c:v>
                </c:pt>
                <c:pt idx="1769">
                  <c:v>99.712199999999996</c:v>
                </c:pt>
                <c:pt idx="1770">
                  <c:v>100.8454</c:v>
                </c:pt>
                <c:pt idx="1771">
                  <c:v>110.4562</c:v>
                </c:pt>
                <c:pt idx="1772">
                  <c:v>110.4562</c:v>
                </c:pt>
                <c:pt idx="1773">
                  <c:v>110.4562</c:v>
                </c:pt>
                <c:pt idx="1774">
                  <c:v>115.1417</c:v>
                </c:pt>
                <c:pt idx="1775">
                  <c:v>116.3839</c:v>
                </c:pt>
                <c:pt idx="1776">
                  <c:v>122.0065</c:v>
                </c:pt>
                <c:pt idx="1777">
                  <c:v>151.77590000000001</c:v>
                </c:pt>
                <c:pt idx="1778">
                  <c:v>157.6165</c:v>
                </c:pt>
                <c:pt idx="1779">
                  <c:v>157.6165</c:v>
                </c:pt>
                <c:pt idx="1780">
                  <c:v>157.6165</c:v>
                </c:pt>
                <c:pt idx="1781">
                  <c:v>159.07660000000001</c:v>
                </c:pt>
                <c:pt idx="1782">
                  <c:v>151.44900000000001</c:v>
                </c:pt>
                <c:pt idx="1783">
                  <c:v>149.20439999999999</c:v>
                </c:pt>
                <c:pt idx="1784">
                  <c:v>157.59469999999999</c:v>
                </c:pt>
                <c:pt idx="1785">
                  <c:v>162.411</c:v>
                </c:pt>
                <c:pt idx="1786">
                  <c:v>162.411</c:v>
                </c:pt>
                <c:pt idx="1787">
                  <c:v>162.411</c:v>
                </c:pt>
                <c:pt idx="1788">
                  <c:v>162.411</c:v>
                </c:pt>
                <c:pt idx="1789">
                  <c:v>157.87799999999999</c:v>
                </c:pt>
                <c:pt idx="1790">
                  <c:v>160.79830000000001</c:v>
                </c:pt>
                <c:pt idx="1791">
                  <c:v>158.55359999999999</c:v>
                </c:pt>
                <c:pt idx="1792">
                  <c:v>162.43279999999999</c:v>
                </c:pt>
                <c:pt idx="1793">
                  <c:v>162.43279999999999</c:v>
                </c:pt>
                <c:pt idx="1794">
                  <c:v>162.43279999999999</c:v>
                </c:pt>
                <c:pt idx="1795">
                  <c:v>164.41589999999999</c:v>
                </c:pt>
                <c:pt idx="1796">
                  <c:v>178.952</c:v>
                </c:pt>
                <c:pt idx="1797">
                  <c:v>175.68299999999999</c:v>
                </c:pt>
                <c:pt idx="1798">
                  <c:v>183.31059999999999</c:v>
                </c:pt>
                <c:pt idx="1799">
                  <c:v>165.0915</c:v>
                </c:pt>
                <c:pt idx="1800">
                  <c:v>165.0915</c:v>
                </c:pt>
                <c:pt idx="1801">
                  <c:v>165.0915</c:v>
                </c:pt>
                <c:pt idx="1802">
                  <c:v>170.5616</c:v>
                </c:pt>
                <c:pt idx="1803">
                  <c:v>162.30199999999999</c:v>
                </c:pt>
                <c:pt idx="1804">
                  <c:v>158.9023</c:v>
                </c:pt>
                <c:pt idx="1805">
                  <c:v>165.50559999999999</c:v>
                </c:pt>
                <c:pt idx="1806">
                  <c:v>163.91470000000001</c:v>
                </c:pt>
                <c:pt idx="1807">
                  <c:v>163.91470000000001</c:v>
                </c:pt>
                <c:pt idx="1808">
                  <c:v>163.91470000000001</c:v>
                </c:pt>
                <c:pt idx="1809">
                  <c:v>161.8879</c:v>
                </c:pt>
                <c:pt idx="1810">
                  <c:v>160.5804</c:v>
                </c:pt>
                <c:pt idx="1811">
                  <c:v>155.6987</c:v>
                </c:pt>
                <c:pt idx="1812">
                  <c:v>160.51499999999999</c:v>
                </c:pt>
                <c:pt idx="1813">
                  <c:v>160.51499999999999</c:v>
                </c:pt>
                <c:pt idx="1814">
                  <c:v>160.51499999999999</c:v>
                </c:pt>
                <c:pt idx="1815">
                  <c:v>160.51499999999999</c:v>
                </c:pt>
                <c:pt idx="1816">
                  <c:v>164.8518</c:v>
                </c:pt>
                <c:pt idx="1817">
                  <c:v>164.02369999999999</c:v>
                </c:pt>
                <c:pt idx="1818">
                  <c:v>160.92910000000001</c:v>
                </c:pt>
                <c:pt idx="1819">
                  <c:v>159.27279999999999</c:v>
                </c:pt>
                <c:pt idx="1820">
                  <c:v>147.94030000000001</c:v>
                </c:pt>
                <c:pt idx="1821">
                  <c:v>147.94030000000001</c:v>
                </c:pt>
                <c:pt idx="1822">
                  <c:v>147.94030000000001</c:v>
                </c:pt>
                <c:pt idx="1823">
                  <c:v>156.505</c:v>
                </c:pt>
                <c:pt idx="1824">
                  <c:v>155.982</c:v>
                </c:pt>
                <c:pt idx="1825">
                  <c:v>155.00129999999999</c:v>
                </c:pt>
              </c:numCache>
            </c:numRef>
          </c:val>
          <c:smooth val="0"/>
          <c:extLst>
            <c:ext xmlns:c16="http://schemas.microsoft.com/office/drawing/2014/chart" uri="{C3380CC4-5D6E-409C-BE32-E72D297353CC}">
              <c16:uniqueId val="{00000002-81E7-47B7-B363-5B4CBBCE8A50}"/>
            </c:ext>
          </c:extLst>
        </c:ser>
        <c:dLbls>
          <c:showLegendKey val="0"/>
          <c:showVal val="0"/>
          <c:showCatName val="0"/>
          <c:showSerName val="0"/>
          <c:showPercent val="0"/>
          <c:showBubbleSize val="0"/>
        </c:dLbls>
        <c:smooth val="0"/>
        <c:axId val="373463296"/>
        <c:axId val="373465088"/>
      </c:lineChart>
      <c:dateAx>
        <c:axId val="373463296"/>
        <c:scaling>
          <c:orientation val="minMax"/>
        </c:scaling>
        <c:delete val="0"/>
        <c:axPos val="b"/>
        <c:majorGridlines>
          <c:spPr>
            <a:ln w="3175">
              <a:solidFill>
                <a:srgbClr val="7D7D7D"/>
              </a:solidFill>
              <a:prstDash val="solid"/>
            </a:ln>
          </c:spPr>
        </c:majorGridlines>
        <c:numFmt formatCode="mmmyy" sourceLinked="0"/>
        <c:majorTickMark val="cross"/>
        <c:minorTickMark val="cross"/>
        <c:tickLblPos val="low"/>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5088"/>
        <c:crosses val="autoZero"/>
        <c:auto val="0"/>
        <c:lblOffset val="100"/>
        <c:baseTimeUnit val="days"/>
        <c:minorUnit val="7"/>
      </c:dateAx>
      <c:valAx>
        <c:axId val="373465088"/>
        <c:scaling>
          <c:orientation val="minMax"/>
        </c:scaling>
        <c:delete val="0"/>
        <c:axPos val="r"/>
        <c:majorGridlines>
          <c:spPr>
            <a:ln w="3175">
              <a:solidFill>
                <a:srgbClr val="7D7D7D"/>
              </a:solidFill>
              <a:prstDash val="solid"/>
            </a:ln>
          </c:spPr>
        </c:majorGridlines>
        <c:numFmt formatCode="General" sourceLinked="1"/>
        <c:majorTickMark val="out"/>
        <c:minorTickMark val="none"/>
        <c:tickLblPos val="high"/>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3296"/>
        <c:crosses val="max"/>
        <c:crossBetween val="midCat"/>
      </c:valAx>
      <c:spPr>
        <a:solidFill>
          <a:srgbClr val="F8F8F8"/>
        </a:solidFill>
        <a:ln w="25400">
          <a:noFill/>
        </a:ln>
      </c:spPr>
    </c:plotArea>
    <c:legend>
      <c:legendPos val="r"/>
      <c:layout>
        <c:manualLayout>
          <c:xMode val="edge"/>
          <c:yMode val="edge"/>
          <c:x val="0.20979040966492735"/>
          <c:y val="2.2388349316257647E-2"/>
          <c:w val="0.58601443743834813"/>
          <c:h val="5.223852854969005E-2"/>
        </c:manualLayout>
      </c:layout>
      <c:overlay val="0"/>
      <c:txPr>
        <a:bodyPr/>
        <a:lstStyle/>
        <a:p>
          <a:pPr>
            <a:defRPr sz="800" b="0" i="0" u="none" strike="noStrike" baseline="0">
              <a:solidFill>
                <a:srgbClr val="000000"/>
              </a:solidFill>
              <a:latin typeface="Calibri"/>
              <a:ea typeface="Calibri"/>
              <a:cs typeface="Calibri"/>
            </a:defRPr>
          </a:pPr>
          <a:endParaRPr lang="en-DE"/>
        </a:p>
      </c:txPr>
    </c:legend>
    <c:plotVisOnly val="0"/>
    <c:dispBlanksAs val="gap"/>
    <c:showDLblsOverMax val="0"/>
  </c:chart>
  <c:spPr>
    <a:solidFill>
      <a:srgbClr val="F8F8F8"/>
    </a:solidFill>
    <a:ln w="3175">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c:pageMargins b="0.75000000000000078" l="0.70000000000000062" r="0.70000000000000062" t="0.750000000000000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12857208334024"/>
          <c:y val="0.13611421606558252"/>
          <c:w val="0.49978969982244942"/>
          <c:h val="0.87640332633191909"/>
        </c:manualLayout>
      </c:layout>
      <c:radarChart>
        <c:radarStyle val="marker"/>
        <c:varyColors val="0"/>
        <c:ser>
          <c:idx val="0"/>
          <c:order val="0"/>
          <c:tx>
            <c:strRef>
              <c:f>'Relative Value'!$M$19</c:f>
              <c:strCache>
                <c:ptCount val="1"/>
                <c:pt idx="0">
                  <c:v>8TRA GY YYYY-07-DD</c:v>
                </c:pt>
              </c:strCache>
            </c:strRef>
          </c:tx>
          <c:marker>
            <c:symbol val="none"/>
          </c:marker>
          <c:cat>
            <c:strRef>
              <c:f>'Relative Value'!$D$15:$H$15</c:f>
              <c:strCache>
                <c:ptCount val="5"/>
                <c:pt idx="0">
                  <c:v>PE_RATIO</c:v>
                </c:pt>
                <c:pt idx="1">
                  <c:v>EV_TO_EBITDA</c:v>
                </c:pt>
                <c:pt idx="2">
                  <c:v>EV_TO_EBIT</c:v>
                </c:pt>
                <c:pt idx="3">
                  <c:v>EV_TO_SALES</c:v>
                </c:pt>
                <c:pt idx="4">
                  <c:v>PX_TO_BOOK_RATIO</c:v>
                </c:pt>
              </c:strCache>
            </c:strRef>
          </c:cat>
          <c:val>
            <c:numRef>
              <c:f>'Relative Value'!$N$19:$R$19</c:f>
              <c:numCache>
                <c:formatCode>0.00</c:formatCode>
                <c:ptCount val="5"/>
                <c:pt idx="0">
                  <c:v>8.6281812538795783</c:v>
                </c:pt>
                <c:pt idx="1">
                  <c:v>3.9971020092735703</c:v>
                </c:pt>
                <c:pt idx="2">
                  <c:v>11.274659400544959</c:v>
                </c:pt>
                <c:pt idx="3">
                  <c:v>0.47370349170005727</c:v>
                </c:pt>
                <c:pt idx="4">
                  <c:v>0.88025753337907009</c:v>
                </c:pt>
              </c:numCache>
            </c:numRef>
          </c:val>
          <c:extLst>
            <c:ext xmlns:c16="http://schemas.microsoft.com/office/drawing/2014/chart" uri="{C3380CC4-5D6E-409C-BE32-E72D297353CC}">
              <c16:uniqueId val="{00000019-47A0-4507-9581-6064F98DF833}"/>
            </c:ext>
          </c:extLst>
        </c:ser>
        <c:ser>
          <c:idx val="1"/>
          <c:order val="1"/>
          <c:tx>
            <c:strRef>
              <c:f>'Relative Value'!$M$27</c:f>
              <c:strCache>
                <c:ptCount val="1"/>
                <c:pt idx="0">
                  <c:v>Industrials Within DAX YYYY-07-DD</c:v>
                </c:pt>
              </c:strCache>
            </c:strRef>
          </c:tx>
          <c:marker>
            <c:symbol val="none"/>
          </c:marker>
          <c:val>
            <c:numRef>
              <c:f>'Relative Value'!$N$27:$R$27</c:f>
              <c:numCache>
                <c:formatCode>0.00</c:formatCode>
                <c:ptCount val="5"/>
                <c:pt idx="0">
                  <c:v>36.803627632988203</c:v>
                </c:pt>
                <c:pt idx="1">
                  <c:v>18.590905354238654</c:v>
                </c:pt>
                <c:pt idx="2">
                  <c:v>27.036012321789791</c:v>
                </c:pt>
                <c:pt idx="3">
                  <c:v>2.6165365894319983</c:v>
                </c:pt>
                <c:pt idx="4">
                  <c:v>7.1194763473562821</c:v>
                </c:pt>
              </c:numCache>
            </c:numRef>
          </c:val>
          <c:extLst>
            <c:ext xmlns:c16="http://schemas.microsoft.com/office/drawing/2014/chart" uri="{C3380CC4-5D6E-409C-BE32-E72D297353CC}">
              <c16:uniqueId val="{0000001A-47A0-4507-9581-6064F98DF833}"/>
            </c:ext>
          </c:extLst>
        </c:ser>
        <c:ser>
          <c:idx val="2"/>
          <c:order val="2"/>
          <c:tx>
            <c:strRef>
              <c:f>'Relative Value'!$M$36</c:f>
              <c:strCache>
                <c:ptCount val="1"/>
                <c:pt idx="0">
                  <c:v>DAX YYYY-07-DD</c:v>
                </c:pt>
              </c:strCache>
            </c:strRef>
          </c:tx>
          <c:marker>
            <c:symbol val="none"/>
          </c:marker>
          <c:val>
            <c:numRef>
              <c:f>'Relative Value'!$N$36:$R$36</c:f>
              <c:numCache>
                <c:formatCode>0.00</c:formatCode>
                <c:ptCount val="5"/>
                <c:pt idx="0">
                  <c:v>25.712341670695263</c:v>
                </c:pt>
                <c:pt idx="1">
                  <c:v>13.152616453860308</c:v>
                </c:pt>
                <c:pt idx="2">
                  <c:v>33.378880293889999</c:v>
                </c:pt>
                <c:pt idx="3">
                  <c:v>2.6096119086508121</c:v>
                </c:pt>
                <c:pt idx="4">
                  <c:v>4.0424928048478055</c:v>
                </c:pt>
              </c:numCache>
            </c:numRef>
          </c:val>
          <c:extLst>
            <c:ext xmlns:c16="http://schemas.microsoft.com/office/drawing/2014/chart" uri="{C3380CC4-5D6E-409C-BE32-E72D297353CC}">
              <c16:uniqueId val="{0000001B-47A0-4507-9581-6064F98DF833}"/>
            </c:ext>
          </c:extLst>
        </c:ser>
        <c:dLbls>
          <c:showLegendKey val="0"/>
          <c:showVal val="0"/>
          <c:showCatName val="0"/>
          <c:showSerName val="0"/>
          <c:showPercent val="0"/>
          <c:showBubbleSize val="0"/>
        </c:dLbls>
        <c:axId val="460055296"/>
        <c:axId val="460056832"/>
      </c:radarChart>
      <c:catAx>
        <c:axId val="460055296"/>
        <c:scaling>
          <c:orientation val="minMax"/>
        </c:scaling>
        <c:delete val="0"/>
        <c:axPos val="b"/>
        <c:majorGridlines/>
        <c:numFmt formatCode="General" sourceLinked="0"/>
        <c:majorTickMark val="out"/>
        <c:minorTickMark val="none"/>
        <c:tickLblPos val="nextTo"/>
        <c:crossAx val="460056832"/>
        <c:crosses val="autoZero"/>
        <c:auto val="1"/>
        <c:lblAlgn val="ctr"/>
        <c:lblOffset val="100"/>
        <c:noMultiLvlLbl val="0"/>
      </c:catAx>
      <c:valAx>
        <c:axId val="460056832"/>
        <c:scaling>
          <c:orientation val="minMax"/>
        </c:scaling>
        <c:delete val="0"/>
        <c:axPos val="l"/>
        <c:majorGridlines/>
        <c:numFmt formatCode="0.00" sourceLinked="1"/>
        <c:majorTickMark val="cross"/>
        <c:minorTickMark val="none"/>
        <c:tickLblPos val="nextTo"/>
        <c:crossAx val="460055296"/>
        <c:crosses val="autoZero"/>
        <c:crossBetween val="between"/>
      </c:valAx>
    </c:plotArea>
    <c:legend>
      <c:legendPos val="r"/>
      <c:layout>
        <c:manualLayout>
          <c:xMode val="edge"/>
          <c:yMode val="edge"/>
          <c:x val="0.7360420031023357"/>
          <c:y val="2.5870045724813509E-2"/>
          <c:w val="0.26395809760938599"/>
          <c:h val="0.13806381332501294"/>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Calc Data'!$CI$2" fmlaRange="'Calc Data'!$CI$3:$CI$17" noThreeD="1" sel="1" val="0"/>
</file>

<file path=xl/ctrlProps/ctrlProp2.xml><?xml version="1.0" encoding="utf-8"?>
<formControlPr xmlns="http://schemas.microsoft.com/office/spreadsheetml/2009/9/main" objectType="Drop" dropStyle="combo" dx="16" fmlaLink="'Calc Data'!$BA$5" fmlaRange="BB_MEASURES" noThreeD="1" sel="17" val="16"/>
</file>

<file path=xl/ctrlProps/ctrlProp3.xml><?xml version="1.0" encoding="utf-8"?>
<formControlPr xmlns="http://schemas.microsoft.com/office/spreadsheetml/2009/9/main" objectType="Drop" dropStyle="combo" dx="16" fmlaLink="'Calc Data'!$BA$8" fmlaRange="BB_MEASURES" noThreeD="1" sel="17" val="16"/>
</file>

<file path=xl/ctrlProps/ctrlProp4.xml><?xml version="1.0" encoding="utf-8"?>
<formControlPr xmlns="http://schemas.microsoft.com/office/spreadsheetml/2009/9/main" objectType="Drop" dropStyle="combo" dx="16" fmlaLink="'Calc Data'!$P$3" fmlaRange="BB_COMP_PERIODS" noThreeD="1" sel="4" val="0"/>
</file>

<file path=xl/ctrlProps/ctrlProp5.xml><?xml version="1.0" encoding="utf-8"?>
<formControlPr xmlns="http://schemas.microsoft.com/office/spreadsheetml/2009/9/main" objectType="Drop" dropStyle="combo" dx="16" fmlaLink="'Calc Data'!$BK$5" fmlaRange="'Calc Data'!$BN$4:$BN$8" noThreeD="1" sel="5" val="0"/>
</file>

<file path=xl/ctrlProps/ctrlProp6.xml><?xml version="1.0" encoding="utf-8"?>
<formControlPr xmlns="http://schemas.microsoft.com/office/spreadsheetml/2009/9/main" objectType="Drop" dropLines="2" dropStyle="combo" dx="16" fmlaLink="'Calc Data'!$BJ$27" fmlaRange="'Calc Data'!$BJ$28:$BJ$29"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L$19" lockText="1" noThreeD="1"/>
</file>

<file path=xl/ctrlProps/ctrlProp9.xml><?xml version="1.0" encoding="utf-8"?>
<formControlPr xmlns="http://schemas.microsoft.com/office/spreadsheetml/2009/9/main" objectType="CheckBox" fmlaLink="$L$20" lockText="1" noThreeD="1"/>
</file>

<file path=xl/ctrlProps/ctrlProp10.xml><?xml version="1.0" encoding="utf-8"?>
<formControlPr xmlns="http://schemas.microsoft.com/office/spreadsheetml/2009/9/main" objectType="CheckBox" checked="Checked" fmlaLink="$L$27" lockText="1" noThreeD="1"/>
</file>

<file path=xl/ctrlProps/ctrlProp11.xml><?xml version="1.0" encoding="utf-8"?>
<formControlPr xmlns="http://schemas.microsoft.com/office/spreadsheetml/2009/9/main" objectType="CheckBox" fmlaLink="$L$28" lockText="1" noThreeD="1"/>
</file>

<file path=xl/ctrlProps/ctrlProp12.xml><?xml version="1.0" encoding="utf-8"?>
<formControlPr xmlns="http://schemas.microsoft.com/office/spreadsheetml/2009/9/main" objectType="CheckBox" checked="Checked" fmlaLink="$L$36" lockText="1" noThreeD="1"/>
</file>

<file path=xl/ctrlProps/ctrlProp13.xml><?xml version="1.0" encoding="utf-8"?>
<formControlPr xmlns="http://schemas.microsoft.com/office/spreadsheetml/2009/9/main" objectType="CheckBox" fmlaLink="$L$37" lockText="1" noThreeD="1"/>
</file>

<file path=xl/ctrlProps/ctrlProp14.xml><?xml version="1.0" encoding="utf-8"?>
<formControlPr xmlns="http://schemas.microsoft.com/office/spreadsheetml/2009/9/main" objectType="CheckBox" fmlaLink="$L$49" lockText="1" noThreeD="1"/>
</file>

<file path=xl/ctrlProps/ctrlProp15.xml><?xml version="1.0" encoding="utf-8"?>
<formControlPr xmlns="http://schemas.microsoft.com/office/spreadsheetml/2009/9/main" objectType="CheckBox" fmlaLink="$L$50" lockText="1" noThreeD="1"/>
</file>

<file path=xl/ctrlProps/ctrlProp1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9</xdr:col>
      <xdr:colOff>38100</xdr:colOff>
      <xdr:row>25</xdr:row>
      <xdr:rowOff>28575</xdr:rowOff>
    </xdr:from>
    <xdr:to>
      <xdr:col>19</xdr:col>
      <xdr:colOff>0</xdr:colOff>
      <xdr:row>39</xdr:row>
      <xdr:rowOff>0</xdr:rowOff>
    </xdr:to>
    <xdr:graphicFrame macro="">
      <xdr:nvGraphicFramePr>
        <xdr:cNvPr id="2248285" name="Chart 2">
          <a:extLst>
            <a:ext uri="{FF2B5EF4-FFF2-40B4-BE49-F238E27FC236}">
              <a16:creationId xmlns:a16="http://schemas.microsoft.com/office/drawing/2014/main" id="{00000000-0008-0000-0000-00005D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26</xdr:row>
      <xdr:rowOff>28575</xdr:rowOff>
    </xdr:from>
    <xdr:to>
      <xdr:col>29</xdr:col>
      <xdr:colOff>809625</xdr:colOff>
      <xdr:row>39</xdr:row>
      <xdr:rowOff>0</xdr:rowOff>
    </xdr:to>
    <xdr:graphicFrame macro="">
      <xdr:nvGraphicFramePr>
        <xdr:cNvPr id="2248286" name="Chart 5">
          <a:extLst>
            <a:ext uri="{FF2B5EF4-FFF2-40B4-BE49-F238E27FC236}">
              <a16:creationId xmlns:a16="http://schemas.microsoft.com/office/drawing/2014/main" id="{00000000-0008-0000-0000-00005E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22860</xdr:colOff>
          <xdr:row>10</xdr:row>
          <xdr:rowOff>175260</xdr:rowOff>
        </xdr:from>
        <xdr:to>
          <xdr:col>31</xdr:col>
          <xdr:colOff>830580</xdr:colOff>
          <xdr:row>10</xdr:row>
          <xdr:rowOff>373380</xdr:rowOff>
        </xdr:to>
        <xdr:sp macro="" textlink="">
          <xdr:nvSpPr>
            <xdr:cNvPr id="685644" name="Drop Down 1612" hidden="1">
              <a:extLst>
                <a:ext uri="{63B3BB69-23CF-44E3-9099-C40C66FF867C}">
                  <a14:compatExt spid="_x0000_s685644"/>
                </a:ext>
                <a:ext uri="{FF2B5EF4-FFF2-40B4-BE49-F238E27FC236}">
                  <a16:creationId xmlns:a16="http://schemas.microsoft.com/office/drawing/2014/main" id="{00000000-0008-0000-0000-00004C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24</xdr:row>
          <xdr:rowOff>7620</xdr:rowOff>
        </xdr:from>
        <xdr:to>
          <xdr:col>8</xdr:col>
          <xdr:colOff>845820</xdr:colOff>
          <xdr:row>24</xdr:row>
          <xdr:rowOff>190500</xdr:rowOff>
        </xdr:to>
        <xdr:sp macro="" textlink="">
          <xdr:nvSpPr>
            <xdr:cNvPr id="685661" name="Drop Down 1629" hidden="1">
              <a:extLst>
                <a:ext uri="{63B3BB69-23CF-44E3-9099-C40C66FF867C}">
                  <a14:compatExt spid="_x0000_s685661"/>
                </a:ext>
                <a:ext uri="{FF2B5EF4-FFF2-40B4-BE49-F238E27FC236}">
                  <a16:creationId xmlns:a16="http://schemas.microsoft.com/office/drawing/2014/main" id="{00000000-0008-0000-0000-00005D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39</xdr:row>
          <xdr:rowOff>7620</xdr:rowOff>
        </xdr:from>
        <xdr:to>
          <xdr:col>8</xdr:col>
          <xdr:colOff>845820</xdr:colOff>
          <xdr:row>40</xdr:row>
          <xdr:rowOff>0</xdr:rowOff>
        </xdr:to>
        <xdr:sp macro="" textlink="">
          <xdr:nvSpPr>
            <xdr:cNvPr id="685663" name="Drop Down 1631" hidden="1">
              <a:extLst>
                <a:ext uri="{63B3BB69-23CF-44E3-9099-C40C66FF867C}">
                  <a14:compatExt spid="_x0000_s685663"/>
                </a:ext>
                <a:ext uri="{FF2B5EF4-FFF2-40B4-BE49-F238E27FC236}">
                  <a16:creationId xmlns:a16="http://schemas.microsoft.com/office/drawing/2014/main" id="{00000000-0008-0000-0000-00005F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25</xdr:row>
          <xdr:rowOff>7620</xdr:rowOff>
        </xdr:from>
        <xdr:to>
          <xdr:col>23</xdr:col>
          <xdr:colOff>716280</xdr:colOff>
          <xdr:row>26</xdr:row>
          <xdr:rowOff>7620</xdr:rowOff>
        </xdr:to>
        <xdr:sp macro="" textlink="">
          <xdr:nvSpPr>
            <xdr:cNvPr id="685664" name="Drop Down 1632" hidden="1">
              <a:extLst>
                <a:ext uri="{63B3BB69-23CF-44E3-9099-C40C66FF867C}">
                  <a14:compatExt spid="_x0000_s685664"/>
                </a:ext>
                <a:ext uri="{FF2B5EF4-FFF2-40B4-BE49-F238E27FC236}">
                  <a16:creationId xmlns:a16="http://schemas.microsoft.com/office/drawing/2014/main" id="{00000000-0008-0000-0000-000060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65</xdr:row>
          <xdr:rowOff>7620</xdr:rowOff>
        </xdr:from>
        <xdr:to>
          <xdr:col>8</xdr:col>
          <xdr:colOff>845820</xdr:colOff>
          <xdr:row>65</xdr:row>
          <xdr:rowOff>182880</xdr:rowOff>
        </xdr:to>
        <xdr:sp macro="" textlink="">
          <xdr:nvSpPr>
            <xdr:cNvPr id="1469092" name="Drop Down 2724" hidden="1">
              <a:extLst>
                <a:ext uri="{63B3BB69-23CF-44E3-9099-C40C66FF867C}">
                  <a14:compatExt spid="_x0000_s1469092"/>
                </a:ext>
                <a:ext uri="{FF2B5EF4-FFF2-40B4-BE49-F238E27FC236}">
                  <a16:creationId xmlns:a16="http://schemas.microsoft.com/office/drawing/2014/main" id="{00000000-0008-0000-0000-0000A4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22860</xdr:rowOff>
        </xdr:from>
        <xdr:to>
          <xdr:col>4</xdr:col>
          <xdr:colOff>838200</xdr:colOff>
          <xdr:row>66</xdr:row>
          <xdr:rowOff>7620</xdr:rowOff>
        </xdr:to>
        <xdr:sp macro="" textlink="">
          <xdr:nvSpPr>
            <xdr:cNvPr id="1469093" name="Drop Down 2725" hidden="1">
              <a:extLst>
                <a:ext uri="{63B3BB69-23CF-44E3-9099-C40C66FF867C}">
                  <a14:compatExt spid="_x0000_s1469093"/>
                </a:ext>
                <a:ext uri="{FF2B5EF4-FFF2-40B4-BE49-F238E27FC236}">
                  <a16:creationId xmlns:a16="http://schemas.microsoft.com/office/drawing/2014/main" id="{00000000-0008-0000-0000-0000A5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5</xdr:col>
      <xdr:colOff>962025</xdr:colOff>
      <xdr:row>4</xdr:row>
      <xdr:rowOff>0</xdr:rowOff>
    </xdr:to>
    <xdr:pic>
      <xdr:nvPicPr>
        <xdr:cNvPr id="2248287" name="Bloomberg">
          <a:extLst>
            <a:ext uri="{FF2B5EF4-FFF2-40B4-BE49-F238E27FC236}">
              <a16:creationId xmlns:a16="http://schemas.microsoft.com/office/drawing/2014/main" id="{00000000-0008-0000-0000-00005F4E2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941375</xdr:colOff>
      <xdr:row>1</xdr:row>
      <xdr:rowOff>0</xdr:rowOff>
    </xdr:from>
    <xdr:to>
      <xdr:col>16</xdr:col>
      <xdr:colOff>691708</xdr:colOff>
      <xdr:row>4</xdr:row>
      <xdr:rowOff>4953</xdr:rowOff>
    </xdr:to>
    <xdr:sp macro="" textlink="">
      <xdr:nvSpPr>
        <xdr:cNvPr id="11" name="BannerTitle">
          <a:extLst>
            <a:ext uri="{FF2B5EF4-FFF2-40B4-BE49-F238E27FC236}">
              <a16:creationId xmlns:a16="http://schemas.microsoft.com/office/drawing/2014/main" id="{00000000-0008-0000-0000-00000B000000}"/>
            </a:ext>
          </a:extLst>
        </xdr:cNvPr>
        <xdr:cNvSpPr>
          <a:spLocks noChangeArrowheads="1"/>
        </xdr:cNvSpPr>
      </xdr:nvSpPr>
      <xdr:spPr bwMode="auto">
        <a:xfrm>
          <a:off x="1912925" y="57150"/>
          <a:ext cx="9065783"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mc:AlternateContent xmlns:mc="http://schemas.openxmlformats.org/markup-compatibility/2006">
    <mc:Choice xmlns:a14="http://schemas.microsoft.com/office/drawing/2010/main" Requires="a14">
      <xdr:twoCellAnchor editAs="oneCell">
        <xdr:from>
          <xdr:col>12</xdr:col>
          <xdr:colOff>274320</xdr:colOff>
          <xdr:row>5</xdr:row>
          <xdr:rowOff>0</xdr:rowOff>
        </xdr:from>
        <xdr:to>
          <xdr:col>13</xdr:col>
          <xdr:colOff>746760</xdr:colOff>
          <xdr:row>7</xdr:row>
          <xdr:rowOff>228600</xdr:rowOff>
        </xdr:to>
        <xdr:sp macro="" textlink="">
          <xdr:nvSpPr>
            <xdr:cNvPr id="2248264" name="Button 3656" hidden="1">
              <a:extLst>
                <a:ext uri="{63B3BB69-23CF-44E3-9099-C40C66FF867C}">
                  <a14:compatExt spid="_x0000_s2248264"/>
                </a:ext>
                <a:ext uri="{FF2B5EF4-FFF2-40B4-BE49-F238E27FC236}">
                  <a16:creationId xmlns:a16="http://schemas.microsoft.com/office/drawing/2014/main" id="{00000000-0008-0000-0000-0000484E2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Financial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114300</xdr:colOff>
          <xdr:row>17</xdr:row>
          <xdr:rowOff>160020</xdr:rowOff>
        </xdr:from>
        <xdr:to>
          <xdr:col>9</xdr:col>
          <xdr:colOff>373380</xdr:colOff>
          <xdr:row>19</xdr:row>
          <xdr:rowOff>22860</xdr:rowOff>
        </xdr:to>
        <xdr:sp macro="" textlink="">
          <xdr:nvSpPr>
            <xdr:cNvPr id="2251777" name="Check Box 1" hidden="1">
              <a:extLst>
                <a:ext uri="{63B3BB69-23CF-44E3-9099-C40C66FF867C}">
                  <a14:compatExt spid="_x0000_s2251777"/>
                </a:ext>
                <a:ext uri="{FF2B5EF4-FFF2-40B4-BE49-F238E27FC236}">
                  <a16:creationId xmlns:a16="http://schemas.microsoft.com/office/drawing/2014/main" id="{00000000-0008-0000-0400-000001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18</xdr:row>
          <xdr:rowOff>160020</xdr:rowOff>
        </xdr:from>
        <xdr:to>
          <xdr:col>9</xdr:col>
          <xdr:colOff>373380</xdr:colOff>
          <xdr:row>20</xdr:row>
          <xdr:rowOff>30480</xdr:rowOff>
        </xdr:to>
        <xdr:sp macro="" textlink="">
          <xdr:nvSpPr>
            <xdr:cNvPr id="2251778" name="Check Box 2" hidden="1">
              <a:extLst>
                <a:ext uri="{63B3BB69-23CF-44E3-9099-C40C66FF867C}">
                  <a14:compatExt spid="_x0000_s2251778"/>
                </a:ext>
                <a:ext uri="{FF2B5EF4-FFF2-40B4-BE49-F238E27FC236}">
                  <a16:creationId xmlns:a16="http://schemas.microsoft.com/office/drawing/2014/main" id="{00000000-0008-0000-0400-000002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xdr:colOff>
          <xdr:row>25</xdr:row>
          <xdr:rowOff>175260</xdr:rowOff>
        </xdr:from>
        <xdr:to>
          <xdr:col>9</xdr:col>
          <xdr:colOff>365760</xdr:colOff>
          <xdr:row>27</xdr:row>
          <xdr:rowOff>30480</xdr:rowOff>
        </xdr:to>
        <xdr:sp macro="" textlink="">
          <xdr:nvSpPr>
            <xdr:cNvPr id="2251779" name="Check Box 3" hidden="1">
              <a:extLst>
                <a:ext uri="{63B3BB69-23CF-44E3-9099-C40C66FF867C}">
                  <a14:compatExt spid="_x0000_s2251779"/>
                </a:ext>
                <a:ext uri="{FF2B5EF4-FFF2-40B4-BE49-F238E27FC236}">
                  <a16:creationId xmlns:a16="http://schemas.microsoft.com/office/drawing/2014/main" id="{00000000-0008-0000-0400-000003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xdr:colOff>
          <xdr:row>26</xdr:row>
          <xdr:rowOff>175260</xdr:rowOff>
        </xdr:from>
        <xdr:to>
          <xdr:col>9</xdr:col>
          <xdr:colOff>365760</xdr:colOff>
          <xdr:row>28</xdr:row>
          <xdr:rowOff>38100</xdr:rowOff>
        </xdr:to>
        <xdr:sp macro="" textlink="">
          <xdr:nvSpPr>
            <xdr:cNvPr id="2251780" name="Check Box 4" hidden="1">
              <a:extLst>
                <a:ext uri="{63B3BB69-23CF-44E3-9099-C40C66FF867C}">
                  <a14:compatExt spid="_x0000_s2251780"/>
                </a:ext>
                <a:ext uri="{FF2B5EF4-FFF2-40B4-BE49-F238E27FC236}">
                  <a16:creationId xmlns:a16="http://schemas.microsoft.com/office/drawing/2014/main" id="{00000000-0008-0000-0400-000004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34</xdr:row>
          <xdr:rowOff>160020</xdr:rowOff>
        </xdr:from>
        <xdr:to>
          <xdr:col>9</xdr:col>
          <xdr:colOff>373380</xdr:colOff>
          <xdr:row>36</xdr:row>
          <xdr:rowOff>22860</xdr:rowOff>
        </xdr:to>
        <xdr:sp macro="" textlink="">
          <xdr:nvSpPr>
            <xdr:cNvPr id="2251781" name="Check Box 5" hidden="1">
              <a:extLst>
                <a:ext uri="{63B3BB69-23CF-44E3-9099-C40C66FF867C}">
                  <a14:compatExt spid="_x0000_s2251781"/>
                </a:ext>
                <a:ext uri="{FF2B5EF4-FFF2-40B4-BE49-F238E27FC236}">
                  <a16:creationId xmlns:a16="http://schemas.microsoft.com/office/drawing/2014/main" id="{00000000-0008-0000-0400-000005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35</xdr:row>
          <xdr:rowOff>160020</xdr:rowOff>
        </xdr:from>
        <xdr:to>
          <xdr:col>9</xdr:col>
          <xdr:colOff>373380</xdr:colOff>
          <xdr:row>37</xdr:row>
          <xdr:rowOff>30480</xdr:rowOff>
        </xdr:to>
        <xdr:sp macro="" textlink="">
          <xdr:nvSpPr>
            <xdr:cNvPr id="2251782" name="Check Box 6" hidden="1">
              <a:extLst>
                <a:ext uri="{63B3BB69-23CF-44E3-9099-C40C66FF867C}">
                  <a14:compatExt spid="_x0000_s2251782"/>
                </a:ext>
                <a:ext uri="{FF2B5EF4-FFF2-40B4-BE49-F238E27FC236}">
                  <a16:creationId xmlns:a16="http://schemas.microsoft.com/office/drawing/2014/main" id="{00000000-0008-0000-0400-000006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47</xdr:row>
          <xdr:rowOff>160020</xdr:rowOff>
        </xdr:from>
        <xdr:to>
          <xdr:col>9</xdr:col>
          <xdr:colOff>373380</xdr:colOff>
          <xdr:row>49</xdr:row>
          <xdr:rowOff>22860</xdr:rowOff>
        </xdr:to>
        <xdr:sp macro="" textlink="">
          <xdr:nvSpPr>
            <xdr:cNvPr id="2251783" name="Check Box 7" hidden="1">
              <a:extLst>
                <a:ext uri="{63B3BB69-23CF-44E3-9099-C40C66FF867C}">
                  <a14:compatExt spid="_x0000_s2251783"/>
                </a:ext>
                <a:ext uri="{FF2B5EF4-FFF2-40B4-BE49-F238E27FC236}">
                  <a16:creationId xmlns:a16="http://schemas.microsoft.com/office/drawing/2014/main" id="{00000000-0008-0000-0400-000007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48</xdr:row>
          <xdr:rowOff>160020</xdr:rowOff>
        </xdr:from>
        <xdr:to>
          <xdr:col>9</xdr:col>
          <xdr:colOff>373380</xdr:colOff>
          <xdr:row>50</xdr:row>
          <xdr:rowOff>30480</xdr:rowOff>
        </xdr:to>
        <xdr:sp macro="" textlink="">
          <xdr:nvSpPr>
            <xdr:cNvPr id="2251784" name="Check Box 8" hidden="1">
              <a:extLst>
                <a:ext uri="{63B3BB69-23CF-44E3-9099-C40C66FF867C}">
                  <a14:compatExt spid="_x0000_s2251784"/>
                </a:ext>
                <a:ext uri="{FF2B5EF4-FFF2-40B4-BE49-F238E27FC236}">
                  <a16:creationId xmlns:a16="http://schemas.microsoft.com/office/drawing/2014/main" id="{00000000-0008-0000-0400-000008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142874</xdr:colOff>
      <xdr:row>14</xdr:row>
      <xdr:rowOff>4761</xdr:rowOff>
    </xdr:from>
    <xdr:to>
      <xdr:col>22</xdr:col>
      <xdr:colOff>257175</xdr:colOff>
      <xdr:row>52</xdr:row>
      <xdr:rowOff>171450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114300" y="57150"/>
    <xdr:ext cx="1821180" cy="563880"/>
    <xdr:pic>
      <xdr:nvPicPr>
        <xdr:cNvPr id="11" name="Bloomber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Relative Valuation With BQL</a:t>
          </a:r>
        </a:p>
      </xdr:txBody>
    </xdr:sp>
    <xdr:clientData/>
  </xdr:absoluteAnchor>
  <mc:AlternateContent xmlns:mc="http://schemas.openxmlformats.org/markup-compatibility/2006">
    <mc:Choice xmlns:a14="http://schemas.microsoft.com/office/drawing/2010/main" Requires="a14">
      <xdr:twoCellAnchor editAs="oneCell">
        <xdr:from>
          <xdr:col>2</xdr:col>
          <xdr:colOff>38100</xdr:colOff>
          <xdr:row>13</xdr:row>
          <xdr:rowOff>175260</xdr:rowOff>
        </xdr:from>
        <xdr:to>
          <xdr:col>2</xdr:col>
          <xdr:colOff>342900</xdr:colOff>
          <xdr:row>15</xdr:row>
          <xdr:rowOff>7620</xdr:rowOff>
        </xdr:to>
        <xdr:sp macro="" textlink="">
          <xdr:nvSpPr>
            <xdr:cNvPr id="2251785" name="Check Box 9" hidden="1">
              <a:extLst>
                <a:ext uri="{63B3BB69-23CF-44E3-9099-C40C66FF867C}">
                  <a14:compatExt spid="_x0000_s2251785"/>
                </a:ext>
                <a:ext uri="{FF2B5EF4-FFF2-40B4-BE49-F238E27FC236}">
                  <a16:creationId xmlns:a16="http://schemas.microsoft.com/office/drawing/2014/main" id="{00000000-0008-0000-0400-000009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600075</xdr:colOff>
      <xdr:row>3</xdr:row>
      <xdr:rowOff>180975</xdr:rowOff>
    </xdr:to>
    <xdr:pic>
      <xdr:nvPicPr>
        <xdr:cNvPr id="2609367" name="Bloomberg">
          <a:extLst>
            <a:ext uri="{FF2B5EF4-FFF2-40B4-BE49-F238E27FC236}">
              <a16:creationId xmlns:a16="http://schemas.microsoft.com/office/drawing/2014/main" id="{00000000-0008-0000-0500-0000D7D02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xdr:twoCellAnchor editAs="oneCell">
    <xdr:from>
      <xdr:col>3</xdr:col>
      <xdr:colOff>209550</xdr:colOff>
      <xdr:row>21</xdr:row>
      <xdr:rowOff>57150</xdr:rowOff>
    </xdr:from>
    <xdr:to>
      <xdr:col>18</xdr:col>
      <xdr:colOff>0</xdr:colOff>
      <xdr:row>53</xdr:row>
      <xdr:rowOff>152400</xdr:rowOff>
    </xdr:to>
    <xdr:pic>
      <xdr:nvPicPr>
        <xdr:cNvPr id="2609209" name="Picture 1">
          <a:extLst>
            <a:ext uri="{FF2B5EF4-FFF2-40B4-BE49-F238E27FC236}">
              <a16:creationId xmlns:a16="http://schemas.microsoft.com/office/drawing/2014/main" id="{00000000-0008-0000-0500-000039D02700}"/>
            </a:ext>
          </a:extLst>
        </xdr:cNvPr>
        <xdr:cNvPicPr>
          <a:picLocks noChangeAspect="1"/>
        </xdr:cNvPicPr>
      </xdr:nvPicPr>
      <xdr:blipFill>
        <a:blip xmlns:r="http://schemas.openxmlformats.org/officeDocument/2006/relationships" r:embed="rId2"/>
        <a:srcRect/>
        <a:stretch>
          <a:fillRect/>
        </a:stretch>
      </xdr:blipFill>
      <xdr:spPr bwMode="auto">
        <a:xfrm>
          <a:off x="1543050" y="3981450"/>
          <a:ext cx="8934450" cy="6191250"/>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514350</xdr:colOff>
      <xdr:row>68</xdr:row>
      <xdr:rowOff>0</xdr:rowOff>
    </xdr:from>
    <xdr:to>
      <xdr:col>18</xdr:col>
      <xdr:colOff>95250</xdr:colOff>
      <xdr:row>99</xdr:row>
      <xdr:rowOff>93973</xdr:rowOff>
    </xdr:to>
    <xdr:pic>
      <xdr:nvPicPr>
        <xdr:cNvPr id="2609210" name="Picture 3">
          <a:extLst>
            <a:ext uri="{FF2B5EF4-FFF2-40B4-BE49-F238E27FC236}">
              <a16:creationId xmlns:a16="http://schemas.microsoft.com/office/drawing/2014/main" id="{00000000-0008-0000-0500-00003AD02700}"/>
            </a:ext>
          </a:extLst>
        </xdr:cNvPr>
        <xdr:cNvPicPr>
          <a:picLocks noChangeAspect="1"/>
        </xdr:cNvPicPr>
      </xdr:nvPicPr>
      <xdr:blipFill>
        <a:blip xmlns:r="http://schemas.openxmlformats.org/officeDocument/2006/relationships" r:embed="rId3"/>
        <a:srcRect/>
        <a:stretch>
          <a:fillRect/>
        </a:stretch>
      </xdr:blipFill>
      <xdr:spPr bwMode="auto">
        <a:xfrm>
          <a:off x="1238250" y="11868150"/>
          <a:ext cx="9334500" cy="5999473"/>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171450</xdr:colOff>
      <xdr:row>55</xdr:row>
      <xdr:rowOff>0</xdr:rowOff>
    </xdr:from>
    <xdr:to>
      <xdr:col>5</xdr:col>
      <xdr:colOff>0</xdr:colOff>
      <xdr:row>57</xdr:row>
      <xdr:rowOff>124646</xdr:rowOff>
    </xdr:to>
    <xdr:sp macro="" textlink="">
      <xdr:nvSpPr>
        <xdr:cNvPr id="6" name="DbgShadowBox">
          <a:extLst>
            <a:ext uri="{FF2B5EF4-FFF2-40B4-BE49-F238E27FC236}">
              <a16:creationId xmlns:a16="http://schemas.microsoft.com/office/drawing/2014/main" id="{00000000-0008-0000-0500-000006000000}"/>
            </a:ext>
          </a:extLst>
        </xdr:cNvPr>
        <xdr:cNvSpPr/>
      </xdr:nvSpPr>
      <xdr:spPr bwMode="auto">
        <a:xfrm>
          <a:off x="1504950" y="10401300"/>
          <a:ext cx="10477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Earnings Tables</a:t>
          </a:r>
        </a:p>
      </xdr:txBody>
    </xdr:sp>
    <xdr:clientData/>
  </xdr:twoCellAnchor>
  <xdr:twoCellAnchor>
    <xdr:from>
      <xdr:col>8</xdr:col>
      <xdr:colOff>0</xdr:colOff>
      <xdr:row>55</xdr:row>
      <xdr:rowOff>65854</xdr:rowOff>
    </xdr:from>
    <xdr:to>
      <xdr:col>11</xdr:col>
      <xdr:colOff>219075</xdr:colOff>
      <xdr:row>58</xdr:row>
      <xdr:rowOff>0</xdr:rowOff>
    </xdr:to>
    <xdr:sp macro="" textlink="">
      <xdr:nvSpPr>
        <xdr:cNvPr id="7" name="DbgShadowBox">
          <a:extLst>
            <a:ext uri="{FF2B5EF4-FFF2-40B4-BE49-F238E27FC236}">
              <a16:creationId xmlns:a16="http://schemas.microsoft.com/office/drawing/2014/main" id="{00000000-0008-0000-0500-000007000000}"/>
            </a:ext>
          </a:extLst>
        </xdr:cNvPr>
        <xdr:cNvSpPr/>
      </xdr:nvSpPr>
      <xdr:spPr bwMode="auto">
        <a:xfrm>
          <a:off x="4381500" y="10467154"/>
          <a:ext cx="20478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Growth and Valuation Summaries</a:t>
          </a:r>
        </a:p>
      </xdr:txBody>
    </xdr:sp>
    <xdr:clientData/>
  </xdr:twoCellAnchor>
  <xdr:twoCellAnchor>
    <xdr:from>
      <xdr:col>15</xdr:col>
      <xdr:colOff>552450</xdr:colOff>
      <xdr:row>17</xdr:row>
      <xdr:rowOff>65854</xdr:rowOff>
    </xdr:from>
    <xdr:to>
      <xdr:col>18</xdr:col>
      <xdr:colOff>0</xdr:colOff>
      <xdr:row>20</xdr:row>
      <xdr:rowOff>0</xdr:rowOff>
    </xdr:to>
    <xdr:sp macro="" textlink="">
      <xdr:nvSpPr>
        <xdr:cNvPr id="8" name="DbgShadowBox">
          <a:extLst>
            <a:ext uri="{FF2B5EF4-FFF2-40B4-BE49-F238E27FC236}">
              <a16:creationId xmlns:a16="http://schemas.microsoft.com/office/drawing/2014/main" id="{00000000-0008-0000-0500-000008000000}"/>
            </a:ext>
          </a:extLst>
        </xdr:cNvPr>
        <xdr:cNvSpPr/>
      </xdr:nvSpPr>
      <xdr:spPr bwMode="auto">
        <a:xfrm>
          <a:off x="9201150" y="3228154"/>
          <a:ext cx="12763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Price / Volume Data</a:t>
          </a:r>
        </a:p>
      </xdr:txBody>
    </xdr:sp>
    <xdr:clientData/>
  </xdr:twoCellAnchor>
  <xdr:twoCellAnchor>
    <xdr:from>
      <xdr:col>14</xdr:col>
      <xdr:colOff>0</xdr:colOff>
      <xdr:row>55</xdr:row>
      <xdr:rowOff>0</xdr:rowOff>
    </xdr:from>
    <xdr:to>
      <xdr:col>17</xdr:col>
      <xdr:colOff>257175</xdr:colOff>
      <xdr:row>57</xdr:row>
      <xdr:rowOff>124646</xdr:rowOff>
    </xdr:to>
    <xdr:sp macro="" textlink="">
      <xdr:nvSpPr>
        <xdr:cNvPr id="9" name="DbgShadowBox">
          <a:extLst>
            <a:ext uri="{FF2B5EF4-FFF2-40B4-BE49-F238E27FC236}">
              <a16:creationId xmlns:a16="http://schemas.microsoft.com/office/drawing/2014/main" id="{00000000-0008-0000-0500-000009000000}"/>
            </a:ext>
          </a:extLst>
        </xdr:cNvPr>
        <xdr:cNvSpPr/>
      </xdr:nvSpPr>
      <xdr:spPr bwMode="auto">
        <a:xfrm>
          <a:off x="8039100" y="10401300"/>
          <a:ext cx="20859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Performance, Financials and Ratios</a:t>
          </a:r>
        </a:p>
      </xdr:txBody>
    </xdr:sp>
    <xdr:clientData/>
  </xdr:twoCellAnchor>
  <xdr:twoCellAnchor>
    <xdr:from>
      <xdr:col>9</xdr:col>
      <xdr:colOff>0</xdr:colOff>
      <xdr:row>17</xdr:row>
      <xdr:rowOff>0</xdr:rowOff>
    </xdr:from>
    <xdr:to>
      <xdr:col>10</xdr:col>
      <xdr:colOff>590550</xdr:colOff>
      <xdr:row>19</xdr:row>
      <xdr:rowOff>124646</xdr:rowOff>
    </xdr:to>
    <xdr:sp macro="" textlink="">
      <xdr:nvSpPr>
        <xdr:cNvPr id="10" name="DbgShadowBox">
          <a:extLst>
            <a:ext uri="{FF2B5EF4-FFF2-40B4-BE49-F238E27FC236}">
              <a16:creationId xmlns:a16="http://schemas.microsoft.com/office/drawing/2014/main" id="{00000000-0008-0000-0500-00000A000000}"/>
            </a:ext>
          </a:extLst>
        </xdr:cNvPr>
        <xdr:cNvSpPr/>
      </xdr:nvSpPr>
      <xdr:spPr bwMode="auto">
        <a:xfrm>
          <a:off x="4991100" y="3162300"/>
          <a:ext cx="12001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Business Segments</a:t>
          </a:r>
        </a:p>
      </xdr:txBody>
    </xdr:sp>
    <xdr:clientData/>
  </xdr:twoCellAnchor>
  <xdr:twoCellAnchor>
    <xdr:from>
      <xdr:col>3</xdr:col>
      <xdr:colOff>0</xdr:colOff>
      <xdr:row>17</xdr:row>
      <xdr:rowOff>65854</xdr:rowOff>
    </xdr:from>
    <xdr:to>
      <xdr:col>4</xdr:col>
      <xdr:colOff>247649</xdr:colOff>
      <xdr:row>20</xdr:row>
      <xdr:rowOff>0</xdr:rowOff>
    </xdr:to>
    <xdr:sp macro="" textlink="">
      <xdr:nvSpPr>
        <xdr:cNvPr id="11" name="DbgShadowBox">
          <a:extLst>
            <a:ext uri="{FF2B5EF4-FFF2-40B4-BE49-F238E27FC236}">
              <a16:creationId xmlns:a16="http://schemas.microsoft.com/office/drawing/2014/main" id="{00000000-0008-0000-0500-00000B000000}"/>
            </a:ext>
          </a:extLst>
        </xdr:cNvPr>
        <xdr:cNvSpPr/>
      </xdr:nvSpPr>
      <xdr:spPr bwMode="auto">
        <a:xfrm>
          <a:off x="1333500" y="3228154"/>
          <a:ext cx="857249"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Description</a:t>
          </a:r>
        </a:p>
      </xdr:txBody>
    </xdr:sp>
    <xdr:clientData/>
  </xdr:twoCellAnchor>
  <xdr:twoCellAnchor>
    <xdr:from>
      <xdr:col>4</xdr:col>
      <xdr:colOff>85725</xdr:colOff>
      <xdr:row>37</xdr:row>
      <xdr:rowOff>104775</xdr:rowOff>
    </xdr:from>
    <xdr:to>
      <xdr:col>4</xdr:col>
      <xdr:colOff>171450</xdr:colOff>
      <xdr:row>55</xdr:row>
      <xdr:rowOff>0</xdr:rowOff>
    </xdr:to>
    <xdr:cxnSp macro="">
      <xdr:nvCxnSpPr>
        <xdr:cNvPr id="12" name="DbgGradArrow">
          <a:extLst>
            <a:ext uri="{FF2B5EF4-FFF2-40B4-BE49-F238E27FC236}">
              <a16:creationId xmlns:a16="http://schemas.microsoft.com/office/drawing/2014/main" id="{00000000-0008-0000-0500-00000C000000}"/>
            </a:ext>
          </a:extLst>
        </xdr:cNvPr>
        <xdr:cNvCxnSpPr>
          <a:stCxn id="6" idx="0"/>
        </xdr:cNvCxnSpPr>
      </xdr:nvCxnSpPr>
      <xdr:spPr bwMode="auto">
        <a:xfrm flipV="1">
          <a:off x="2028825" y="7077075"/>
          <a:ext cx="85725" cy="33242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51</xdr:row>
      <xdr:rowOff>38100</xdr:rowOff>
    </xdr:from>
    <xdr:to>
      <xdr:col>9</xdr:col>
      <xdr:colOff>414338</xdr:colOff>
      <xdr:row>55</xdr:row>
      <xdr:rowOff>65854</xdr:rowOff>
    </xdr:to>
    <xdr:cxnSp macro="">
      <xdr:nvCxnSpPr>
        <xdr:cNvPr id="13" name="DbgGradArrow">
          <a:extLst>
            <a:ext uri="{FF2B5EF4-FFF2-40B4-BE49-F238E27FC236}">
              <a16:creationId xmlns:a16="http://schemas.microsoft.com/office/drawing/2014/main" id="{00000000-0008-0000-0500-00000D000000}"/>
            </a:ext>
          </a:extLst>
        </xdr:cNvPr>
        <xdr:cNvCxnSpPr>
          <a:stCxn id="7" idx="0"/>
        </xdr:cNvCxnSpPr>
      </xdr:nvCxnSpPr>
      <xdr:spPr bwMode="auto">
        <a:xfrm flipH="1" flipV="1">
          <a:off x="3962400" y="9677400"/>
          <a:ext cx="1443038" cy="789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523875</xdr:colOff>
      <xdr:row>20</xdr:row>
      <xdr:rowOff>0</xdr:rowOff>
    </xdr:from>
    <xdr:to>
      <xdr:col>16</xdr:col>
      <xdr:colOff>581025</xdr:colOff>
      <xdr:row>30</xdr:row>
      <xdr:rowOff>9525</xdr:rowOff>
    </xdr:to>
    <xdr:cxnSp macro="">
      <xdr:nvCxnSpPr>
        <xdr:cNvPr id="14" name="DbgGradArrow">
          <a:extLst>
            <a:ext uri="{FF2B5EF4-FFF2-40B4-BE49-F238E27FC236}">
              <a16:creationId xmlns:a16="http://schemas.microsoft.com/office/drawing/2014/main" id="{00000000-0008-0000-0500-00000E000000}"/>
            </a:ext>
          </a:extLst>
        </xdr:cNvPr>
        <xdr:cNvCxnSpPr>
          <a:stCxn id="8" idx="2"/>
        </xdr:cNvCxnSpPr>
      </xdr:nvCxnSpPr>
      <xdr:spPr bwMode="auto">
        <a:xfrm flipH="1">
          <a:off x="8562975" y="3733800"/>
          <a:ext cx="1276350" cy="1914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20</xdr:row>
      <xdr:rowOff>0</xdr:rowOff>
    </xdr:from>
    <xdr:to>
      <xdr:col>3</xdr:col>
      <xdr:colOff>552450</xdr:colOff>
      <xdr:row>21</xdr:row>
      <xdr:rowOff>133350</xdr:rowOff>
    </xdr:to>
    <xdr:cxnSp macro="">
      <xdr:nvCxnSpPr>
        <xdr:cNvPr id="15" name="DbgGradArrow">
          <a:extLst>
            <a:ext uri="{FF2B5EF4-FFF2-40B4-BE49-F238E27FC236}">
              <a16:creationId xmlns:a16="http://schemas.microsoft.com/office/drawing/2014/main" id="{00000000-0008-0000-0500-00000F000000}"/>
            </a:ext>
          </a:extLst>
        </xdr:cNvPr>
        <xdr:cNvCxnSpPr>
          <a:stCxn id="11" idx="2"/>
        </xdr:cNvCxnSpPr>
      </xdr:nvCxnSpPr>
      <xdr:spPr bwMode="auto">
        <a:xfrm>
          <a:off x="1762125" y="3733800"/>
          <a:ext cx="123825" cy="3238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19</xdr:row>
      <xdr:rowOff>124646</xdr:rowOff>
    </xdr:from>
    <xdr:to>
      <xdr:col>10</xdr:col>
      <xdr:colOff>171450</xdr:colOff>
      <xdr:row>21</xdr:row>
      <xdr:rowOff>152400</xdr:rowOff>
    </xdr:to>
    <xdr:cxnSp macro="">
      <xdr:nvCxnSpPr>
        <xdr:cNvPr id="16" name="DbgGradArrow">
          <a:extLst>
            <a:ext uri="{FF2B5EF4-FFF2-40B4-BE49-F238E27FC236}">
              <a16:creationId xmlns:a16="http://schemas.microsoft.com/office/drawing/2014/main" id="{00000000-0008-0000-0500-000010000000}"/>
            </a:ext>
          </a:extLst>
        </xdr:cNvPr>
        <xdr:cNvCxnSpPr>
          <a:stCxn id="10" idx="2"/>
        </xdr:cNvCxnSpPr>
      </xdr:nvCxnSpPr>
      <xdr:spPr bwMode="auto">
        <a:xfrm>
          <a:off x="5591175" y="3667946"/>
          <a:ext cx="180975" cy="408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xdr:colOff>
      <xdr:row>44</xdr:row>
      <xdr:rowOff>57150</xdr:rowOff>
    </xdr:from>
    <xdr:to>
      <xdr:col>15</xdr:col>
      <xdr:colOff>433388</xdr:colOff>
      <xdr:row>55</xdr:row>
      <xdr:rowOff>0</xdr:rowOff>
    </xdr:to>
    <xdr:cxnSp macro="">
      <xdr:nvCxnSpPr>
        <xdr:cNvPr id="17" name="DbgGradArrow">
          <a:extLst>
            <a:ext uri="{FF2B5EF4-FFF2-40B4-BE49-F238E27FC236}">
              <a16:creationId xmlns:a16="http://schemas.microsoft.com/office/drawing/2014/main" id="{00000000-0008-0000-0500-000011000000}"/>
            </a:ext>
          </a:extLst>
        </xdr:cNvPr>
        <xdr:cNvCxnSpPr>
          <a:stCxn id="9" idx="0"/>
        </xdr:cNvCxnSpPr>
      </xdr:nvCxnSpPr>
      <xdr:spPr bwMode="auto">
        <a:xfrm flipH="1" flipV="1">
          <a:off x="7448550" y="8362950"/>
          <a:ext cx="1633538" cy="2038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161925</xdr:colOff>
      <xdr:row>100</xdr:row>
      <xdr:rowOff>0</xdr:rowOff>
    </xdr:from>
    <xdr:to>
      <xdr:col>10</xdr:col>
      <xdr:colOff>304800</xdr:colOff>
      <xdr:row>102</xdr:row>
      <xdr:rowOff>124646</xdr:rowOff>
    </xdr:to>
    <xdr:sp macro="" textlink="">
      <xdr:nvSpPr>
        <xdr:cNvPr id="36" name="DbgShadowBox">
          <a:extLst>
            <a:ext uri="{FF2B5EF4-FFF2-40B4-BE49-F238E27FC236}">
              <a16:creationId xmlns:a16="http://schemas.microsoft.com/office/drawing/2014/main" id="{00000000-0008-0000-0500-000024000000}"/>
            </a:ext>
          </a:extLst>
        </xdr:cNvPr>
        <xdr:cNvSpPr/>
      </xdr:nvSpPr>
      <xdr:spPr bwMode="auto">
        <a:xfrm>
          <a:off x="2105025" y="17964150"/>
          <a:ext cx="38004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Relative Valuation (Bloomberg Peers)</a:t>
          </a:r>
        </a:p>
      </xdr:txBody>
    </xdr:sp>
    <xdr:clientData/>
  </xdr:twoCellAnchor>
  <xdr:twoCellAnchor>
    <xdr:from>
      <xdr:col>13</xdr:col>
      <xdr:colOff>190499</xdr:colOff>
      <xdr:row>100</xdr:row>
      <xdr:rowOff>0</xdr:rowOff>
    </xdr:from>
    <xdr:to>
      <xdr:col>16</xdr:col>
      <xdr:colOff>9524</xdr:colOff>
      <xdr:row>102</xdr:row>
      <xdr:rowOff>124646</xdr:rowOff>
    </xdr:to>
    <xdr:sp macro="" textlink="">
      <xdr:nvSpPr>
        <xdr:cNvPr id="37" name="DbgShadowBox">
          <a:extLst>
            <a:ext uri="{FF2B5EF4-FFF2-40B4-BE49-F238E27FC236}">
              <a16:creationId xmlns:a16="http://schemas.microsoft.com/office/drawing/2014/main" id="{00000000-0008-0000-0500-000025000000}"/>
            </a:ext>
          </a:extLst>
        </xdr:cNvPr>
        <xdr:cNvSpPr/>
      </xdr:nvSpPr>
      <xdr:spPr bwMode="auto">
        <a:xfrm>
          <a:off x="7619999" y="17964150"/>
          <a:ext cx="16478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Analyst Recommendation</a:t>
          </a:r>
        </a:p>
      </xdr:txBody>
    </xdr:sp>
    <xdr:clientData/>
  </xdr:twoCellAnchor>
  <xdr:twoCellAnchor>
    <xdr:from>
      <xdr:col>14</xdr:col>
      <xdr:colOff>341008</xdr:colOff>
      <xdr:row>64</xdr:row>
      <xdr:rowOff>66675</xdr:rowOff>
    </xdr:from>
    <xdr:to>
      <xdr:col>15</xdr:col>
      <xdr:colOff>590550</xdr:colOff>
      <xdr:row>67</xdr:row>
      <xdr:rowOff>821</xdr:rowOff>
    </xdr:to>
    <xdr:sp macro="" textlink="">
      <xdr:nvSpPr>
        <xdr:cNvPr id="38" name="DbgShadowBox">
          <a:extLst>
            <a:ext uri="{FF2B5EF4-FFF2-40B4-BE49-F238E27FC236}">
              <a16:creationId xmlns:a16="http://schemas.microsoft.com/office/drawing/2014/main" id="{00000000-0008-0000-0500-000026000000}"/>
            </a:ext>
          </a:extLst>
        </xdr:cNvPr>
        <xdr:cNvSpPr/>
      </xdr:nvSpPr>
      <xdr:spPr bwMode="auto">
        <a:xfrm>
          <a:off x="8380108" y="11172825"/>
          <a:ext cx="85914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Holders</a:t>
          </a:r>
        </a:p>
      </xdr:txBody>
    </xdr:sp>
    <xdr:clientData/>
  </xdr:twoCellAnchor>
  <xdr:twoCellAnchor>
    <xdr:from>
      <xdr:col>8</xdr:col>
      <xdr:colOff>388633</xdr:colOff>
      <xdr:row>64</xdr:row>
      <xdr:rowOff>0</xdr:rowOff>
    </xdr:from>
    <xdr:to>
      <xdr:col>10</xdr:col>
      <xdr:colOff>514350</xdr:colOff>
      <xdr:row>66</xdr:row>
      <xdr:rowOff>124646</xdr:rowOff>
    </xdr:to>
    <xdr:sp macro="" textlink="">
      <xdr:nvSpPr>
        <xdr:cNvPr id="39" name="DbgShadowBox">
          <a:extLst>
            <a:ext uri="{FF2B5EF4-FFF2-40B4-BE49-F238E27FC236}">
              <a16:creationId xmlns:a16="http://schemas.microsoft.com/office/drawing/2014/main" id="{00000000-0008-0000-0500-000027000000}"/>
            </a:ext>
          </a:extLst>
        </xdr:cNvPr>
        <xdr:cNvSpPr/>
      </xdr:nvSpPr>
      <xdr:spPr bwMode="auto">
        <a:xfrm>
          <a:off x="4770133" y="11106150"/>
          <a:ext cx="1344917"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Estimate Data Tables</a:t>
          </a:r>
        </a:p>
      </xdr:txBody>
    </xdr:sp>
    <xdr:clientData/>
  </xdr:twoCellAnchor>
  <xdr:twoCellAnchor>
    <xdr:from>
      <xdr:col>3</xdr:col>
      <xdr:colOff>0</xdr:colOff>
      <xdr:row>64</xdr:row>
      <xdr:rowOff>65854</xdr:rowOff>
    </xdr:from>
    <xdr:to>
      <xdr:col>5</xdr:col>
      <xdr:colOff>257175</xdr:colOff>
      <xdr:row>67</xdr:row>
      <xdr:rowOff>0</xdr:rowOff>
    </xdr:to>
    <xdr:sp macro="" textlink="">
      <xdr:nvSpPr>
        <xdr:cNvPr id="40" name="DbgShadowBox">
          <a:extLst>
            <a:ext uri="{FF2B5EF4-FFF2-40B4-BE49-F238E27FC236}">
              <a16:creationId xmlns:a16="http://schemas.microsoft.com/office/drawing/2014/main" id="{00000000-0008-0000-0500-000028000000}"/>
            </a:ext>
          </a:extLst>
        </xdr:cNvPr>
        <xdr:cNvSpPr/>
      </xdr:nvSpPr>
      <xdr:spPr bwMode="auto">
        <a:xfrm>
          <a:off x="1333500" y="11172004"/>
          <a:ext cx="14763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Comperative Returns</a:t>
          </a:r>
        </a:p>
      </xdr:txBody>
    </xdr:sp>
    <xdr:clientData/>
  </xdr:twoCellAnchor>
  <xdr:twoCellAnchor>
    <xdr:from>
      <xdr:col>14</xdr:col>
      <xdr:colOff>295275</xdr:colOff>
      <xdr:row>93</xdr:row>
      <xdr:rowOff>180975</xdr:rowOff>
    </xdr:from>
    <xdr:to>
      <xdr:col>14</xdr:col>
      <xdr:colOff>404812</xdr:colOff>
      <xdr:row>100</xdr:row>
      <xdr:rowOff>0</xdr:rowOff>
    </xdr:to>
    <xdr:cxnSp macro="">
      <xdr:nvCxnSpPr>
        <xdr:cNvPr id="41" name="DbgGradArrow">
          <a:extLst>
            <a:ext uri="{FF2B5EF4-FFF2-40B4-BE49-F238E27FC236}">
              <a16:creationId xmlns:a16="http://schemas.microsoft.com/office/drawing/2014/main" id="{00000000-0008-0000-0500-000029000000}"/>
            </a:ext>
          </a:extLst>
        </xdr:cNvPr>
        <xdr:cNvCxnSpPr>
          <a:stCxn id="37" idx="0"/>
        </xdr:cNvCxnSpPr>
      </xdr:nvCxnSpPr>
      <xdr:spPr bwMode="auto">
        <a:xfrm flipH="1" flipV="1">
          <a:off x="8334375" y="16811625"/>
          <a:ext cx="109537" cy="1152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94</xdr:row>
      <xdr:rowOff>85725</xdr:rowOff>
    </xdr:from>
    <xdr:to>
      <xdr:col>7</xdr:col>
      <xdr:colOff>233363</xdr:colOff>
      <xdr:row>100</xdr:row>
      <xdr:rowOff>0</xdr:rowOff>
    </xdr:to>
    <xdr:cxnSp macro="">
      <xdr:nvCxnSpPr>
        <xdr:cNvPr id="42" name="DbgGradArrow">
          <a:extLst>
            <a:ext uri="{FF2B5EF4-FFF2-40B4-BE49-F238E27FC236}">
              <a16:creationId xmlns:a16="http://schemas.microsoft.com/office/drawing/2014/main" id="{00000000-0008-0000-0500-00002A000000}"/>
            </a:ext>
          </a:extLst>
        </xdr:cNvPr>
        <xdr:cNvCxnSpPr>
          <a:stCxn id="36" idx="0"/>
        </xdr:cNvCxnSpPr>
      </xdr:nvCxnSpPr>
      <xdr:spPr bwMode="auto">
        <a:xfrm flipH="1" flipV="1">
          <a:off x="3629025" y="16906875"/>
          <a:ext cx="376238" cy="10572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128588</xdr:colOff>
      <xdr:row>67</xdr:row>
      <xdr:rowOff>0</xdr:rowOff>
    </xdr:from>
    <xdr:to>
      <xdr:col>5</xdr:col>
      <xdr:colOff>76200</xdr:colOff>
      <xdr:row>77</xdr:row>
      <xdr:rowOff>151837</xdr:rowOff>
    </xdr:to>
    <xdr:cxnSp macro="">
      <xdr:nvCxnSpPr>
        <xdr:cNvPr id="43" name="DbgGradArrow">
          <a:extLst>
            <a:ext uri="{FF2B5EF4-FFF2-40B4-BE49-F238E27FC236}">
              <a16:creationId xmlns:a16="http://schemas.microsoft.com/office/drawing/2014/main" id="{00000000-0008-0000-0500-00002B000000}"/>
            </a:ext>
          </a:extLst>
        </xdr:cNvPr>
        <xdr:cNvCxnSpPr>
          <a:stCxn id="40" idx="2"/>
        </xdr:cNvCxnSpPr>
      </xdr:nvCxnSpPr>
      <xdr:spPr bwMode="auto">
        <a:xfrm>
          <a:off x="2071688" y="11677650"/>
          <a:ext cx="557212" cy="205683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66</xdr:row>
      <xdr:rowOff>124646</xdr:rowOff>
    </xdr:from>
    <xdr:to>
      <xdr:col>9</xdr:col>
      <xdr:colOff>451492</xdr:colOff>
      <xdr:row>69</xdr:row>
      <xdr:rowOff>19050</xdr:rowOff>
    </xdr:to>
    <xdr:cxnSp macro="">
      <xdr:nvCxnSpPr>
        <xdr:cNvPr id="44" name="DbgGradArrow">
          <a:extLst>
            <a:ext uri="{FF2B5EF4-FFF2-40B4-BE49-F238E27FC236}">
              <a16:creationId xmlns:a16="http://schemas.microsoft.com/office/drawing/2014/main" id="{00000000-0008-0000-0500-00002C000000}"/>
            </a:ext>
          </a:extLst>
        </xdr:cNvPr>
        <xdr:cNvCxnSpPr>
          <a:stCxn id="39" idx="2"/>
        </xdr:cNvCxnSpPr>
      </xdr:nvCxnSpPr>
      <xdr:spPr bwMode="auto">
        <a:xfrm flipH="1">
          <a:off x="4648200" y="11611796"/>
          <a:ext cx="794392" cy="4659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342900</xdr:colOff>
      <xdr:row>67</xdr:row>
      <xdr:rowOff>821</xdr:rowOff>
    </xdr:from>
    <xdr:to>
      <xdr:col>15</xdr:col>
      <xdr:colOff>160979</xdr:colOff>
      <xdr:row>68</xdr:row>
      <xdr:rowOff>133350</xdr:rowOff>
    </xdr:to>
    <xdr:cxnSp macro="">
      <xdr:nvCxnSpPr>
        <xdr:cNvPr id="45" name="DbgGradArrow">
          <a:extLst>
            <a:ext uri="{FF2B5EF4-FFF2-40B4-BE49-F238E27FC236}">
              <a16:creationId xmlns:a16="http://schemas.microsoft.com/office/drawing/2014/main" id="{00000000-0008-0000-0500-00002D000000}"/>
            </a:ext>
          </a:extLst>
        </xdr:cNvPr>
        <xdr:cNvCxnSpPr>
          <a:stCxn id="38" idx="2"/>
        </xdr:cNvCxnSpPr>
      </xdr:nvCxnSpPr>
      <xdr:spPr bwMode="auto">
        <a:xfrm flipH="1">
          <a:off x="8382000" y="11678471"/>
          <a:ext cx="427679" cy="3230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523875</xdr:colOff>
      <xdr:row>114</xdr:row>
      <xdr:rowOff>180976</xdr:rowOff>
    </xdr:from>
    <xdr:to>
      <xdr:col>18</xdr:col>
      <xdr:colOff>95250</xdr:colOff>
      <xdr:row>134</xdr:row>
      <xdr:rowOff>36195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4"/>
        <a:stretch>
          <a:fillRect/>
        </a:stretch>
      </xdr:blipFill>
      <xdr:spPr>
        <a:xfrm>
          <a:off x="1247775" y="20050126"/>
          <a:ext cx="9324975" cy="3665219"/>
        </a:xfrm>
        <a:prstGeom prst="rect">
          <a:avLst/>
        </a:prstGeom>
      </xdr:spPr>
    </xdr:pic>
    <xdr:clientData/>
  </xdr:twoCellAnchor>
  <xdr:twoCellAnchor>
    <xdr:from>
      <xdr:col>10</xdr:col>
      <xdr:colOff>19050</xdr:colOff>
      <xdr:row>114</xdr:row>
      <xdr:rowOff>190499</xdr:rowOff>
    </xdr:from>
    <xdr:to>
      <xdr:col>13</xdr:col>
      <xdr:colOff>200025</xdr:colOff>
      <xdr:row>116</xdr:row>
      <xdr:rowOff>115120</xdr:rowOff>
    </xdr:to>
    <xdr:sp macro="" textlink="">
      <xdr:nvSpPr>
        <xdr:cNvPr id="29" name="DbgShadowBox">
          <a:extLst>
            <a:ext uri="{FF2B5EF4-FFF2-40B4-BE49-F238E27FC236}">
              <a16:creationId xmlns:a16="http://schemas.microsoft.com/office/drawing/2014/main" id="{00000000-0008-0000-0500-00001D000000}"/>
            </a:ext>
          </a:extLst>
        </xdr:cNvPr>
        <xdr:cNvSpPr/>
      </xdr:nvSpPr>
      <xdr:spPr bwMode="auto">
        <a:xfrm>
          <a:off x="5619750" y="21402674"/>
          <a:ext cx="2009775" cy="30562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any BQL fundamental field</a:t>
          </a:r>
        </a:p>
      </xdr:txBody>
    </xdr:sp>
    <xdr:clientData/>
  </xdr:twoCellAnchor>
  <xdr:twoCellAnchor>
    <xdr:from>
      <xdr:col>13</xdr:col>
      <xdr:colOff>295275</xdr:colOff>
      <xdr:row>116</xdr:row>
      <xdr:rowOff>114300</xdr:rowOff>
    </xdr:from>
    <xdr:to>
      <xdr:col>16</xdr:col>
      <xdr:colOff>523875</xdr:colOff>
      <xdr:row>118</xdr:row>
      <xdr:rowOff>161925</xdr:rowOff>
    </xdr:to>
    <xdr:sp macro="" textlink="">
      <xdr:nvSpPr>
        <xdr:cNvPr id="31" name="DbgShadowBox">
          <a:extLst>
            <a:ext uri="{FF2B5EF4-FFF2-40B4-BE49-F238E27FC236}">
              <a16:creationId xmlns:a16="http://schemas.microsoft.com/office/drawing/2014/main" id="{00000000-0008-0000-0500-00001F000000}"/>
            </a:ext>
          </a:extLst>
        </xdr:cNvPr>
        <xdr:cNvSpPr/>
      </xdr:nvSpPr>
      <xdr:spPr bwMode="auto">
        <a:xfrm>
          <a:off x="7724775" y="21707475"/>
          <a:ext cx="2057400" cy="4286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plot the data on the radar chart</a:t>
          </a:r>
        </a:p>
      </xdr:txBody>
    </xdr:sp>
    <xdr:clientData/>
  </xdr:twoCellAnchor>
  <xdr:twoCellAnchor>
    <xdr:from>
      <xdr:col>2</xdr:col>
      <xdr:colOff>447676</xdr:colOff>
      <xdr:row>110</xdr:row>
      <xdr:rowOff>161925</xdr:rowOff>
    </xdr:from>
    <xdr:to>
      <xdr:col>6</xdr:col>
      <xdr:colOff>209550</xdr:colOff>
      <xdr:row>113</xdr:row>
      <xdr:rowOff>38100</xdr:rowOff>
    </xdr:to>
    <xdr:sp macro="" textlink="">
      <xdr:nvSpPr>
        <xdr:cNvPr id="32" name="DbgShadowBox">
          <a:extLst>
            <a:ext uri="{FF2B5EF4-FFF2-40B4-BE49-F238E27FC236}">
              <a16:creationId xmlns:a16="http://schemas.microsoft.com/office/drawing/2014/main" id="{00000000-0008-0000-0500-000020000000}"/>
            </a:ext>
          </a:extLst>
        </xdr:cNvPr>
        <xdr:cNvSpPr/>
      </xdr:nvSpPr>
      <xdr:spPr bwMode="auto">
        <a:xfrm>
          <a:off x="1171576" y="20612100"/>
          <a:ext cx="2200274" cy="4476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your security and override the index or GICS sector if necessary</a:t>
          </a:r>
        </a:p>
      </xdr:txBody>
    </xdr:sp>
    <xdr:clientData/>
  </xdr:twoCellAnchor>
  <xdr:twoCellAnchor>
    <xdr:from>
      <xdr:col>6</xdr:col>
      <xdr:colOff>609599</xdr:colOff>
      <xdr:row>109</xdr:row>
      <xdr:rowOff>66676</xdr:rowOff>
    </xdr:from>
    <xdr:to>
      <xdr:col>12</xdr:col>
      <xdr:colOff>104775</xdr:colOff>
      <xdr:row>114</xdr:row>
      <xdr:rowOff>76200</xdr:rowOff>
    </xdr:to>
    <xdr:sp macro="" textlink="">
      <xdr:nvSpPr>
        <xdr:cNvPr id="33" name="DbgShadowBox">
          <a:extLst>
            <a:ext uri="{FF2B5EF4-FFF2-40B4-BE49-F238E27FC236}">
              <a16:creationId xmlns:a16="http://schemas.microsoft.com/office/drawing/2014/main" id="{00000000-0008-0000-0500-000021000000}"/>
            </a:ext>
          </a:extLst>
        </xdr:cNvPr>
        <xdr:cNvSpPr/>
      </xdr:nvSpPr>
      <xdr:spPr bwMode="auto">
        <a:xfrm>
          <a:off x="3771899" y="20326351"/>
          <a:ext cx="3152776" cy="96202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Control for outliers in the table at the bottom of the screen by excluding any securities that do not meet the market cap criteria or whose fundamental value is greater than a set number of standard deviations from the group average </a:t>
          </a:r>
        </a:p>
      </xdr:txBody>
    </xdr:sp>
    <xdr:clientData/>
  </xdr:twoCellAnchor>
  <xdr:twoCellAnchor>
    <xdr:from>
      <xdr:col>2</xdr:col>
      <xdr:colOff>542925</xdr:colOff>
      <xdr:row>134</xdr:row>
      <xdr:rowOff>152400</xdr:rowOff>
    </xdr:from>
    <xdr:to>
      <xdr:col>6</xdr:col>
      <xdr:colOff>228600</xdr:colOff>
      <xdr:row>138</xdr:row>
      <xdr:rowOff>0</xdr:rowOff>
    </xdr:to>
    <xdr:sp macro="" textlink="">
      <xdr:nvSpPr>
        <xdr:cNvPr id="34" name="DbgShadowBox">
          <a:extLst>
            <a:ext uri="{FF2B5EF4-FFF2-40B4-BE49-F238E27FC236}">
              <a16:creationId xmlns:a16="http://schemas.microsoft.com/office/drawing/2014/main" id="{00000000-0008-0000-0500-000022000000}"/>
            </a:ext>
          </a:extLst>
        </xdr:cNvPr>
        <xdr:cNvSpPr/>
      </xdr:nvSpPr>
      <xdr:spPr bwMode="auto">
        <a:xfrm>
          <a:off x="1266825" y="25174575"/>
          <a:ext cx="2124075" cy="6096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display the =BQL() formula syntax that is being used</a:t>
          </a:r>
        </a:p>
      </xdr:txBody>
    </xdr:sp>
    <xdr:clientData/>
  </xdr:twoCellAnchor>
  <xdr:twoCellAnchor>
    <xdr:from>
      <xdr:col>2</xdr:col>
      <xdr:colOff>547688</xdr:colOff>
      <xdr:row>120</xdr:row>
      <xdr:rowOff>9525</xdr:rowOff>
    </xdr:from>
    <xdr:to>
      <xdr:col>4</xdr:col>
      <xdr:colOff>95250</xdr:colOff>
      <xdr:row>134</xdr:row>
      <xdr:rowOff>171451</xdr:rowOff>
    </xdr:to>
    <xdr:cxnSp macro="">
      <xdr:nvCxnSpPr>
        <xdr:cNvPr id="35" name="DbgGradArrow">
          <a:extLst>
            <a:ext uri="{FF2B5EF4-FFF2-40B4-BE49-F238E27FC236}">
              <a16:creationId xmlns:a16="http://schemas.microsoft.com/office/drawing/2014/main" id="{00000000-0008-0000-0500-000023000000}"/>
            </a:ext>
          </a:extLst>
        </xdr:cNvPr>
        <xdr:cNvCxnSpPr/>
      </xdr:nvCxnSpPr>
      <xdr:spPr bwMode="auto">
        <a:xfrm flipV="1">
          <a:off x="1271588" y="22364700"/>
          <a:ext cx="766762" cy="28289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285750</xdr:colOff>
      <xdr:row>118</xdr:row>
      <xdr:rowOff>161925</xdr:rowOff>
    </xdr:from>
    <xdr:to>
      <xdr:col>13</xdr:col>
      <xdr:colOff>295275</xdr:colOff>
      <xdr:row>121</xdr:row>
      <xdr:rowOff>1</xdr:rowOff>
    </xdr:to>
    <xdr:cxnSp macro="">
      <xdr:nvCxnSpPr>
        <xdr:cNvPr id="46" name="DbgGradArrow">
          <a:extLst>
            <a:ext uri="{FF2B5EF4-FFF2-40B4-BE49-F238E27FC236}">
              <a16:creationId xmlns:a16="http://schemas.microsoft.com/office/drawing/2014/main" id="{00000000-0008-0000-0500-00002E000000}"/>
            </a:ext>
          </a:extLst>
        </xdr:cNvPr>
        <xdr:cNvCxnSpPr/>
      </xdr:nvCxnSpPr>
      <xdr:spPr bwMode="auto">
        <a:xfrm flipH="1">
          <a:off x="6496050" y="22136100"/>
          <a:ext cx="1228725" cy="4095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285750</xdr:colOff>
      <xdr:row>116</xdr:row>
      <xdr:rowOff>123825</xdr:rowOff>
    </xdr:from>
    <xdr:to>
      <xdr:col>11</xdr:col>
      <xdr:colOff>314326</xdr:colOff>
      <xdr:row>119</xdr:row>
      <xdr:rowOff>57150</xdr:rowOff>
    </xdr:to>
    <xdr:cxnSp macro="">
      <xdr:nvCxnSpPr>
        <xdr:cNvPr id="47" name="DbgGradArrow">
          <a:extLst>
            <a:ext uri="{FF2B5EF4-FFF2-40B4-BE49-F238E27FC236}">
              <a16:creationId xmlns:a16="http://schemas.microsoft.com/office/drawing/2014/main" id="{00000000-0008-0000-0500-00002F000000}"/>
            </a:ext>
          </a:extLst>
        </xdr:cNvPr>
        <xdr:cNvCxnSpPr/>
      </xdr:nvCxnSpPr>
      <xdr:spPr bwMode="auto">
        <a:xfrm flipH="1">
          <a:off x="5886450" y="21717000"/>
          <a:ext cx="638176" cy="504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114</xdr:row>
      <xdr:rowOff>76200</xdr:rowOff>
    </xdr:from>
    <xdr:to>
      <xdr:col>9</xdr:col>
      <xdr:colOff>304801</xdr:colOff>
      <xdr:row>115</xdr:row>
      <xdr:rowOff>104775</xdr:rowOff>
    </xdr:to>
    <xdr:cxnSp macro="">
      <xdr:nvCxnSpPr>
        <xdr:cNvPr id="48" name="DbgGradArrow">
          <a:extLst>
            <a:ext uri="{FF2B5EF4-FFF2-40B4-BE49-F238E27FC236}">
              <a16:creationId xmlns:a16="http://schemas.microsoft.com/office/drawing/2014/main" id="{00000000-0008-0000-0500-000030000000}"/>
            </a:ext>
          </a:extLst>
        </xdr:cNvPr>
        <xdr:cNvCxnSpPr/>
      </xdr:nvCxnSpPr>
      <xdr:spPr bwMode="auto">
        <a:xfrm flipH="1">
          <a:off x="5295900" y="21288375"/>
          <a:ext cx="1" cy="2190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342900</xdr:colOff>
      <xdr:row>113</xdr:row>
      <xdr:rowOff>38100</xdr:rowOff>
    </xdr:from>
    <xdr:to>
      <xdr:col>4</xdr:col>
      <xdr:colOff>352426</xdr:colOff>
      <xdr:row>115</xdr:row>
      <xdr:rowOff>76200</xdr:rowOff>
    </xdr:to>
    <xdr:cxnSp macro="">
      <xdr:nvCxnSpPr>
        <xdr:cNvPr id="49" name="DbgGradArrow">
          <a:extLst>
            <a:ext uri="{FF2B5EF4-FFF2-40B4-BE49-F238E27FC236}">
              <a16:creationId xmlns:a16="http://schemas.microsoft.com/office/drawing/2014/main" id="{00000000-0008-0000-0500-000031000000}"/>
            </a:ext>
          </a:extLst>
        </xdr:cNvPr>
        <xdr:cNvCxnSpPr/>
      </xdr:nvCxnSpPr>
      <xdr:spPr bwMode="auto">
        <a:xfrm flipH="1">
          <a:off x="2286000" y="21059775"/>
          <a:ext cx="9526" cy="419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Tearsheet"/>
  <dimension ref="A1:AO93"/>
  <sheetViews>
    <sheetView showGridLines="0" showRowColHeaders="0" tabSelected="1" topLeftCell="D1" zoomScaleNormal="100" zoomScaleSheetLayoutView="80" workbookViewId="0">
      <pane ySplit="10" topLeftCell="A11" activePane="bottomLeft" state="frozen"/>
      <selection activeCell="E1" sqref="E1"/>
      <selection pane="bottomLeft" activeCell="E12" sqref="E12:K16"/>
    </sheetView>
  </sheetViews>
  <sheetFormatPr baseColWidth="10" defaultColWidth="8.88671875" defaultRowHeight="14.4"/>
  <cols>
    <col min="1" max="1" width="8.6640625" hidden="1" customWidth="1"/>
    <col min="2" max="2" width="9.109375" hidden="1" customWidth="1"/>
    <col min="3" max="3" width="8.6640625" hidden="1" customWidth="1"/>
    <col min="4" max="4" width="1.6640625" customWidth="1"/>
    <col min="5" max="5" width="12.88671875" customWidth="1"/>
    <col min="6" max="6" width="16" customWidth="1"/>
    <col min="7" max="9" width="12.88671875" customWidth="1"/>
    <col min="10" max="10" width="20.5546875" customWidth="1"/>
    <col min="11" max="11" width="12.88671875" customWidth="1"/>
    <col min="12" max="12" width="25.88671875" hidden="1" customWidth="1"/>
    <col min="13" max="14" width="12.88671875" customWidth="1"/>
    <col min="15" max="19" width="13" customWidth="1"/>
    <col min="20" max="20" width="14.6640625" customWidth="1"/>
    <col min="21" max="21" width="11.88671875" customWidth="1"/>
    <col min="22" max="22" width="13.6640625" customWidth="1"/>
    <col min="23" max="24" width="15.6640625" customWidth="1"/>
    <col min="25" max="26" width="12.6640625" customWidth="1"/>
    <col min="27" max="27" width="13.109375" bestFit="1" customWidth="1"/>
    <col min="28" max="29" width="12.6640625" customWidth="1"/>
    <col min="30" max="30" width="12.33203125" bestFit="1" customWidth="1"/>
    <col min="31" max="32" width="27.109375" bestFit="1" customWidth="1"/>
    <col min="33" max="33" width="17" bestFit="1" customWidth="1"/>
    <col min="34" max="34" width="17.44140625" customWidth="1"/>
    <col min="35" max="35" width="7.6640625" bestFit="1" customWidth="1"/>
    <col min="36" max="36" width="16.6640625" customWidth="1"/>
    <col min="37" max="37" width="13.5546875" bestFit="1" customWidth="1"/>
    <col min="38" max="38" width="20.5546875" bestFit="1" customWidth="1"/>
    <col min="39" max="39" width="15.6640625" bestFit="1" customWidth="1"/>
    <col min="40" max="40" width="39.5546875" bestFit="1" customWidth="1"/>
    <col min="41" max="41" width="32.44140625" style="102" hidden="1" customWidth="1"/>
    <col min="42" max="42" width="9.109375" customWidth="1"/>
    <col min="43" max="43" width="12.109375" bestFit="1" customWidth="1"/>
    <col min="44" max="44" width="15.33203125" bestFit="1" customWidth="1"/>
  </cols>
  <sheetData>
    <row r="1" spans="5:40" ht="5.0999999999999996" customHeight="1"/>
    <row r="2" spans="5:40" ht="15" customHeight="1"/>
    <row r="3" spans="5:40" ht="15" customHeight="1"/>
    <row r="4" spans="5:40" ht="14.25" customHeight="1"/>
    <row r="5" spans="5:40" ht="0.75" hidden="1" customHeight="1"/>
    <row r="6" spans="5:40" ht="5.25" hidden="1" customHeight="1"/>
    <row r="7" spans="5:40" ht="2.25" customHeight="1"/>
    <row r="8" spans="5:40" ht="21" customHeight="1">
      <c r="E8" s="150" t="s">
        <v>0</v>
      </c>
      <c r="F8" s="400" t="s">
        <v>703</v>
      </c>
      <c r="G8" s="401"/>
      <c r="H8" s="297" t="s">
        <v>390</v>
      </c>
      <c r="I8" s="151" t="s">
        <v>554</v>
      </c>
      <c r="J8" s="297" t="s">
        <v>538</v>
      </c>
      <c r="K8" s="151" t="s">
        <v>540</v>
      </c>
      <c r="M8" s="408"/>
      <c r="N8" s="409"/>
      <c r="O8" s="146"/>
      <c r="P8" s="146"/>
      <c r="V8" s="332"/>
    </row>
    <row r="9" spans="5:40" ht="15.6">
      <c r="E9" s="404" t="e">
        <v>#NAME?</v>
      </c>
      <c r="F9" s="405"/>
      <c r="G9" s="405"/>
      <c r="H9" s="405"/>
      <c r="I9" s="405"/>
      <c r="J9" s="405"/>
      <c r="K9" s="405"/>
      <c r="L9" s="405"/>
      <c r="M9" s="405"/>
      <c r="N9" s="405"/>
      <c r="O9" s="405"/>
      <c r="P9" s="406"/>
      <c r="Q9" s="406"/>
      <c r="R9" s="407"/>
      <c r="Z9" s="101"/>
      <c r="AA9" s="105"/>
      <c r="AB9" s="1"/>
      <c r="AC9" s="1"/>
    </row>
    <row r="10" spans="5:40" ht="23.25" customHeight="1">
      <c r="E10" s="364" t="s">
        <v>752</v>
      </c>
      <c r="F10" s="365"/>
      <c r="G10" s="365"/>
      <c r="H10" s="365"/>
      <c r="I10" s="365"/>
      <c r="J10" s="365"/>
      <c r="K10" s="365"/>
      <c r="L10" s="365"/>
      <c r="M10" s="366"/>
      <c r="N10" s="366"/>
      <c r="O10" s="366"/>
      <c r="P10" s="366"/>
      <c r="Q10" s="366"/>
      <c r="R10" s="367"/>
      <c r="Z10" s="101"/>
    </row>
    <row r="11" spans="5:40" ht="30" customHeight="1">
      <c r="E11" s="413" t="s">
        <v>317</v>
      </c>
      <c r="F11" s="414"/>
      <c r="G11" s="414"/>
      <c r="H11" s="414"/>
      <c r="I11" s="414"/>
      <c r="J11" s="414"/>
      <c r="K11" s="414"/>
      <c r="L11" s="415"/>
      <c r="M11" s="410" t="s">
        <v>753</v>
      </c>
      <c r="N11" s="411"/>
      <c r="O11" s="412"/>
      <c r="P11" s="106" t="s">
        <v>236</v>
      </c>
      <c r="Q11" s="106" t="s">
        <v>238</v>
      </c>
      <c r="R11" s="106" t="s">
        <v>243</v>
      </c>
      <c r="S11" s="106" t="s">
        <v>240</v>
      </c>
      <c r="T11" s="106" t="s">
        <v>249</v>
      </c>
      <c r="U11" s="106" t="s">
        <v>250</v>
      </c>
      <c r="V11" s="106" t="s">
        <v>22</v>
      </c>
      <c r="W11" s="378" t="s">
        <v>187</v>
      </c>
      <c r="X11" s="379"/>
      <c r="Y11" s="379"/>
      <c r="Z11" s="380"/>
      <c r="AA11" s="378" t="s">
        <v>333</v>
      </c>
      <c r="AB11" s="379"/>
      <c r="AC11" s="379"/>
      <c r="AD11" s="380"/>
      <c r="AE11" s="389" t="s">
        <v>345</v>
      </c>
      <c r="AF11" s="390"/>
      <c r="AG11" s="390"/>
      <c r="AH11" s="390"/>
      <c r="AI11" s="390"/>
      <c r="AJ11" s="390"/>
      <c r="AK11" s="390"/>
      <c r="AL11" s="390"/>
      <c r="AM11" s="390"/>
      <c r="AN11" s="391"/>
    </row>
    <row r="12" spans="5:40">
      <c r="E12" s="419" t="s">
        <v>754</v>
      </c>
      <c r="F12" s="420"/>
      <c r="G12" s="420"/>
      <c r="H12" s="420"/>
      <c r="I12" s="420"/>
      <c r="J12" s="420"/>
      <c r="K12" s="420"/>
      <c r="L12" s="107"/>
      <c r="M12" s="423" t="s">
        <v>707</v>
      </c>
      <c r="N12" s="424"/>
      <c r="O12" s="425"/>
      <c r="P12" s="108">
        <v>42049</v>
      </c>
      <c r="Q12" s="108">
        <v>42536</v>
      </c>
      <c r="R12" s="108">
        <v>2803</v>
      </c>
      <c r="S12" s="108">
        <v>2745</v>
      </c>
      <c r="T12" s="108">
        <v>2.5129999999999999</v>
      </c>
      <c r="U12" s="108">
        <v>694</v>
      </c>
      <c r="V12" s="108">
        <v>1928</v>
      </c>
      <c r="W12" s="333" t="s">
        <v>188</v>
      </c>
      <c r="X12" s="334"/>
      <c r="Y12" s="402" t="s">
        <v>755</v>
      </c>
      <c r="Z12" s="403"/>
      <c r="AA12" s="109"/>
      <c r="AB12" s="110" t="s">
        <v>309</v>
      </c>
      <c r="AC12" s="110" t="s">
        <v>756</v>
      </c>
      <c r="AD12" s="111" t="s">
        <v>756</v>
      </c>
      <c r="AE12" s="153" t="s">
        <v>346</v>
      </c>
      <c r="AF12" s="154" t="s">
        <v>347</v>
      </c>
      <c r="AG12" s="154" t="s">
        <v>348</v>
      </c>
      <c r="AH12" s="154" t="s">
        <v>349</v>
      </c>
      <c r="AI12" s="154" t="s">
        <v>350</v>
      </c>
      <c r="AJ12" s="154" t="s">
        <v>351</v>
      </c>
      <c r="AK12" s="154" t="s">
        <v>352</v>
      </c>
      <c r="AL12" s="154" t="s">
        <v>353</v>
      </c>
      <c r="AM12" s="154" t="s">
        <v>354</v>
      </c>
      <c r="AN12" s="155" t="s">
        <v>355</v>
      </c>
    </row>
    <row r="13" spans="5:40">
      <c r="E13" s="421"/>
      <c r="F13" s="422"/>
      <c r="G13" s="422"/>
      <c r="H13" s="422"/>
      <c r="I13" s="422"/>
      <c r="J13" s="422"/>
      <c r="K13" s="422"/>
      <c r="L13" s="112"/>
      <c r="M13" s="416" t="s">
        <v>706</v>
      </c>
      <c r="N13" s="417"/>
      <c r="O13" s="418"/>
      <c r="P13" s="113">
        <v>2035</v>
      </c>
      <c r="Q13" s="113">
        <v>2188</v>
      </c>
      <c r="R13" s="113">
        <v>524</v>
      </c>
      <c r="S13" s="113">
        <v>167</v>
      </c>
      <c r="T13" s="113">
        <v>173</v>
      </c>
      <c r="U13" s="113">
        <v>39</v>
      </c>
      <c r="V13" s="113">
        <v>133</v>
      </c>
      <c r="W13" s="333" t="s">
        <v>189</v>
      </c>
      <c r="X13" s="334"/>
      <c r="Y13" s="383">
        <v>154548.79999999999</v>
      </c>
      <c r="Z13" s="384"/>
      <c r="AA13" s="114" t="s">
        <v>236</v>
      </c>
      <c r="AB13" s="115">
        <v>43675</v>
      </c>
      <c r="AC13" s="115">
        <v>45897</v>
      </c>
      <c r="AD13" s="116">
        <v>48969.941176470587</v>
      </c>
      <c r="AE13" s="168" t="s">
        <v>757</v>
      </c>
      <c r="AF13" s="156" t="s">
        <v>584</v>
      </c>
      <c r="AG13" s="156" t="s">
        <v>585</v>
      </c>
      <c r="AH13" s="157">
        <v>437500000</v>
      </c>
      <c r="AI13" s="156">
        <v>87.5</v>
      </c>
      <c r="AJ13" s="157">
        <v>-123725</v>
      </c>
      <c r="AK13" s="158">
        <v>45911</v>
      </c>
      <c r="AL13" s="156" t="s">
        <v>381</v>
      </c>
      <c r="AM13" s="156" t="s">
        <v>586</v>
      </c>
      <c r="AN13" s="159" t="s">
        <v>591</v>
      </c>
    </row>
    <row r="14" spans="5:40">
      <c r="E14" s="421"/>
      <c r="F14" s="422"/>
      <c r="G14" s="422"/>
      <c r="H14" s="422"/>
      <c r="I14" s="422"/>
      <c r="J14" s="422"/>
      <c r="K14" s="422"/>
      <c r="L14" s="112"/>
      <c r="M14" s="416" t="s">
        <v>668</v>
      </c>
      <c r="N14" s="417"/>
      <c r="O14" s="418"/>
      <c r="P14" s="113">
        <v>640</v>
      </c>
      <c r="Q14" s="113" t="s">
        <v>758</v>
      </c>
      <c r="R14" s="113" t="s">
        <v>758</v>
      </c>
      <c r="S14" s="113" t="s">
        <v>758</v>
      </c>
      <c r="T14" s="113" t="s">
        <v>758</v>
      </c>
      <c r="U14" s="113">
        <v>-254</v>
      </c>
      <c r="V14" s="113">
        <v>-514</v>
      </c>
      <c r="W14" s="333" t="s">
        <v>294</v>
      </c>
      <c r="X14" s="334"/>
      <c r="Y14" s="426">
        <v>16750</v>
      </c>
      <c r="Z14" s="427"/>
      <c r="AA14" s="114" t="s">
        <v>304</v>
      </c>
      <c r="AB14" s="147"/>
      <c r="AC14" s="148">
        <v>4.1882320893489512E-2</v>
      </c>
      <c r="AD14" s="149">
        <v>6.6952981676362266E-2</v>
      </c>
      <c r="AE14" s="169" t="s">
        <v>719</v>
      </c>
      <c r="AF14" s="160" t="s">
        <v>584</v>
      </c>
      <c r="AG14" s="160" t="s">
        <v>588</v>
      </c>
      <c r="AH14" s="161">
        <v>15179168</v>
      </c>
      <c r="AI14" s="160">
        <v>3.04</v>
      </c>
      <c r="AJ14" s="161">
        <v>3558908</v>
      </c>
      <c r="AK14" s="162">
        <v>46062</v>
      </c>
      <c r="AL14" s="160" t="s">
        <v>357</v>
      </c>
      <c r="AM14" s="160" t="s">
        <v>720</v>
      </c>
      <c r="AN14" s="163" t="s">
        <v>721</v>
      </c>
    </row>
    <row r="15" spans="5:40">
      <c r="E15" s="421"/>
      <c r="F15" s="422"/>
      <c r="G15" s="422"/>
      <c r="H15" s="422"/>
      <c r="I15" s="422"/>
      <c r="J15" s="422"/>
      <c r="K15" s="422"/>
      <c r="L15" s="112"/>
      <c r="M15" s="416" t="s">
        <v>708</v>
      </c>
      <c r="N15" s="417"/>
      <c r="O15" s="418"/>
      <c r="P15" s="113">
        <v>-672</v>
      </c>
      <c r="Q15" s="113">
        <v>-672</v>
      </c>
      <c r="R15" s="113" t="s">
        <v>758</v>
      </c>
      <c r="S15" s="113">
        <v>-486</v>
      </c>
      <c r="T15" s="113">
        <v>-768</v>
      </c>
      <c r="U15" s="113" t="s">
        <v>758</v>
      </c>
      <c r="V15" s="113" t="s">
        <v>758</v>
      </c>
      <c r="W15" s="333" t="s">
        <v>517</v>
      </c>
      <c r="X15" s="334"/>
      <c r="Y15" s="398">
        <v>20759</v>
      </c>
      <c r="Z15" s="399"/>
      <c r="AA15" s="114" t="s">
        <v>14</v>
      </c>
      <c r="AB15" s="115">
        <v>5176</v>
      </c>
      <c r="AC15" s="115">
        <v>5719.3125</v>
      </c>
      <c r="AD15" s="116">
        <v>6723.1875</v>
      </c>
      <c r="AE15" s="169" t="s">
        <v>722</v>
      </c>
      <c r="AF15" s="160" t="s">
        <v>584</v>
      </c>
      <c r="AG15" s="160" t="s">
        <v>593</v>
      </c>
      <c r="AH15" s="161">
        <v>3340000</v>
      </c>
      <c r="AI15" s="160">
        <v>0.67</v>
      </c>
      <c r="AJ15" s="161">
        <v>0</v>
      </c>
      <c r="AK15" s="162">
        <v>46171</v>
      </c>
      <c r="AL15" s="160" t="s">
        <v>357</v>
      </c>
      <c r="AM15" s="160" t="s">
        <v>720</v>
      </c>
      <c r="AN15" s="163" t="s">
        <v>721</v>
      </c>
    </row>
    <row r="16" spans="5:40">
      <c r="E16" s="421"/>
      <c r="F16" s="422"/>
      <c r="G16" s="422"/>
      <c r="H16" s="422"/>
      <c r="I16" s="422"/>
      <c r="J16" s="422"/>
      <c r="K16" s="422"/>
      <c r="L16" s="117"/>
      <c r="M16" s="416" t="s">
        <v>758</v>
      </c>
      <c r="N16" s="417"/>
      <c r="O16" s="418"/>
      <c r="P16" s="113" t="s">
        <v>758</v>
      </c>
      <c r="Q16" s="113" t="s">
        <v>758</v>
      </c>
      <c r="R16" s="113" t="s">
        <v>758</v>
      </c>
      <c r="S16" s="113" t="s">
        <v>758</v>
      </c>
      <c r="T16" s="113" t="s">
        <v>758</v>
      </c>
      <c r="U16" s="113" t="s">
        <v>758</v>
      </c>
      <c r="V16" s="113" t="s">
        <v>758</v>
      </c>
      <c r="W16" s="333" t="s">
        <v>195</v>
      </c>
      <c r="X16" s="334"/>
      <c r="Y16" s="381" t="s">
        <v>759</v>
      </c>
      <c r="Z16" s="382"/>
      <c r="AA16" s="114" t="s">
        <v>305</v>
      </c>
      <c r="AB16" s="147"/>
      <c r="AC16" s="148">
        <v>-1.9826392459297328E-2</v>
      </c>
      <c r="AD16" s="149">
        <v>0.17552370363363573</v>
      </c>
      <c r="AE16" s="169" t="s">
        <v>723</v>
      </c>
      <c r="AF16" s="160" t="s">
        <v>584</v>
      </c>
      <c r="AG16" s="160" t="s">
        <v>593</v>
      </c>
      <c r="AH16" s="161">
        <v>2919235</v>
      </c>
      <c r="AI16" s="160">
        <v>0.57999999999999996</v>
      </c>
      <c r="AJ16" s="161">
        <v>-109665</v>
      </c>
      <c r="AK16" s="162">
        <v>46173</v>
      </c>
      <c r="AL16" s="160" t="s">
        <v>379</v>
      </c>
      <c r="AM16" s="160" t="s">
        <v>720</v>
      </c>
      <c r="AN16" s="163" t="s">
        <v>721</v>
      </c>
    </row>
    <row r="17" spans="4:40">
      <c r="E17" s="52"/>
      <c r="J17" s="118"/>
      <c r="K17" s="118"/>
      <c r="L17" s="119"/>
      <c r="M17" s="416" t="s">
        <v>758</v>
      </c>
      <c r="N17" s="417"/>
      <c r="O17" s="418"/>
      <c r="P17" s="113" t="s">
        <v>758</v>
      </c>
      <c r="Q17" s="113" t="s">
        <v>758</v>
      </c>
      <c r="R17" s="113" t="s">
        <v>758</v>
      </c>
      <c r="S17" s="113" t="s">
        <v>758</v>
      </c>
      <c r="T17" s="113" t="s">
        <v>758</v>
      </c>
      <c r="U17" s="113" t="s">
        <v>758</v>
      </c>
      <c r="V17" s="113" t="s">
        <v>758</v>
      </c>
      <c r="W17" s="333" t="s">
        <v>190</v>
      </c>
      <c r="X17" s="334"/>
      <c r="Y17" s="381">
        <v>2.7761194243359922E-2</v>
      </c>
      <c r="Z17" s="382"/>
      <c r="AA17" s="114" t="s">
        <v>306</v>
      </c>
      <c r="AB17" s="120">
        <v>2.6120000000000001</v>
      </c>
      <c r="AC17" s="120">
        <v>4.1980000000000004</v>
      </c>
      <c r="AD17" s="121">
        <v>5.6890000000000001</v>
      </c>
      <c r="AE17" s="169" t="s">
        <v>592</v>
      </c>
      <c r="AF17" s="160" t="s">
        <v>584</v>
      </c>
      <c r="AG17" s="160" t="s">
        <v>593</v>
      </c>
      <c r="AH17" s="161">
        <v>2722487</v>
      </c>
      <c r="AI17" s="160">
        <v>0.54</v>
      </c>
      <c r="AJ17" s="161">
        <v>6778</v>
      </c>
      <c r="AK17" s="162">
        <v>46203</v>
      </c>
      <c r="AL17" s="160" t="s">
        <v>356</v>
      </c>
      <c r="AM17" s="160" t="s">
        <v>589</v>
      </c>
      <c r="AN17" s="163" t="s">
        <v>594</v>
      </c>
    </row>
    <row r="18" spans="4:40">
      <c r="E18" s="122" t="s">
        <v>2</v>
      </c>
      <c r="F18" t="s">
        <v>760</v>
      </c>
      <c r="G18" s="118"/>
      <c r="H18" s="118"/>
      <c r="I18" s="118"/>
      <c r="L18" s="117"/>
      <c r="M18" s="416" t="s">
        <v>758</v>
      </c>
      <c r="N18" s="417"/>
      <c r="O18" s="418"/>
      <c r="P18" s="113" t="s">
        <v>758</v>
      </c>
      <c r="Q18" s="113" t="s">
        <v>758</v>
      </c>
      <c r="R18" s="113" t="s">
        <v>758</v>
      </c>
      <c r="S18" s="113" t="s">
        <v>758</v>
      </c>
      <c r="T18" s="113" t="s">
        <v>758</v>
      </c>
      <c r="U18" s="113" t="s">
        <v>758</v>
      </c>
      <c r="V18" s="113" t="s">
        <v>758</v>
      </c>
      <c r="W18" s="333" t="s">
        <v>191</v>
      </c>
      <c r="X18" s="334"/>
      <c r="Y18" s="381">
        <v>0.125</v>
      </c>
      <c r="Z18" s="382"/>
      <c r="AA18" s="114" t="s">
        <v>304</v>
      </c>
      <c r="AB18" s="147"/>
      <c r="AC18" s="148">
        <v>0.35857605177993546</v>
      </c>
      <c r="AD18" s="149">
        <v>0.35516912815626478</v>
      </c>
      <c r="AE18" s="169" t="s">
        <v>598</v>
      </c>
      <c r="AF18" s="160" t="s">
        <v>596</v>
      </c>
      <c r="AG18" s="160" t="s">
        <v>597</v>
      </c>
      <c r="AH18" s="161">
        <v>2465538</v>
      </c>
      <c r="AI18" s="160">
        <v>0.49</v>
      </c>
      <c r="AJ18" s="161">
        <v>61679</v>
      </c>
      <c r="AK18" s="162">
        <v>46022</v>
      </c>
      <c r="AL18" s="160" t="s">
        <v>357</v>
      </c>
      <c r="AM18" s="160" t="s">
        <v>599</v>
      </c>
      <c r="AN18" s="163" t="s">
        <v>600</v>
      </c>
    </row>
    <row r="19" spans="4:40">
      <c r="E19" s="122" t="s">
        <v>318</v>
      </c>
      <c r="G19" s="2"/>
      <c r="H19" s="67" t="s">
        <v>761</v>
      </c>
      <c r="I19" s="123"/>
      <c r="L19" s="117"/>
      <c r="M19" s="416" t="s">
        <v>758</v>
      </c>
      <c r="N19" s="417"/>
      <c r="O19" s="418"/>
      <c r="P19" s="113" t="s">
        <v>758</v>
      </c>
      <c r="Q19" s="113" t="s">
        <v>758</v>
      </c>
      <c r="R19" s="113" t="s">
        <v>758</v>
      </c>
      <c r="S19" s="113" t="s">
        <v>758</v>
      </c>
      <c r="T19" s="113" t="s">
        <v>758</v>
      </c>
      <c r="U19" s="113" t="s">
        <v>758</v>
      </c>
      <c r="V19" s="113" t="s">
        <v>758</v>
      </c>
      <c r="W19" s="333" t="s">
        <v>192</v>
      </c>
      <c r="X19" s="334"/>
      <c r="Y19" s="381">
        <v>6.8421599999999999E-2</v>
      </c>
      <c r="Z19" s="382"/>
      <c r="AA19" s="114"/>
      <c r="AB19" s="120"/>
      <c r="AC19" s="120"/>
      <c r="AD19" s="121"/>
      <c r="AE19" s="169" t="s">
        <v>724</v>
      </c>
      <c r="AF19" s="160" t="s">
        <v>584</v>
      </c>
      <c r="AG19" s="160" t="s">
        <v>593</v>
      </c>
      <c r="AH19" s="161">
        <v>858338</v>
      </c>
      <c r="AI19" s="160">
        <v>0.17</v>
      </c>
      <c r="AJ19" s="161">
        <v>-2180</v>
      </c>
      <c r="AK19" s="162">
        <v>46204</v>
      </c>
      <c r="AL19" s="160" t="s">
        <v>356</v>
      </c>
      <c r="AM19" s="160" t="s">
        <v>589</v>
      </c>
      <c r="AN19" s="163" t="s">
        <v>590</v>
      </c>
    </row>
    <row r="20" spans="4:40">
      <c r="E20" s="122" t="s">
        <v>4</v>
      </c>
      <c r="H20" s="299" t="s">
        <v>762</v>
      </c>
      <c r="L20" s="117"/>
      <c r="M20" s="416" t="s">
        <v>758</v>
      </c>
      <c r="N20" s="417"/>
      <c r="O20" s="418"/>
      <c r="P20" s="113" t="s">
        <v>758</v>
      </c>
      <c r="Q20" s="113" t="s">
        <v>758</v>
      </c>
      <c r="R20" s="113" t="s">
        <v>758</v>
      </c>
      <c r="S20" s="113" t="s">
        <v>758</v>
      </c>
      <c r="T20" s="113" t="s">
        <v>758</v>
      </c>
      <c r="U20" s="113" t="s">
        <v>758</v>
      </c>
      <c r="V20" s="113" t="s">
        <v>758</v>
      </c>
      <c r="W20" s="333" t="s">
        <v>193</v>
      </c>
      <c r="X20" s="334"/>
      <c r="Y20" s="381" t="s">
        <v>763</v>
      </c>
      <c r="Z20" s="382"/>
      <c r="AA20" s="114" t="s">
        <v>41</v>
      </c>
      <c r="AB20" s="124">
        <v>0.44760160274756727</v>
      </c>
      <c r="AC20" s="124">
        <v>0.46305858770725755</v>
      </c>
      <c r="AD20" s="125">
        <v>0.4022202095162819</v>
      </c>
      <c r="AE20" s="169" t="s">
        <v>595</v>
      </c>
      <c r="AF20" s="160" t="s">
        <v>584</v>
      </c>
      <c r="AG20" s="160" t="s">
        <v>593</v>
      </c>
      <c r="AH20" s="161">
        <v>728936</v>
      </c>
      <c r="AI20" s="160">
        <v>0.15</v>
      </c>
      <c r="AJ20" s="161">
        <v>11468</v>
      </c>
      <c r="AK20" s="162">
        <v>46203</v>
      </c>
      <c r="AL20" s="160" t="s">
        <v>356</v>
      </c>
      <c r="AM20" s="160" t="s">
        <v>589</v>
      </c>
      <c r="AN20" s="163" t="s">
        <v>590</v>
      </c>
    </row>
    <row r="21" spans="4:40">
      <c r="E21" s="122" t="s">
        <v>315</v>
      </c>
      <c r="H21" s="67" t="s">
        <v>764</v>
      </c>
      <c r="L21" s="117"/>
      <c r="M21" s="416" t="s">
        <v>758</v>
      </c>
      <c r="N21" s="417"/>
      <c r="O21" s="418"/>
      <c r="P21" s="113" t="s">
        <v>758</v>
      </c>
      <c r="Q21" s="113" t="s">
        <v>758</v>
      </c>
      <c r="R21" s="113" t="s">
        <v>758</v>
      </c>
      <c r="S21" s="113" t="s">
        <v>758</v>
      </c>
      <c r="T21" s="113" t="s">
        <v>758</v>
      </c>
      <c r="U21" s="113" t="s">
        <v>758</v>
      </c>
      <c r="V21" s="113" t="s">
        <v>758</v>
      </c>
      <c r="W21" s="333" t="s">
        <v>364</v>
      </c>
      <c r="X21" s="334"/>
      <c r="Y21" s="398">
        <v>34.378</v>
      </c>
      <c r="Z21" s="399"/>
      <c r="AA21" s="114" t="s">
        <v>40</v>
      </c>
      <c r="AB21" s="124">
        <v>3.7768547140649149</v>
      </c>
      <c r="AC21" s="124">
        <v>3.6296317407352947</v>
      </c>
      <c r="AD21" s="125">
        <v>3.0876720984152159</v>
      </c>
      <c r="AE21" s="169" t="s">
        <v>725</v>
      </c>
      <c r="AF21" s="160" t="s">
        <v>596</v>
      </c>
      <c r="AG21" s="160" t="s">
        <v>597</v>
      </c>
      <c r="AH21" s="161">
        <v>624501</v>
      </c>
      <c r="AI21" s="160">
        <v>0.12</v>
      </c>
      <c r="AJ21" s="161">
        <v>9705</v>
      </c>
      <c r="AK21" s="162">
        <v>46203</v>
      </c>
      <c r="AL21" s="160" t="s">
        <v>356</v>
      </c>
      <c r="AM21" s="160" t="s">
        <v>720</v>
      </c>
      <c r="AN21" s="163" t="s">
        <v>721</v>
      </c>
    </row>
    <row r="22" spans="4:40">
      <c r="E22" s="122" t="s">
        <v>316</v>
      </c>
      <c r="H22" s="67" t="s">
        <v>765</v>
      </c>
      <c r="L22" s="117"/>
      <c r="M22" s="416" t="s">
        <v>758</v>
      </c>
      <c r="N22" s="417"/>
      <c r="O22" s="418"/>
      <c r="P22" s="113" t="s">
        <v>758</v>
      </c>
      <c r="Q22" s="113" t="s">
        <v>758</v>
      </c>
      <c r="R22" s="113" t="s">
        <v>758</v>
      </c>
      <c r="S22" s="113" t="s">
        <v>758</v>
      </c>
      <c r="T22" s="113" t="s">
        <v>758</v>
      </c>
      <c r="U22" s="113" t="s">
        <v>758</v>
      </c>
      <c r="V22" s="113" t="s">
        <v>758</v>
      </c>
      <c r="W22" s="333" t="s">
        <v>194</v>
      </c>
      <c r="X22" s="334"/>
      <c r="Y22" s="381" t="s">
        <v>180</v>
      </c>
      <c r="Z22" s="382"/>
      <c r="AA22" s="114" t="s">
        <v>39</v>
      </c>
      <c r="AB22" s="124">
        <v>0.38351459645105901</v>
      </c>
      <c r="AC22" s="124">
        <v>0.36494760006100618</v>
      </c>
      <c r="AD22" s="125">
        <v>0.34204656280880552</v>
      </c>
      <c r="AE22" s="169" t="s">
        <v>726</v>
      </c>
      <c r="AF22" s="160" t="s">
        <v>584</v>
      </c>
      <c r="AG22" s="160" t="s">
        <v>593</v>
      </c>
      <c r="AH22" s="161">
        <v>351191</v>
      </c>
      <c r="AI22" s="160">
        <v>7.0000000000000007E-2</v>
      </c>
      <c r="AJ22" s="161">
        <v>34426</v>
      </c>
      <c r="AK22" s="162">
        <v>46204</v>
      </c>
      <c r="AL22" s="160" t="s">
        <v>357</v>
      </c>
      <c r="AM22" s="160" t="s">
        <v>599</v>
      </c>
      <c r="AN22" s="163" t="s">
        <v>600</v>
      </c>
    </row>
    <row r="23" spans="4:40">
      <c r="E23" s="122" t="s">
        <v>766</v>
      </c>
      <c r="F23" s="126"/>
      <c r="H23" s="127">
        <v>107517</v>
      </c>
      <c r="L23" s="117"/>
      <c r="M23" s="416" t="s">
        <v>758</v>
      </c>
      <c r="N23" s="417"/>
      <c r="O23" s="418"/>
      <c r="P23" s="113" t="s">
        <v>758</v>
      </c>
      <c r="Q23" s="113" t="s">
        <v>758</v>
      </c>
      <c r="R23" s="113" t="s">
        <v>758</v>
      </c>
      <c r="S23" s="113" t="s">
        <v>758</v>
      </c>
      <c r="T23" s="113" t="s">
        <v>758</v>
      </c>
      <c r="U23" s="113" t="s">
        <v>758</v>
      </c>
      <c r="V23" s="113" t="s">
        <v>758</v>
      </c>
      <c r="W23" s="333" t="s">
        <v>196</v>
      </c>
      <c r="X23" s="334"/>
      <c r="Y23" s="428">
        <v>3.5652174949645996</v>
      </c>
      <c r="Z23" s="429"/>
      <c r="AA23" s="114" t="s">
        <v>307</v>
      </c>
      <c r="AB23" s="124">
        <v>12.82542113323124</v>
      </c>
      <c r="AC23" s="124">
        <v>7.9799904716531671</v>
      </c>
      <c r="AD23" s="125">
        <v>5.8885568641237471</v>
      </c>
      <c r="AE23" s="169" t="s">
        <v>727</v>
      </c>
      <c r="AF23" s="160" t="s">
        <v>584</v>
      </c>
      <c r="AG23" s="160" t="s">
        <v>593</v>
      </c>
      <c r="AH23" s="161">
        <v>343953</v>
      </c>
      <c r="AI23" s="160">
        <v>7.0000000000000007E-2</v>
      </c>
      <c r="AJ23" s="161">
        <v>343953</v>
      </c>
      <c r="AK23" s="162">
        <v>46142</v>
      </c>
      <c r="AL23" s="160" t="s">
        <v>356</v>
      </c>
      <c r="AM23" s="160" t="s">
        <v>699</v>
      </c>
      <c r="AN23" s="163" t="s">
        <v>700</v>
      </c>
    </row>
    <row r="24" spans="4:40">
      <c r="E24" s="122" t="s">
        <v>515</v>
      </c>
      <c r="H24" s="67" t="s">
        <v>767</v>
      </c>
      <c r="L24" s="128"/>
      <c r="M24" s="432" t="s">
        <v>758</v>
      </c>
      <c r="N24" s="433"/>
      <c r="O24" s="434"/>
      <c r="P24" s="129" t="s">
        <v>758</v>
      </c>
      <c r="Q24" s="129" t="s">
        <v>758</v>
      </c>
      <c r="R24" s="130" t="s">
        <v>758</v>
      </c>
      <c r="S24" s="130" t="s">
        <v>758</v>
      </c>
      <c r="T24" s="130" t="s">
        <v>758</v>
      </c>
      <c r="U24" s="130" t="s">
        <v>758</v>
      </c>
      <c r="V24" s="130" t="s">
        <v>758</v>
      </c>
      <c r="W24" s="333" t="s">
        <v>135</v>
      </c>
      <c r="X24" s="334"/>
      <c r="Y24" s="430">
        <v>6.9505055880787647E-2</v>
      </c>
      <c r="Z24" s="431"/>
      <c r="AA24" s="131" t="s">
        <v>308</v>
      </c>
      <c r="AB24" s="132">
        <v>0.8839516597181909</v>
      </c>
      <c r="AC24" s="132">
        <v>0.8340387392321863</v>
      </c>
      <c r="AD24" s="133">
        <v>0.75233560905497665</v>
      </c>
      <c r="AE24" s="169" t="s">
        <v>728</v>
      </c>
      <c r="AF24" s="160" t="s">
        <v>596</v>
      </c>
      <c r="AG24" s="160" t="s">
        <v>597</v>
      </c>
      <c r="AH24" s="161">
        <v>323758</v>
      </c>
      <c r="AI24" s="160">
        <v>0.06</v>
      </c>
      <c r="AJ24" s="161">
        <v>323758</v>
      </c>
      <c r="AK24" s="162">
        <v>45747</v>
      </c>
      <c r="AL24" s="160" t="s">
        <v>356</v>
      </c>
      <c r="AM24" s="160" t="s">
        <v>696</v>
      </c>
      <c r="AN24" s="163" t="s">
        <v>697</v>
      </c>
    </row>
    <row r="25" spans="4:40" ht="15.9" customHeight="1">
      <c r="D25" s="134" t="s">
        <v>5</v>
      </c>
      <c r="E25" s="337" t="s">
        <v>292</v>
      </c>
      <c r="F25" s="338"/>
      <c r="G25" s="249"/>
      <c r="H25" s="249"/>
      <c r="I25" s="250"/>
      <c r="J25" s="375" t="s">
        <v>1</v>
      </c>
      <c r="K25" s="376"/>
      <c r="L25" s="338"/>
      <c r="M25" s="376"/>
      <c r="N25" s="376"/>
      <c r="O25" s="376"/>
      <c r="P25" s="338"/>
      <c r="Q25" s="338"/>
      <c r="R25" s="338"/>
      <c r="S25" s="377"/>
      <c r="T25" s="372" t="s">
        <v>288</v>
      </c>
      <c r="U25" s="373"/>
      <c r="V25" s="374"/>
      <c r="W25" s="395" t="s">
        <v>344</v>
      </c>
      <c r="X25" s="396"/>
      <c r="Y25" s="396"/>
      <c r="Z25" s="396"/>
      <c r="AA25" s="396"/>
      <c r="AB25" s="396"/>
      <c r="AC25" s="396"/>
      <c r="AD25" s="397"/>
      <c r="AE25" s="169" t="s">
        <v>701</v>
      </c>
      <c r="AF25" s="160" t="s">
        <v>584</v>
      </c>
      <c r="AG25" s="160" t="s">
        <v>593</v>
      </c>
      <c r="AH25" s="161">
        <v>312814</v>
      </c>
      <c r="AI25" s="160">
        <v>0.06</v>
      </c>
      <c r="AJ25" s="161">
        <v>-1034</v>
      </c>
      <c r="AK25" s="162">
        <v>46204</v>
      </c>
      <c r="AL25" s="160" t="s">
        <v>356</v>
      </c>
      <c r="AM25" s="160" t="s">
        <v>589</v>
      </c>
      <c r="AN25" s="163" t="s">
        <v>702</v>
      </c>
    </row>
    <row r="26" spans="4:40">
      <c r="E26" s="267"/>
      <c r="F26" s="252">
        <v>2024</v>
      </c>
      <c r="G26" s="252">
        <v>2025</v>
      </c>
      <c r="H26" s="252">
        <v>2026</v>
      </c>
      <c r="I26" s="253">
        <v>2027</v>
      </c>
      <c r="J26" s="52"/>
      <c r="S26" s="53"/>
      <c r="T26" s="353" t="s">
        <v>285</v>
      </c>
      <c r="U26" s="354"/>
      <c r="V26" s="135">
        <v>9.8360655737704916E-2</v>
      </c>
      <c r="W26" s="152" t="s">
        <v>165</v>
      </c>
      <c r="X26" s="152"/>
      <c r="Y26" s="152"/>
      <c r="Z26" s="370" t="s">
        <v>343</v>
      </c>
      <c r="AA26" s="371"/>
      <c r="AB26" s="368" t="s">
        <v>563</v>
      </c>
      <c r="AC26" s="369"/>
      <c r="AD26" s="196"/>
      <c r="AE26" s="169" t="s">
        <v>729</v>
      </c>
      <c r="AF26" s="160" t="s">
        <v>584</v>
      </c>
      <c r="AG26" s="160" t="s">
        <v>593</v>
      </c>
      <c r="AH26" s="161">
        <v>296209</v>
      </c>
      <c r="AI26" s="160">
        <v>0.06</v>
      </c>
      <c r="AJ26" s="161">
        <v>240</v>
      </c>
      <c r="AK26" s="162">
        <v>46204</v>
      </c>
      <c r="AL26" s="160" t="s">
        <v>730</v>
      </c>
      <c r="AM26" s="160" t="s">
        <v>589</v>
      </c>
      <c r="AN26" s="163" t="s">
        <v>731</v>
      </c>
    </row>
    <row r="27" spans="4:40">
      <c r="E27" s="272" t="s">
        <v>768</v>
      </c>
      <c r="F27" s="275">
        <v>1756</v>
      </c>
      <c r="G27" s="275">
        <v>1391</v>
      </c>
      <c r="H27" s="275">
        <v>994</v>
      </c>
      <c r="I27" s="276">
        <v>1707.25</v>
      </c>
      <c r="J27" s="52"/>
      <c r="S27" s="53"/>
      <c r="T27" s="353" t="s">
        <v>289</v>
      </c>
      <c r="U27" s="354"/>
      <c r="V27" s="135">
        <v>0.2805810397553517</v>
      </c>
      <c r="W27" s="52"/>
      <c r="AD27" s="53"/>
      <c r="AE27" s="169" t="s">
        <v>732</v>
      </c>
      <c r="AF27" s="160" t="s">
        <v>596</v>
      </c>
      <c r="AG27" s="160" t="s">
        <v>597</v>
      </c>
      <c r="AH27" s="161">
        <v>294303</v>
      </c>
      <c r="AI27" s="160">
        <v>0.06</v>
      </c>
      <c r="AJ27" s="161">
        <v>322</v>
      </c>
      <c r="AK27" s="162">
        <v>46203</v>
      </c>
      <c r="AL27" s="160" t="s">
        <v>357</v>
      </c>
      <c r="AM27" s="160" t="s">
        <v>586</v>
      </c>
      <c r="AN27" s="163" t="s">
        <v>601</v>
      </c>
    </row>
    <row r="28" spans="4:40">
      <c r="E28" s="272" t="s">
        <v>769</v>
      </c>
      <c r="F28" s="203">
        <v>1752</v>
      </c>
      <c r="G28" s="203">
        <v>1408</v>
      </c>
      <c r="H28" s="203">
        <v>1394.2857142857144</v>
      </c>
      <c r="I28" s="229">
        <v>1778.75</v>
      </c>
      <c r="J28" s="52"/>
      <c r="S28" s="53"/>
      <c r="T28" s="353" t="s">
        <v>286</v>
      </c>
      <c r="U28" s="354"/>
      <c r="V28" s="136">
        <v>-8.4199015855658782E-2</v>
      </c>
      <c r="W28" s="52"/>
      <c r="AD28" s="53"/>
      <c r="AE28" s="169" t="s">
        <v>733</v>
      </c>
      <c r="AF28" s="160" t="s">
        <v>596</v>
      </c>
      <c r="AG28" s="160" t="s">
        <v>597</v>
      </c>
      <c r="AH28" s="161">
        <v>280274</v>
      </c>
      <c r="AI28" s="160">
        <v>0.06</v>
      </c>
      <c r="AJ28" s="161">
        <v>-68607</v>
      </c>
      <c r="AK28" s="162">
        <v>46173</v>
      </c>
      <c r="AL28" s="160" t="s">
        <v>356</v>
      </c>
      <c r="AM28" s="160" t="s">
        <v>720</v>
      </c>
      <c r="AN28" s="163" t="s">
        <v>721</v>
      </c>
    </row>
    <row r="29" spans="4:40">
      <c r="E29" s="272" t="s">
        <v>770</v>
      </c>
      <c r="F29" s="203">
        <v>1767</v>
      </c>
      <c r="G29" s="203">
        <v>1339</v>
      </c>
      <c r="H29" s="203">
        <v>1493.2857142857144</v>
      </c>
      <c r="I29" s="229">
        <v>1823.5</v>
      </c>
      <c r="J29" s="52"/>
      <c r="S29" s="53"/>
      <c r="T29" s="353" t="s">
        <v>332</v>
      </c>
      <c r="U29" s="354"/>
      <c r="V29" s="136">
        <v>0.1056105610561056</v>
      </c>
      <c r="W29" s="52"/>
      <c r="AD29" s="53"/>
      <c r="AE29" s="169" t="s">
        <v>734</v>
      </c>
      <c r="AF29" s="160" t="s">
        <v>584</v>
      </c>
      <c r="AG29" s="160" t="s">
        <v>593</v>
      </c>
      <c r="AH29" s="161">
        <v>265800</v>
      </c>
      <c r="AI29" s="160">
        <v>0.05</v>
      </c>
      <c r="AJ29" s="161">
        <v>0</v>
      </c>
      <c r="AK29" s="162">
        <v>46112</v>
      </c>
      <c r="AL29" s="160" t="s">
        <v>356</v>
      </c>
      <c r="AM29" s="160" t="s">
        <v>589</v>
      </c>
      <c r="AN29" s="163" t="s">
        <v>590</v>
      </c>
    </row>
    <row r="30" spans="4:40">
      <c r="E30" s="272" t="s">
        <v>771</v>
      </c>
      <c r="F30" s="277">
        <v>1909</v>
      </c>
      <c r="G30" s="278">
        <v>1435</v>
      </c>
      <c r="H30" s="278">
        <v>1732.5714285714284</v>
      </c>
      <c r="I30" s="279">
        <v>2187</v>
      </c>
      <c r="J30" s="52"/>
      <c r="S30" s="53"/>
      <c r="T30" s="353"/>
      <c r="U30" s="354"/>
      <c r="V30" s="137"/>
      <c r="W30" s="52"/>
      <c r="AD30" s="53"/>
      <c r="AE30" s="169" t="s">
        <v>698</v>
      </c>
      <c r="AF30" s="160" t="s">
        <v>584</v>
      </c>
      <c r="AG30" s="160" t="s">
        <v>593</v>
      </c>
      <c r="AH30" s="161">
        <v>217704</v>
      </c>
      <c r="AI30" s="160">
        <v>0.04</v>
      </c>
      <c r="AJ30" s="161">
        <v>0</v>
      </c>
      <c r="AK30" s="162">
        <v>46203</v>
      </c>
      <c r="AL30" s="160" t="s">
        <v>357</v>
      </c>
      <c r="AM30" s="160" t="s">
        <v>699</v>
      </c>
      <c r="AN30" s="163" t="s">
        <v>700</v>
      </c>
    </row>
    <row r="31" spans="4:40">
      <c r="E31" s="272" t="s">
        <v>7</v>
      </c>
      <c r="F31" s="280">
        <v>7184</v>
      </c>
      <c r="G31" s="280">
        <v>5573</v>
      </c>
      <c r="H31" s="280">
        <v>5719.3125</v>
      </c>
      <c r="I31" s="281">
        <v>6723.1875</v>
      </c>
      <c r="J31" s="52"/>
      <c r="S31" s="53"/>
      <c r="T31" s="353" t="s">
        <v>290</v>
      </c>
      <c r="U31" s="354"/>
      <c r="V31" s="209">
        <v>18895</v>
      </c>
      <c r="W31" s="52"/>
      <c r="AD31" s="53"/>
      <c r="AE31" s="169" t="s">
        <v>735</v>
      </c>
      <c r="AF31" s="160" t="s">
        <v>596</v>
      </c>
      <c r="AG31" s="160" t="s">
        <v>597</v>
      </c>
      <c r="AH31" s="161">
        <v>197800</v>
      </c>
      <c r="AI31" s="160">
        <v>0.04</v>
      </c>
      <c r="AJ31" s="161">
        <v>111900</v>
      </c>
      <c r="AK31" s="162">
        <v>46112</v>
      </c>
      <c r="AL31" s="160" t="s">
        <v>356</v>
      </c>
      <c r="AM31" s="160" t="s">
        <v>720</v>
      </c>
      <c r="AN31" s="163" t="s">
        <v>721</v>
      </c>
    </row>
    <row r="32" spans="4:40">
      <c r="E32" s="272" t="s">
        <v>8</v>
      </c>
      <c r="F32" s="282">
        <v>7360</v>
      </c>
      <c r="G32" s="282">
        <v>5835</v>
      </c>
      <c r="H32" s="282">
        <v>5719.3125</v>
      </c>
      <c r="I32" s="283">
        <v>6723.1875</v>
      </c>
      <c r="J32" s="52"/>
      <c r="S32" s="53"/>
      <c r="T32" s="353" t="s">
        <v>310</v>
      </c>
      <c r="U32" s="354"/>
      <c r="V32" s="138">
        <v>129666.5</v>
      </c>
      <c r="W32" s="139"/>
      <c r="AD32" s="53"/>
      <c r="AE32" s="170" t="s">
        <v>602</v>
      </c>
      <c r="AF32" s="164" t="s">
        <v>584</v>
      </c>
      <c r="AG32" s="164" t="s">
        <v>593</v>
      </c>
      <c r="AH32" s="165">
        <v>185960</v>
      </c>
      <c r="AI32" s="164">
        <v>0.04</v>
      </c>
      <c r="AJ32" s="165">
        <v>0</v>
      </c>
      <c r="AK32" s="166">
        <v>46205</v>
      </c>
      <c r="AL32" s="164" t="s">
        <v>356</v>
      </c>
      <c r="AM32" s="164" t="s">
        <v>586</v>
      </c>
      <c r="AN32" s="167" t="s">
        <v>601</v>
      </c>
    </row>
    <row r="33" spans="4:41">
      <c r="E33" s="114" t="s">
        <v>772</v>
      </c>
      <c r="F33" s="120"/>
      <c r="G33" s="120"/>
      <c r="H33" s="120"/>
      <c r="I33" s="121"/>
      <c r="J33" s="52"/>
      <c r="S33" s="53"/>
      <c r="T33" s="353" t="s">
        <v>311</v>
      </c>
      <c r="U33" s="354"/>
      <c r="V33" s="138">
        <v>154548.79999999999</v>
      </c>
      <c r="W33" s="52"/>
      <c r="AD33" s="53"/>
      <c r="AE33" s="392" t="s">
        <v>359</v>
      </c>
      <c r="AF33" s="393"/>
      <c r="AG33" s="393"/>
      <c r="AH33" s="393"/>
      <c r="AI33" s="393"/>
      <c r="AJ33" s="393"/>
      <c r="AK33" s="393"/>
      <c r="AL33" s="393"/>
      <c r="AM33" s="393"/>
      <c r="AN33" s="394"/>
    </row>
    <row r="34" spans="4:41" ht="15" customHeight="1">
      <c r="E34" s="273"/>
      <c r="F34" s="110" t="s">
        <v>9</v>
      </c>
      <c r="G34" s="110" t="s">
        <v>10</v>
      </c>
      <c r="H34" s="110" t="s">
        <v>11</v>
      </c>
      <c r="I34" s="111" t="s">
        <v>12</v>
      </c>
      <c r="J34" s="52"/>
      <c r="S34" s="53"/>
      <c r="T34" s="353" t="s">
        <v>312</v>
      </c>
      <c r="U34" s="354"/>
      <c r="V34" s="138">
        <v>177807.6</v>
      </c>
      <c r="W34" s="52"/>
      <c r="AD34" s="53"/>
      <c r="AE34" s="171" t="s">
        <v>360</v>
      </c>
      <c r="AF34" s="172" t="s">
        <v>361</v>
      </c>
      <c r="AG34" s="172" t="s">
        <v>362</v>
      </c>
      <c r="AH34" s="172" t="s">
        <v>363</v>
      </c>
      <c r="AI34" s="174" t="s">
        <v>556</v>
      </c>
      <c r="AJ34" s="172" t="s">
        <v>364</v>
      </c>
      <c r="AK34" s="172" t="s">
        <v>365</v>
      </c>
      <c r="AL34" s="172" t="s">
        <v>365</v>
      </c>
      <c r="AM34" s="172" t="s">
        <v>366</v>
      </c>
      <c r="AN34" s="173" t="s">
        <v>367</v>
      </c>
    </row>
    <row r="35" spans="4:41">
      <c r="E35" s="272" t="s">
        <v>773</v>
      </c>
      <c r="F35" s="284">
        <v>1.0257197432401125E-4</v>
      </c>
      <c r="G35" s="284">
        <v>-3.0758972263150535E-4</v>
      </c>
      <c r="H35" s="284">
        <v>-5.1473421334284697E-3</v>
      </c>
      <c r="I35" s="285" t="s">
        <v>180</v>
      </c>
      <c r="J35" s="52"/>
      <c r="S35" s="53"/>
      <c r="T35" s="353"/>
      <c r="U35" s="354"/>
      <c r="V35" s="136"/>
      <c r="W35" s="52"/>
      <c r="AD35" s="53"/>
      <c r="AE35" s="193" t="s">
        <v>774</v>
      </c>
      <c r="AF35" s="175" t="s">
        <v>675</v>
      </c>
      <c r="AG35" s="175" t="s">
        <v>604</v>
      </c>
      <c r="AH35" s="176">
        <v>5</v>
      </c>
      <c r="AI35" s="177" t="s">
        <v>368</v>
      </c>
      <c r="AJ35" s="178">
        <v>40</v>
      </c>
      <c r="AK35" s="175" t="s">
        <v>583</v>
      </c>
      <c r="AL35" s="179">
        <v>46202</v>
      </c>
      <c r="AM35" s="176">
        <v>1</v>
      </c>
      <c r="AN35" s="180">
        <v>23.03</v>
      </c>
      <c r="AO35" s="102">
        <v>40</v>
      </c>
    </row>
    <row r="36" spans="4:41">
      <c r="E36" s="272" t="s">
        <v>775</v>
      </c>
      <c r="F36" s="284">
        <v>-2.8619659021402646E-3</v>
      </c>
      <c r="G36" s="284">
        <v>-2.4809619238476952E-3</v>
      </c>
      <c r="H36" s="284">
        <v>2.3399351537169422E-2</v>
      </c>
      <c r="I36" s="285" t="s">
        <v>180</v>
      </c>
      <c r="J36" s="52"/>
      <c r="S36" s="53"/>
      <c r="T36" s="353" t="s">
        <v>303</v>
      </c>
      <c r="U36" s="354"/>
      <c r="V36" s="136" t="s">
        <v>180</v>
      </c>
      <c r="W36" s="52"/>
      <c r="AD36" s="53"/>
      <c r="AE36" s="194" t="s">
        <v>736</v>
      </c>
      <c r="AF36" s="181" t="s">
        <v>737</v>
      </c>
      <c r="AG36" s="181" t="s">
        <v>604</v>
      </c>
      <c r="AH36" s="182">
        <v>5</v>
      </c>
      <c r="AI36" s="183" t="s">
        <v>368</v>
      </c>
      <c r="AJ36" s="184">
        <v>38</v>
      </c>
      <c r="AK36" s="181" t="s">
        <v>583</v>
      </c>
      <c r="AL36" s="185">
        <v>46199</v>
      </c>
      <c r="AM36" s="182">
        <v>1</v>
      </c>
      <c r="AN36" s="186">
        <v>23.03</v>
      </c>
      <c r="AO36" s="102">
        <v>38</v>
      </c>
    </row>
    <row r="37" spans="4:41">
      <c r="E37" s="272" t="s">
        <v>776</v>
      </c>
      <c r="F37" s="284">
        <v>-2.185099613447138E-4</v>
      </c>
      <c r="G37" s="284">
        <v>-1.116754165222285E-2</v>
      </c>
      <c r="H37" s="284">
        <v>-7.7074994920830007E-3</v>
      </c>
      <c r="I37" s="285" t="s">
        <v>180</v>
      </c>
      <c r="J37" s="52"/>
      <c r="S37" s="53"/>
      <c r="T37" s="353" t="s">
        <v>287</v>
      </c>
      <c r="U37" s="354"/>
      <c r="V37" s="140" t="s">
        <v>758</v>
      </c>
      <c r="W37" s="52"/>
      <c r="AD37" s="53"/>
      <c r="AE37" s="194" t="s">
        <v>676</v>
      </c>
      <c r="AF37" s="181" t="s">
        <v>677</v>
      </c>
      <c r="AG37" s="181" t="s">
        <v>738</v>
      </c>
      <c r="AH37" s="182">
        <v>3</v>
      </c>
      <c r="AI37" s="183" t="s">
        <v>368</v>
      </c>
      <c r="AJ37" s="184">
        <v>36</v>
      </c>
      <c r="AK37" s="181" t="s">
        <v>582</v>
      </c>
      <c r="AL37" s="185">
        <v>46198</v>
      </c>
      <c r="AM37" s="182">
        <v>7</v>
      </c>
      <c r="AN37" s="186">
        <v>0</v>
      </c>
      <c r="AO37" s="102">
        <v>36</v>
      </c>
    </row>
    <row r="38" spans="4:41">
      <c r="E38" s="272" t="s">
        <v>777</v>
      </c>
      <c r="F38" s="284">
        <v>-1.0307386564142567E-3</v>
      </c>
      <c r="G38" s="284">
        <v>-8.4700219154000677E-3</v>
      </c>
      <c r="H38" s="284">
        <v>1.0437893773078197E-2</v>
      </c>
      <c r="I38" s="285" t="s">
        <v>180</v>
      </c>
      <c r="J38" s="52"/>
      <c r="S38" s="53"/>
      <c r="T38" s="355"/>
      <c r="U38" s="356"/>
      <c r="V38" s="211"/>
      <c r="W38" s="52"/>
      <c r="AD38" s="53"/>
      <c r="AE38" s="194" t="s">
        <v>605</v>
      </c>
      <c r="AF38" s="181" t="s">
        <v>678</v>
      </c>
      <c r="AG38" s="181" t="s">
        <v>673</v>
      </c>
      <c r="AH38" s="182">
        <v>3</v>
      </c>
      <c r="AI38" s="183" t="s">
        <v>368</v>
      </c>
      <c r="AJ38" s="184">
        <v>30</v>
      </c>
      <c r="AK38" s="181" t="s">
        <v>582</v>
      </c>
      <c r="AL38" s="185">
        <v>46197</v>
      </c>
      <c r="AM38" s="182">
        <v>-2147483648</v>
      </c>
      <c r="AN38" s="186">
        <v>-2.4245362661989844E-14</v>
      </c>
      <c r="AO38" s="102">
        <v>30</v>
      </c>
    </row>
    <row r="39" spans="4:41">
      <c r="E39" s="274"/>
      <c r="F39" s="286"/>
      <c r="G39" s="286"/>
      <c r="H39" s="286"/>
      <c r="I39" s="290"/>
      <c r="J39" s="100"/>
      <c r="K39" s="141"/>
      <c r="L39" s="141"/>
      <c r="M39" s="141"/>
      <c r="N39" s="141"/>
      <c r="O39" s="141"/>
      <c r="P39" s="141"/>
      <c r="Q39" s="141"/>
      <c r="R39" s="141"/>
      <c r="S39" s="142"/>
      <c r="T39" s="357"/>
      <c r="U39" s="358"/>
      <c r="V39" s="210"/>
      <c r="W39" s="100"/>
      <c r="X39" s="141"/>
      <c r="Y39" s="141"/>
      <c r="Z39" s="141"/>
      <c r="AA39" s="141"/>
      <c r="AB39" s="141"/>
      <c r="AC39" s="141"/>
      <c r="AD39" s="142"/>
      <c r="AE39" s="194" t="s">
        <v>608</v>
      </c>
      <c r="AF39" s="181" t="s">
        <v>679</v>
      </c>
      <c r="AG39" s="181" t="s">
        <v>603</v>
      </c>
      <c r="AH39" s="182">
        <v>5</v>
      </c>
      <c r="AI39" s="183" t="s">
        <v>368</v>
      </c>
      <c r="AJ39" s="184">
        <v>37</v>
      </c>
      <c r="AK39" s="181" t="s">
        <v>582</v>
      </c>
      <c r="AL39" s="185">
        <v>46184</v>
      </c>
      <c r="AM39" s="182">
        <v>-2147483648</v>
      </c>
      <c r="AN39" s="186">
        <v>-2.4245362661989844E-14</v>
      </c>
      <c r="AO39" s="102">
        <v>37</v>
      </c>
    </row>
    <row r="40" spans="4:41">
      <c r="D40" s="134" t="s">
        <v>13</v>
      </c>
      <c r="E40" s="339" t="s">
        <v>292</v>
      </c>
      <c r="F40" s="340"/>
      <c r="G40" s="339"/>
      <c r="H40" s="340"/>
      <c r="I40" s="248"/>
      <c r="J40" s="347" t="s">
        <v>15</v>
      </c>
      <c r="K40" s="348"/>
      <c r="L40" s="213"/>
      <c r="M40" s="214">
        <v>2017</v>
      </c>
      <c r="N40" s="214">
        <v>2018</v>
      </c>
      <c r="O40" s="214">
        <v>2019</v>
      </c>
      <c r="P40" s="214">
        <v>2020</v>
      </c>
      <c r="Q40" s="214">
        <v>2021</v>
      </c>
      <c r="R40" s="214">
        <v>2022</v>
      </c>
      <c r="S40" s="214">
        <v>2023</v>
      </c>
      <c r="T40" s="214">
        <v>2024</v>
      </c>
      <c r="U40" s="215">
        <v>2025</v>
      </c>
      <c r="V40" s="216" t="s">
        <v>16</v>
      </c>
      <c r="W40" s="385" t="s">
        <v>297</v>
      </c>
      <c r="X40" s="386"/>
      <c r="Y40" s="197" t="s">
        <v>51</v>
      </c>
      <c r="Z40" s="197" t="s">
        <v>300</v>
      </c>
      <c r="AA40" s="197" t="s">
        <v>298</v>
      </c>
      <c r="AB40" s="197" t="s">
        <v>299</v>
      </c>
      <c r="AC40" s="197" t="s">
        <v>301</v>
      </c>
      <c r="AD40" s="198" t="s">
        <v>302</v>
      </c>
      <c r="AE40" s="194" t="s">
        <v>609</v>
      </c>
      <c r="AF40" s="181" t="s">
        <v>681</v>
      </c>
      <c r="AG40" s="181" t="s">
        <v>673</v>
      </c>
      <c r="AH40" s="182">
        <v>3</v>
      </c>
      <c r="AI40" s="183" t="s">
        <v>368</v>
      </c>
      <c r="AJ40" s="184">
        <v>34</v>
      </c>
      <c r="AK40" s="181" t="s">
        <v>583</v>
      </c>
      <c r="AL40" s="185">
        <v>46168</v>
      </c>
      <c r="AM40" s="182">
        <v>7</v>
      </c>
      <c r="AN40" s="186">
        <v>0</v>
      </c>
      <c r="AO40" s="102">
        <v>34</v>
      </c>
    </row>
    <row r="41" spans="4:41">
      <c r="E41" s="255"/>
      <c r="F41" s="110">
        <v>2024</v>
      </c>
      <c r="G41" s="110">
        <v>2025</v>
      </c>
      <c r="H41" s="110">
        <v>2026</v>
      </c>
      <c r="I41" s="111">
        <v>2027</v>
      </c>
      <c r="J41" s="345" t="s">
        <v>17</v>
      </c>
      <c r="K41" s="346"/>
      <c r="L41" s="212" t="s">
        <v>71</v>
      </c>
      <c r="M41" s="233" t="s">
        <v>180</v>
      </c>
      <c r="N41" s="233" t="s">
        <v>180</v>
      </c>
      <c r="O41" s="233" t="s">
        <v>180</v>
      </c>
      <c r="P41" s="233">
        <v>-5.4777336399749021E-2</v>
      </c>
      <c r="Q41" s="233">
        <v>-2.0570670205706687E-2</v>
      </c>
      <c r="R41" s="233">
        <v>-0.36178861788617889</v>
      </c>
      <c r="S41" s="233">
        <v>0.50884642604387831</v>
      </c>
      <c r="T41" s="233">
        <v>0.31097560975609762</v>
      </c>
      <c r="U41" s="234">
        <v>9.1234347048300579E-2</v>
      </c>
      <c r="V41" s="219">
        <v>0.10573941895127818</v>
      </c>
      <c r="W41" s="387" t="s">
        <v>778</v>
      </c>
      <c r="X41" s="388"/>
      <c r="Y41" s="199">
        <v>33.5</v>
      </c>
      <c r="Z41" s="200">
        <v>0.12849270000000002</v>
      </c>
      <c r="AA41" s="199" t="s">
        <v>779</v>
      </c>
      <c r="AB41" s="201">
        <v>7.5535512965050726</v>
      </c>
      <c r="AC41" s="200">
        <v>-7.2083078802687842E-2</v>
      </c>
      <c r="AD41" s="202">
        <v>-0.44919786096256692</v>
      </c>
      <c r="AE41" s="194" t="s">
        <v>612</v>
      </c>
      <c r="AF41" s="181" t="s">
        <v>680</v>
      </c>
      <c r="AG41" s="181" t="s">
        <v>613</v>
      </c>
      <c r="AH41" s="182">
        <v>3</v>
      </c>
      <c r="AI41" s="183" t="s">
        <v>368</v>
      </c>
      <c r="AJ41" s="184">
        <v>35</v>
      </c>
      <c r="AK41" s="181" t="s">
        <v>582</v>
      </c>
      <c r="AL41" s="185">
        <v>46164</v>
      </c>
      <c r="AM41" s="182">
        <v>7</v>
      </c>
      <c r="AN41" s="186">
        <v>0</v>
      </c>
      <c r="AO41" s="102">
        <v>35</v>
      </c>
    </row>
    <row r="42" spans="4:41">
      <c r="E42" s="272" t="s">
        <v>768</v>
      </c>
      <c r="F42" s="275">
        <v>1756</v>
      </c>
      <c r="G42" s="275">
        <v>1391</v>
      </c>
      <c r="H42" s="275">
        <v>994</v>
      </c>
      <c r="I42" s="276">
        <v>1707.25</v>
      </c>
      <c r="J42" s="333" t="s">
        <v>780</v>
      </c>
      <c r="K42" s="334"/>
      <c r="L42" s="144"/>
      <c r="M42" s="148">
        <v>0.1251260772088989</v>
      </c>
      <c r="N42" s="148">
        <v>-0.18259372455030487</v>
      </c>
      <c r="O42" s="148">
        <v>0.25476467379363132</v>
      </c>
      <c r="P42" s="148">
        <v>3.5456988861809258E-2</v>
      </c>
      <c r="Q42" s="148">
        <v>0.15789159094321792</v>
      </c>
      <c r="R42" s="148">
        <v>-0.12346788073675186</v>
      </c>
      <c r="S42" s="148">
        <v>0.20311212840941151</v>
      </c>
      <c r="T42" s="148">
        <v>0.18848900764343068</v>
      </c>
      <c r="U42" s="149">
        <v>0.23010888466302415</v>
      </c>
      <c r="V42" s="222">
        <v>0.13122674618446648</v>
      </c>
      <c r="W42" s="349" t="s">
        <v>781</v>
      </c>
      <c r="X42" s="350"/>
      <c r="Y42" s="203">
        <v>329.1</v>
      </c>
      <c r="Z42" s="204">
        <v>0.15704689999999999</v>
      </c>
      <c r="AA42" s="203" t="s">
        <v>782</v>
      </c>
      <c r="AB42" s="124">
        <v>12.119761361125434</v>
      </c>
      <c r="AC42" s="204">
        <v>-9.0416767903784251E-2</v>
      </c>
      <c r="AD42" s="205">
        <v>-0.31638418079096042</v>
      </c>
      <c r="AE42" s="194" t="s">
        <v>718</v>
      </c>
      <c r="AF42" s="181" t="s">
        <v>672</v>
      </c>
      <c r="AG42" s="181" t="s">
        <v>604</v>
      </c>
      <c r="AH42" s="182">
        <v>5</v>
      </c>
      <c r="AI42" s="183" t="s">
        <v>368</v>
      </c>
      <c r="AJ42" s="184">
        <v>38</v>
      </c>
      <c r="AK42" s="181" t="s">
        <v>583</v>
      </c>
      <c r="AL42" s="185">
        <v>46154</v>
      </c>
      <c r="AM42" s="182">
        <v>1</v>
      </c>
      <c r="AN42" s="186">
        <v>23.03</v>
      </c>
      <c r="AO42" s="102">
        <v>38</v>
      </c>
    </row>
    <row r="43" spans="4:41">
      <c r="E43" s="272" t="s">
        <v>769</v>
      </c>
      <c r="F43" s="203">
        <v>1752</v>
      </c>
      <c r="G43" s="203">
        <v>1408</v>
      </c>
      <c r="H43" s="203">
        <v>1394.2857142857144</v>
      </c>
      <c r="I43" s="229">
        <v>1778.75</v>
      </c>
      <c r="J43" s="333" t="s">
        <v>783</v>
      </c>
      <c r="K43" s="334"/>
      <c r="L43" s="144"/>
      <c r="M43" s="148">
        <v>0.25080809205266519</v>
      </c>
      <c r="N43" s="148">
        <v>-5.6302747416787535E-2</v>
      </c>
      <c r="O43" s="148">
        <v>0.22338394321542077</v>
      </c>
      <c r="P43" s="148">
        <v>7.246506816770637E-2</v>
      </c>
      <c r="Q43" s="148">
        <v>0.18727472090877506</v>
      </c>
      <c r="R43" s="148">
        <v>-8.7815060143154766E-2</v>
      </c>
      <c r="S43" s="148">
        <v>0.13703369057764969</v>
      </c>
      <c r="T43" s="148">
        <v>0.12880709077372665</v>
      </c>
      <c r="U43" s="149">
        <v>0.12972549502611641</v>
      </c>
      <c r="V43" s="222">
        <v>9.9005187428622604E-2</v>
      </c>
      <c r="W43" s="349" t="s">
        <v>784</v>
      </c>
      <c r="X43" s="350"/>
      <c r="Y43" s="203">
        <v>42.36</v>
      </c>
      <c r="Z43" s="204">
        <v>0.18739270000000002</v>
      </c>
      <c r="AA43" s="203" t="s">
        <v>785</v>
      </c>
      <c r="AB43" s="124">
        <v>11.989810359467874</v>
      </c>
      <c r="AC43" s="204">
        <v>-9.2539812249616327E-2</v>
      </c>
      <c r="AD43" s="205">
        <v>-0.33200356235429701</v>
      </c>
      <c r="AE43" s="194" t="s">
        <v>682</v>
      </c>
      <c r="AF43" s="181" t="s">
        <v>683</v>
      </c>
      <c r="AG43" s="181" t="s">
        <v>613</v>
      </c>
      <c r="AH43" s="182">
        <v>3</v>
      </c>
      <c r="AI43" s="183" t="s">
        <v>368</v>
      </c>
      <c r="AJ43" s="184">
        <v>34</v>
      </c>
      <c r="AK43" s="181" t="s">
        <v>582</v>
      </c>
      <c r="AL43" s="185">
        <v>46146</v>
      </c>
      <c r="AM43" s="182">
        <v>7</v>
      </c>
      <c r="AN43" s="186">
        <v>0</v>
      </c>
      <c r="AO43" s="102">
        <v>34</v>
      </c>
    </row>
    <row r="44" spans="4:41">
      <c r="E44" s="272" t="s">
        <v>770</v>
      </c>
      <c r="F44" s="203">
        <v>1767</v>
      </c>
      <c r="G44" s="203">
        <v>1339</v>
      </c>
      <c r="H44" s="203">
        <v>1493.2857142857144</v>
      </c>
      <c r="I44" s="229">
        <v>1823.5</v>
      </c>
      <c r="J44" s="335" t="s">
        <v>18</v>
      </c>
      <c r="K44" s="336"/>
      <c r="L44" s="145" t="s">
        <v>90</v>
      </c>
      <c r="M44" s="235">
        <v>0</v>
      </c>
      <c r="N44" s="235">
        <v>0</v>
      </c>
      <c r="O44" s="235">
        <v>4.1814999999999998E-2</v>
      </c>
      <c r="P44" s="235">
        <v>1.106E-2</v>
      </c>
      <c r="Q44" s="235">
        <v>2.2584E-2</v>
      </c>
      <c r="R44" s="235">
        <v>4.9540000000000001E-2</v>
      </c>
      <c r="S44" s="235">
        <v>7.0356000000000002E-2</v>
      </c>
      <c r="T44" s="235">
        <v>6.0823000000000002E-2</v>
      </c>
      <c r="U44" s="236">
        <v>3.0491999999999998E-2</v>
      </c>
      <c r="V44" s="225">
        <v>4.6759000000000002E-2</v>
      </c>
      <c r="W44" s="349" t="s">
        <v>786</v>
      </c>
      <c r="X44" s="350"/>
      <c r="Y44" s="203">
        <v>13.945</v>
      </c>
      <c r="Z44" s="204">
        <v>5.1817520000000006E-2</v>
      </c>
      <c r="AA44" s="203" t="s">
        <v>787</v>
      </c>
      <c r="AB44" s="124">
        <v>12.136640557006093</v>
      </c>
      <c r="AC44" s="204">
        <v>-6.8599569952139838E-2</v>
      </c>
      <c r="AD44" s="205">
        <v>-0.51648351648351654</v>
      </c>
      <c r="AE44" s="194" t="s">
        <v>671</v>
      </c>
      <c r="AF44" s="181" t="s">
        <v>684</v>
      </c>
      <c r="AG44" s="181" t="s">
        <v>603</v>
      </c>
      <c r="AH44" s="182">
        <v>5</v>
      </c>
      <c r="AI44" s="183" t="s">
        <v>368</v>
      </c>
      <c r="AJ44" s="184">
        <v>40</v>
      </c>
      <c r="AK44" s="181" t="s">
        <v>582</v>
      </c>
      <c r="AL44" s="185">
        <v>46142</v>
      </c>
      <c r="AM44" s="182">
        <v>1</v>
      </c>
      <c r="AN44" s="186">
        <v>23.03</v>
      </c>
      <c r="AO44" s="102">
        <v>40</v>
      </c>
    </row>
    <row r="45" spans="4:41">
      <c r="E45" s="272" t="s">
        <v>771</v>
      </c>
      <c r="F45" s="277">
        <v>1909</v>
      </c>
      <c r="G45" s="278">
        <v>1435</v>
      </c>
      <c r="H45" s="278">
        <v>1732.5714285714284</v>
      </c>
      <c r="I45" s="279">
        <v>2187</v>
      </c>
      <c r="J45" s="347" t="s">
        <v>19</v>
      </c>
      <c r="K45" s="348"/>
      <c r="L45" s="214"/>
      <c r="M45" s="214" t="s">
        <v>788</v>
      </c>
      <c r="N45" s="214" t="s">
        <v>789</v>
      </c>
      <c r="O45" s="214" t="s">
        <v>790</v>
      </c>
      <c r="P45" s="214" t="s">
        <v>791</v>
      </c>
      <c r="Q45" s="214" t="s">
        <v>792</v>
      </c>
      <c r="R45" s="214" t="s">
        <v>793</v>
      </c>
      <c r="S45" s="214" t="s">
        <v>794</v>
      </c>
      <c r="T45" s="214" t="s">
        <v>795</v>
      </c>
      <c r="U45" s="215" t="s">
        <v>796</v>
      </c>
      <c r="V45" s="216" t="s">
        <v>273</v>
      </c>
      <c r="W45" s="349" t="s">
        <v>797</v>
      </c>
      <c r="X45" s="350"/>
      <c r="Y45" s="203">
        <v>20.149999999999999</v>
      </c>
      <c r="Z45" s="204">
        <v>0.36247940000000001</v>
      </c>
      <c r="AA45" s="203" t="s">
        <v>798</v>
      </c>
      <c r="AB45" s="124">
        <v>8.6853448275862064</v>
      </c>
      <c r="AC45" s="204">
        <v>-7.5866912268941961E-2</v>
      </c>
      <c r="AD45" s="205">
        <v>-0.34117647058823519</v>
      </c>
      <c r="AE45" s="194" t="s">
        <v>739</v>
      </c>
      <c r="AF45" s="181" t="s">
        <v>740</v>
      </c>
      <c r="AG45" s="181" t="s">
        <v>604</v>
      </c>
      <c r="AH45" s="182">
        <v>5</v>
      </c>
      <c r="AI45" s="183" t="s">
        <v>368</v>
      </c>
      <c r="AJ45" s="184">
        <v>36.33</v>
      </c>
      <c r="AK45" s="181" t="s">
        <v>583</v>
      </c>
      <c r="AL45" s="185">
        <v>46141</v>
      </c>
      <c r="AM45" s="182">
        <v>1</v>
      </c>
      <c r="AN45" s="186">
        <v>23.03</v>
      </c>
      <c r="AO45" s="102">
        <v>36.33</v>
      </c>
    </row>
    <row r="46" spans="4:41">
      <c r="E46" s="272" t="s">
        <v>7</v>
      </c>
      <c r="F46" s="280">
        <v>7184</v>
      </c>
      <c r="G46" s="280">
        <v>5573</v>
      </c>
      <c r="H46" s="280">
        <v>5719.3125</v>
      </c>
      <c r="I46" s="281">
        <v>6723.1875</v>
      </c>
      <c r="J46" s="345" t="s">
        <v>20</v>
      </c>
      <c r="K46" s="346"/>
      <c r="L46" s="212" t="s">
        <v>107</v>
      </c>
      <c r="M46" s="217">
        <v>24366</v>
      </c>
      <c r="N46" s="217">
        <v>25927</v>
      </c>
      <c r="O46" s="217">
        <v>26901</v>
      </c>
      <c r="P46" s="217">
        <v>22580</v>
      </c>
      <c r="Q46" s="217">
        <v>30620</v>
      </c>
      <c r="R46" s="217">
        <v>40335</v>
      </c>
      <c r="S46" s="217">
        <v>46872</v>
      </c>
      <c r="T46" s="217">
        <v>47473</v>
      </c>
      <c r="U46" s="218">
        <v>44051</v>
      </c>
      <c r="V46" s="219">
        <v>0.14300035908841702</v>
      </c>
      <c r="W46" s="349" t="s">
        <v>799</v>
      </c>
      <c r="X46" s="350"/>
      <c r="Y46" s="203">
        <v>80.400000000000006</v>
      </c>
      <c r="Z46" s="204">
        <v>0.32829540000000001</v>
      </c>
      <c r="AA46" s="203" t="s">
        <v>800</v>
      </c>
      <c r="AB46" s="124">
        <v>33.463378907658722</v>
      </c>
      <c r="AC46" s="204">
        <v>0.23525856555236749</v>
      </c>
      <c r="AD46" s="205">
        <v>0.37016574585635359</v>
      </c>
      <c r="AE46" s="194" t="s">
        <v>614</v>
      </c>
      <c r="AF46" s="181" t="s">
        <v>674</v>
      </c>
      <c r="AG46" s="181" t="s">
        <v>673</v>
      </c>
      <c r="AH46" s="182">
        <v>3</v>
      </c>
      <c r="AI46" s="183" t="s">
        <v>369</v>
      </c>
      <c r="AJ46" s="184">
        <v>32.1</v>
      </c>
      <c r="AK46" s="181" t="s">
        <v>582</v>
      </c>
      <c r="AL46" s="185">
        <v>46141</v>
      </c>
      <c r="AM46" s="182">
        <v>7</v>
      </c>
      <c r="AN46" s="186">
        <v>0</v>
      </c>
      <c r="AO46" s="102">
        <v>32.1</v>
      </c>
    </row>
    <row r="47" spans="4:41">
      <c r="E47" s="272" t="s">
        <v>8</v>
      </c>
      <c r="F47" s="282">
        <v>7360</v>
      </c>
      <c r="G47" s="282">
        <v>5835</v>
      </c>
      <c r="H47" s="282">
        <v>5719.3125</v>
      </c>
      <c r="I47" s="283">
        <v>6723.1875</v>
      </c>
      <c r="J47" s="333" t="s">
        <v>14</v>
      </c>
      <c r="K47" s="334"/>
      <c r="L47" s="144" t="s">
        <v>14</v>
      </c>
      <c r="M47" s="220">
        <v>3453</v>
      </c>
      <c r="N47" s="220">
        <v>3406</v>
      </c>
      <c r="O47" s="220">
        <v>4084</v>
      </c>
      <c r="P47" s="220">
        <v>2520</v>
      </c>
      <c r="Q47" s="220">
        <v>3123</v>
      </c>
      <c r="R47" s="220">
        <v>4546</v>
      </c>
      <c r="S47" s="220">
        <v>6624</v>
      </c>
      <c r="T47" s="220">
        <v>7184</v>
      </c>
      <c r="U47" s="221">
        <v>5573</v>
      </c>
      <c r="V47" s="222">
        <v>0.17202722617860178</v>
      </c>
      <c r="W47" s="349" t="s">
        <v>758</v>
      </c>
      <c r="X47" s="350"/>
      <c r="Y47" s="203" t="s">
        <v>758</v>
      </c>
      <c r="Z47" s="204" t="s">
        <v>758</v>
      </c>
      <c r="AA47" s="203" t="s">
        <v>758</v>
      </c>
      <c r="AB47" s="124" t="s">
        <v>758</v>
      </c>
      <c r="AC47" s="204" t="s">
        <v>758</v>
      </c>
      <c r="AD47" s="205" t="s">
        <v>758</v>
      </c>
      <c r="AE47" s="194" t="s">
        <v>741</v>
      </c>
      <c r="AF47" s="181" t="s">
        <v>742</v>
      </c>
      <c r="AG47" s="181" t="s">
        <v>613</v>
      </c>
      <c r="AH47" s="182">
        <v>3</v>
      </c>
      <c r="AI47" s="183" t="s">
        <v>368</v>
      </c>
      <c r="AJ47" s="184">
        <v>32.19</v>
      </c>
      <c r="AK47" s="181" t="s">
        <v>582</v>
      </c>
      <c r="AL47" s="185">
        <v>46141</v>
      </c>
      <c r="AM47" s="182">
        <v>-2147483648</v>
      </c>
      <c r="AN47" s="186">
        <v>-2.4245362661989844E-14</v>
      </c>
      <c r="AO47" s="102">
        <v>32.19</v>
      </c>
    </row>
    <row r="48" spans="4:41">
      <c r="E48" s="114" t="s">
        <v>772</v>
      </c>
      <c r="F48" s="120"/>
      <c r="G48" s="120"/>
      <c r="H48" s="120"/>
      <c r="I48" s="121"/>
      <c r="J48" s="333" t="s">
        <v>21</v>
      </c>
      <c r="K48" s="334"/>
      <c r="L48" s="144" t="s">
        <v>21</v>
      </c>
      <c r="M48" s="220">
        <v>1512</v>
      </c>
      <c r="N48" s="220">
        <v>1513</v>
      </c>
      <c r="O48" s="220">
        <v>1882</v>
      </c>
      <c r="P48" s="220">
        <v>81</v>
      </c>
      <c r="Q48" s="220">
        <v>394</v>
      </c>
      <c r="R48" s="220">
        <v>1564</v>
      </c>
      <c r="S48" s="220">
        <v>3763</v>
      </c>
      <c r="T48" s="220">
        <v>4209</v>
      </c>
      <c r="U48" s="221">
        <v>2426</v>
      </c>
      <c r="V48" s="222">
        <v>0.97370006550391941</v>
      </c>
      <c r="W48" s="349" t="s">
        <v>758</v>
      </c>
      <c r="X48" s="350"/>
      <c r="Y48" s="203" t="s">
        <v>758</v>
      </c>
      <c r="Z48" s="204" t="s">
        <v>758</v>
      </c>
      <c r="AA48" s="203" t="s">
        <v>758</v>
      </c>
      <c r="AB48" s="124" t="s">
        <v>758</v>
      </c>
      <c r="AC48" s="204" t="s">
        <v>758</v>
      </c>
      <c r="AD48" s="205" t="s">
        <v>758</v>
      </c>
      <c r="AE48" s="194" t="s">
        <v>743</v>
      </c>
      <c r="AF48" s="181" t="s">
        <v>744</v>
      </c>
      <c r="AG48" s="181" t="s">
        <v>604</v>
      </c>
      <c r="AH48" s="182">
        <v>5</v>
      </c>
      <c r="AI48" s="183" t="s">
        <v>368</v>
      </c>
      <c r="AJ48" s="184">
        <v>36.79</v>
      </c>
      <c r="AK48" s="181" t="s">
        <v>583</v>
      </c>
      <c r="AL48" s="185">
        <v>46141</v>
      </c>
      <c r="AM48" s="182">
        <v>5</v>
      </c>
      <c r="AN48" s="186">
        <v>6.48</v>
      </c>
      <c r="AO48" s="102">
        <v>36.79</v>
      </c>
    </row>
    <row r="49" spans="5:41">
      <c r="E49" s="273"/>
      <c r="F49" s="110" t="s">
        <v>9</v>
      </c>
      <c r="G49" s="110" t="s">
        <v>10</v>
      </c>
      <c r="H49" s="110" t="s">
        <v>11</v>
      </c>
      <c r="I49" s="111" t="s">
        <v>12</v>
      </c>
      <c r="J49" s="335" t="s">
        <v>22</v>
      </c>
      <c r="K49" s="336"/>
      <c r="L49" s="145" t="s">
        <v>115</v>
      </c>
      <c r="M49" s="223">
        <v>1029</v>
      </c>
      <c r="N49" s="223">
        <v>1390</v>
      </c>
      <c r="O49" s="223">
        <v>1518</v>
      </c>
      <c r="P49" s="223">
        <v>-101</v>
      </c>
      <c r="Q49" s="223">
        <v>457</v>
      </c>
      <c r="R49" s="223">
        <v>1141</v>
      </c>
      <c r="S49" s="223">
        <v>2451</v>
      </c>
      <c r="T49" s="223">
        <v>2804</v>
      </c>
      <c r="U49" s="224">
        <v>1547</v>
      </c>
      <c r="V49" s="225">
        <v>-2.7259721668953438</v>
      </c>
      <c r="W49" s="349" t="s">
        <v>758</v>
      </c>
      <c r="X49" s="350"/>
      <c r="Y49" s="203" t="s">
        <v>758</v>
      </c>
      <c r="Z49" s="204" t="s">
        <v>758</v>
      </c>
      <c r="AA49" s="203" t="s">
        <v>758</v>
      </c>
      <c r="AB49" s="124" t="s">
        <v>758</v>
      </c>
      <c r="AC49" s="204" t="s">
        <v>758</v>
      </c>
      <c r="AD49" s="205" t="s">
        <v>758</v>
      </c>
      <c r="AE49" s="194" t="s">
        <v>745</v>
      </c>
      <c r="AF49" s="181" t="s">
        <v>746</v>
      </c>
      <c r="AG49" s="181" t="s">
        <v>604</v>
      </c>
      <c r="AH49" s="182">
        <v>5</v>
      </c>
      <c r="AI49" s="183" t="s">
        <v>368</v>
      </c>
      <c r="AJ49" s="184">
        <v>36.79</v>
      </c>
      <c r="AK49" s="181" t="s">
        <v>582</v>
      </c>
      <c r="AL49" s="185">
        <v>46141</v>
      </c>
      <c r="AM49" s="182">
        <v>2</v>
      </c>
      <c r="AN49" s="186">
        <v>14.23</v>
      </c>
      <c r="AO49" s="102">
        <v>36.79</v>
      </c>
    </row>
    <row r="50" spans="5:41">
      <c r="E50" s="272" t="s">
        <v>773</v>
      </c>
      <c r="F50" s="284">
        <v>1.0257197432401125E-4</v>
      </c>
      <c r="G50" s="284">
        <v>-3.0758972263150535E-4</v>
      </c>
      <c r="H50" s="284">
        <v>-5.1473421334284697E-3</v>
      </c>
      <c r="I50" s="285" t="s">
        <v>180</v>
      </c>
      <c r="J50" s="343" t="s">
        <v>23</v>
      </c>
      <c r="K50" s="344"/>
      <c r="L50" s="143" t="s">
        <v>102</v>
      </c>
      <c r="M50" s="226">
        <v>2.0579999999999998</v>
      </c>
      <c r="N50" s="226">
        <v>2.78</v>
      </c>
      <c r="O50" s="226">
        <v>3.04</v>
      </c>
      <c r="P50" s="226">
        <v>-0.2</v>
      </c>
      <c r="Q50" s="226">
        <v>0.91</v>
      </c>
      <c r="R50" s="226">
        <v>2.2799999999999998</v>
      </c>
      <c r="S50" s="226">
        <v>4.9000000000000004</v>
      </c>
      <c r="T50" s="226">
        <v>5.61</v>
      </c>
      <c r="U50" s="227">
        <v>3.09</v>
      </c>
      <c r="V50" s="228">
        <v>-2.7289629893661029</v>
      </c>
      <c r="W50" s="349" t="s">
        <v>758</v>
      </c>
      <c r="X50" s="350"/>
      <c r="Y50" s="203" t="s">
        <v>758</v>
      </c>
      <c r="Z50" s="204" t="s">
        <v>758</v>
      </c>
      <c r="AA50" s="203" t="s">
        <v>758</v>
      </c>
      <c r="AB50" s="124" t="s">
        <v>758</v>
      </c>
      <c r="AC50" s="204" t="s">
        <v>758</v>
      </c>
      <c r="AD50" s="205" t="s">
        <v>758</v>
      </c>
      <c r="AE50" s="194" t="s">
        <v>685</v>
      </c>
      <c r="AF50" s="181" t="s">
        <v>686</v>
      </c>
      <c r="AG50" s="181" t="s">
        <v>604</v>
      </c>
      <c r="AH50" s="182">
        <v>5</v>
      </c>
      <c r="AI50" s="183" t="s">
        <v>368</v>
      </c>
      <c r="AJ50" s="184">
        <v>38</v>
      </c>
      <c r="AK50" s="181" t="s">
        <v>582</v>
      </c>
      <c r="AL50" s="185">
        <v>46141</v>
      </c>
      <c r="AM50" s="182">
        <v>3</v>
      </c>
      <c r="AN50" s="186">
        <v>8.7799999999999994</v>
      </c>
      <c r="AO50" s="102">
        <v>38</v>
      </c>
    </row>
    <row r="51" spans="5:41">
      <c r="E51" s="272" t="s">
        <v>775</v>
      </c>
      <c r="F51" s="284">
        <v>-2.8619659021402646E-3</v>
      </c>
      <c r="G51" s="284">
        <v>-2.4809619238476952E-3</v>
      </c>
      <c r="H51" s="284">
        <v>2.3399351537169422E-2</v>
      </c>
      <c r="I51" s="285" t="s">
        <v>180</v>
      </c>
      <c r="J51" s="333" t="s">
        <v>324</v>
      </c>
      <c r="K51" s="334"/>
      <c r="L51" s="144" t="s">
        <v>120</v>
      </c>
      <c r="M51" s="203">
        <v>6</v>
      </c>
      <c r="N51" s="203">
        <v>0</v>
      </c>
      <c r="O51" s="203">
        <v>1</v>
      </c>
      <c r="P51" s="203">
        <v>0.25</v>
      </c>
      <c r="Q51" s="203">
        <v>0.5</v>
      </c>
      <c r="R51" s="203">
        <v>0.7</v>
      </c>
      <c r="S51" s="203">
        <v>1.5</v>
      </c>
      <c r="T51" s="203">
        <v>1.7</v>
      </c>
      <c r="U51" s="229">
        <v>0.93</v>
      </c>
      <c r="V51" s="222">
        <v>0.30049470405023282</v>
      </c>
      <c r="W51" s="349" t="s">
        <v>758</v>
      </c>
      <c r="X51" s="350"/>
      <c r="Y51" s="203" t="s">
        <v>758</v>
      </c>
      <c r="Z51" s="204" t="s">
        <v>758</v>
      </c>
      <c r="AA51" s="203" t="s">
        <v>758</v>
      </c>
      <c r="AB51" s="124" t="s">
        <v>758</v>
      </c>
      <c r="AC51" s="204" t="s">
        <v>758</v>
      </c>
      <c r="AD51" s="205" t="s">
        <v>758</v>
      </c>
      <c r="AE51" s="194" t="s">
        <v>611</v>
      </c>
      <c r="AF51" s="181" t="s">
        <v>687</v>
      </c>
      <c r="AG51" s="181" t="s">
        <v>615</v>
      </c>
      <c r="AH51" s="182">
        <v>1</v>
      </c>
      <c r="AI51" s="183" t="s">
        <v>368</v>
      </c>
      <c r="AJ51" s="184">
        <v>23</v>
      </c>
      <c r="AK51" s="181" t="s">
        <v>582</v>
      </c>
      <c r="AL51" s="185">
        <v>46141</v>
      </c>
      <c r="AM51" s="182">
        <v>10</v>
      </c>
      <c r="AN51" s="186">
        <v>-23.03</v>
      </c>
      <c r="AO51" s="102">
        <v>23</v>
      </c>
    </row>
    <row r="52" spans="5:41">
      <c r="E52" s="272" t="s">
        <v>776</v>
      </c>
      <c r="F52" s="284">
        <v>-2.185099613447138E-4</v>
      </c>
      <c r="G52" s="284">
        <v>-1.116754165222285E-2</v>
      </c>
      <c r="H52" s="284">
        <v>-7.7074994920830007E-3</v>
      </c>
      <c r="I52" s="285" t="s">
        <v>180</v>
      </c>
      <c r="J52" s="333" t="s">
        <v>325</v>
      </c>
      <c r="K52" s="334"/>
      <c r="L52" s="144" t="s">
        <v>391</v>
      </c>
      <c r="M52" s="220">
        <v>500</v>
      </c>
      <c r="N52" s="220">
        <v>500</v>
      </c>
      <c r="O52" s="220">
        <v>500</v>
      </c>
      <c r="P52" s="220">
        <v>500</v>
      </c>
      <c r="Q52" s="220">
        <v>500</v>
      </c>
      <c r="R52" s="220">
        <v>500</v>
      </c>
      <c r="S52" s="220">
        <v>500</v>
      </c>
      <c r="T52" s="220">
        <v>500</v>
      </c>
      <c r="U52" s="221">
        <v>500</v>
      </c>
      <c r="V52" s="222">
        <v>0</v>
      </c>
      <c r="W52" s="349" t="s">
        <v>758</v>
      </c>
      <c r="X52" s="350"/>
      <c r="Y52" s="203" t="s">
        <v>758</v>
      </c>
      <c r="Z52" s="204" t="s">
        <v>758</v>
      </c>
      <c r="AA52" s="203" t="s">
        <v>758</v>
      </c>
      <c r="AB52" s="124" t="s">
        <v>758</v>
      </c>
      <c r="AC52" s="204" t="s">
        <v>758</v>
      </c>
      <c r="AD52" s="205" t="s">
        <v>758</v>
      </c>
      <c r="AE52" s="194" t="s">
        <v>688</v>
      </c>
      <c r="AF52" s="181" t="s">
        <v>689</v>
      </c>
      <c r="AG52" s="181" t="s">
        <v>690</v>
      </c>
      <c r="AH52" s="182">
        <v>2</v>
      </c>
      <c r="AI52" s="183" t="s">
        <v>368</v>
      </c>
      <c r="AJ52" s="184">
        <v>25</v>
      </c>
      <c r="AK52" s="181" t="s">
        <v>582</v>
      </c>
      <c r="AL52" s="185">
        <v>46128</v>
      </c>
      <c r="AM52" s="182">
        <v>10</v>
      </c>
      <c r="AN52" s="186">
        <v>-23.03</v>
      </c>
      <c r="AO52" s="102">
        <v>25</v>
      </c>
    </row>
    <row r="53" spans="5:41">
      <c r="E53" s="272" t="s">
        <v>777</v>
      </c>
      <c r="F53" s="284">
        <v>-1.0307386564142567E-3</v>
      </c>
      <c r="G53" s="284">
        <v>-8.4700219154000677E-3</v>
      </c>
      <c r="H53" s="284">
        <v>1.0437893773078197E-2</v>
      </c>
      <c r="I53" s="285" t="s">
        <v>180</v>
      </c>
      <c r="J53" s="335" t="s">
        <v>132</v>
      </c>
      <c r="K53" s="336"/>
      <c r="L53" s="145" t="s">
        <v>128</v>
      </c>
      <c r="M53" s="206" t="s">
        <v>180</v>
      </c>
      <c r="N53" s="206">
        <v>33.597999999999999</v>
      </c>
      <c r="O53" s="206">
        <v>27.728000000000002</v>
      </c>
      <c r="P53" s="206">
        <v>25.878</v>
      </c>
      <c r="Q53" s="206">
        <v>26.885999999999999</v>
      </c>
      <c r="R53" s="206">
        <v>28.736000000000001</v>
      </c>
      <c r="S53" s="206">
        <v>32.963999999999999</v>
      </c>
      <c r="T53" s="206">
        <v>35.673999999999999</v>
      </c>
      <c r="U53" s="230">
        <v>37.268000000000001</v>
      </c>
      <c r="V53" s="225">
        <v>7.5675001111835671E-2</v>
      </c>
      <c r="W53" s="349" t="s">
        <v>758</v>
      </c>
      <c r="X53" s="350"/>
      <c r="Y53" s="203" t="s">
        <v>758</v>
      </c>
      <c r="Z53" s="204" t="s">
        <v>758</v>
      </c>
      <c r="AA53" s="203" t="s">
        <v>758</v>
      </c>
      <c r="AB53" s="124" t="s">
        <v>758</v>
      </c>
      <c r="AC53" s="204" t="s">
        <v>758</v>
      </c>
      <c r="AD53" s="205" t="s">
        <v>758</v>
      </c>
      <c r="AE53" s="194" t="s">
        <v>747</v>
      </c>
      <c r="AF53" s="181" t="s">
        <v>748</v>
      </c>
      <c r="AG53" s="181" t="s">
        <v>613</v>
      </c>
      <c r="AH53" s="182">
        <v>3</v>
      </c>
      <c r="AI53" s="183" t="s">
        <v>368</v>
      </c>
      <c r="AJ53" s="184">
        <v>25</v>
      </c>
      <c r="AK53" s="181" t="s">
        <v>583</v>
      </c>
      <c r="AL53" s="185">
        <v>46087</v>
      </c>
      <c r="AM53" s="182">
        <v>6</v>
      </c>
      <c r="AN53" s="186">
        <v>0.36</v>
      </c>
      <c r="AO53" s="102">
        <v>25</v>
      </c>
    </row>
    <row r="54" spans="5:41">
      <c r="E54" s="274"/>
      <c r="F54" s="286"/>
      <c r="G54" s="287"/>
      <c r="H54" s="288"/>
      <c r="I54" s="289"/>
      <c r="J54" s="343" t="s">
        <v>323</v>
      </c>
      <c r="K54" s="344"/>
      <c r="L54" s="143" t="s">
        <v>392</v>
      </c>
      <c r="M54" s="231">
        <v>4594</v>
      </c>
      <c r="N54" s="231">
        <v>2997</v>
      </c>
      <c r="O54" s="231">
        <v>1913</v>
      </c>
      <c r="P54" s="231">
        <v>1714</v>
      </c>
      <c r="Q54" s="231">
        <v>2002</v>
      </c>
      <c r="R54" s="231">
        <v>1439</v>
      </c>
      <c r="S54" s="231">
        <v>1731</v>
      </c>
      <c r="T54" s="231">
        <v>2542</v>
      </c>
      <c r="U54" s="232">
        <v>2805</v>
      </c>
      <c r="V54" s="228">
        <v>0.10353067446566211</v>
      </c>
      <c r="W54" s="349" t="s">
        <v>758</v>
      </c>
      <c r="X54" s="350"/>
      <c r="Y54" s="203" t="s">
        <v>758</v>
      </c>
      <c r="Z54" s="204" t="s">
        <v>758</v>
      </c>
      <c r="AA54" s="203" t="s">
        <v>758</v>
      </c>
      <c r="AB54" s="124" t="s">
        <v>758</v>
      </c>
      <c r="AC54" s="204" t="s">
        <v>758</v>
      </c>
      <c r="AD54" s="205" t="s">
        <v>758</v>
      </c>
      <c r="AE54" s="194" t="s">
        <v>691</v>
      </c>
      <c r="AF54" s="181" t="s">
        <v>692</v>
      </c>
      <c r="AG54" s="181" t="s">
        <v>604</v>
      </c>
      <c r="AH54" s="182">
        <v>5</v>
      </c>
      <c r="AI54" s="183" t="s">
        <v>368</v>
      </c>
      <c r="AJ54" s="184">
        <v>48</v>
      </c>
      <c r="AK54" s="181" t="s">
        <v>583</v>
      </c>
      <c r="AL54" s="185">
        <v>46086</v>
      </c>
      <c r="AM54" s="182">
        <v>1</v>
      </c>
      <c r="AN54" s="186">
        <v>23.03</v>
      </c>
      <c r="AO54" s="102">
        <v>48</v>
      </c>
    </row>
    <row r="55" spans="5:41">
      <c r="E55" s="359" t="s">
        <v>516</v>
      </c>
      <c r="F55" s="360"/>
      <c r="G55" s="360"/>
      <c r="H55" s="360"/>
      <c r="I55" s="361"/>
      <c r="J55" s="333" t="s">
        <v>27</v>
      </c>
      <c r="K55" s="334"/>
      <c r="L55" s="144" t="s">
        <v>133</v>
      </c>
      <c r="M55" s="220">
        <v>46570</v>
      </c>
      <c r="N55" s="220">
        <v>46384</v>
      </c>
      <c r="O55" s="220">
        <v>45183</v>
      </c>
      <c r="P55" s="220">
        <v>42767</v>
      </c>
      <c r="Q55" s="220">
        <v>55121</v>
      </c>
      <c r="R55" s="220">
        <v>58256</v>
      </c>
      <c r="S55" s="220">
        <v>61699</v>
      </c>
      <c r="T55" s="220">
        <v>65547</v>
      </c>
      <c r="U55" s="221">
        <v>68202</v>
      </c>
      <c r="V55" s="222">
        <v>9.7836497430733749E-2</v>
      </c>
      <c r="W55" s="349" t="s">
        <v>758</v>
      </c>
      <c r="X55" s="350"/>
      <c r="Y55" s="203" t="s">
        <v>758</v>
      </c>
      <c r="Z55" s="204" t="s">
        <v>758</v>
      </c>
      <c r="AA55" s="203" t="s">
        <v>758</v>
      </c>
      <c r="AB55" s="124" t="s">
        <v>758</v>
      </c>
      <c r="AC55" s="204" t="s">
        <v>758</v>
      </c>
      <c r="AD55" s="205" t="s">
        <v>758</v>
      </c>
      <c r="AE55" s="194" t="s">
        <v>587</v>
      </c>
      <c r="AF55" s="181" t="s">
        <v>607</v>
      </c>
      <c r="AG55" s="181" t="s">
        <v>749</v>
      </c>
      <c r="AH55" s="182">
        <v>1</v>
      </c>
      <c r="AI55" s="183" t="s">
        <v>368</v>
      </c>
      <c r="AJ55" s="184">
        <v>34</v>
      </c>
      <c r="AK55" s="181" t="s">
        <v>583</v>
      </c>
      <c r="AL55" s="185">
        <v>46085</v>
      </c>
      <c r="AM55" s="182">
        <v>8</v>
      </c>
      <c r="AN55" s="186">
        <v>-8.7799999999999994</v>
      </c>
      <c r="AO55" s="102">
        <v>34</v>
      </c>
    </row>
    <row r="56" spans="5:41">
      <c r="E56" s="254"/>
      <c r="F56" s="110" t="s">
        <v>182</v>
      </c>
      <c r="G56" s="110" t="s">
        <v>183</v>
      </c>
      <c r="H56" s="110" t="s">
        <v>184</v>
      </c>
      <c r="I56" s="111" t="s">
        <v>185</v>
      </c>
      <c r="J56" s="333" t="s">
        <v>31</v>
      </c>
      <c r="K56" s="334"/>
      <c r="L56" s="144" t="s">
        <v>321</v>
      </c>
      <c r="M56" s="220">
        <v>-455</v>
      </c>
      <c r="N56" s="220">
        <v>4165</v>
      </c>
      <c r="O56" s="220">
        <v>200</v>
      </c>
      <c r="P56" s="220">
        <v>-1058</v>
      </c>
      <c r="Q56" s="220">
        <v>-3617</v>
      </c>
      <c r="R56" s="220">
        <v>-3526</v>
      </c>
      <c r="S56" s="220">
        <v>-1268</v>
      </c>
      <c r="T56" s="220">
        <v>-456</v>
      </c>
      <c r="U56" s="221">
        <v>-1472</v>
      </c>
      <c r="V56" s="222">
        <v>6.8278353688437932E-2</v>
      </c>
      <c r="W56" s="349" t="s">
        <v>758</v>
      </c>
      <c r="X56" s="350"/>
      <c r="Y56" s="203" t="s">
        <v>758</v>
      </c>
      <c r="Z56" s="204" t="s">
        <v>758</v>
      </c>
      <c r="AA56" s="203" t="s">
        <v>758</v>
      </c>
      <c r="AB56" s="124" t="s">
        <v>758</v>
      </c>
      <c r="AC56" s="204" t="s">
        <v>758</v>
      </c>
      <c r="AD56" s="205" t="s">
        <v>758</v>
      </c>
      <c r="AE56" s="194" t="s">
        <v>617</v>
      </c>
      <c r="AF56" s="181" t="s">
        <v>618</v>
      </c>
      <c r="AG56" s="181" t="s">
        <v>613</v>
      </c>
      <c r="AH56" s="182">
        <v>3</v>
      </c>
      <c r="AI56" s="183" t="s">
        <v>369</v>
      </c>
      <c r="AJ56" s="184">
        <v>30.38</v>
      </c>
      <c r="AK56" s="181" t="s">
        <v>582</v>
      </c>
      <c r="AL56" s="185">
        <v>46041</v>
      </c>
      <c r="AM56" s="182">
        <v>4</v>
      </c>
      <c r="AN56" s="186">
        <v>8.64</v>
      </c>
      <c r="AO56" s="102">
        <v>30.38</v>
      </c>
    </row>
    <row r="57" spans="5:41">
      <c r="E57" s="246" t="s">
        <v>20</v>
      </c>
      <c r="F57" s="264">
        <v>-7.2083078802687828E-2</v>
      </c>
      <c r="G57" s="264">
        <v>2.9811894025766561E-2</v>
      </c>
      <c r="H57" s="264">
        <v>0.14300035908841702</v>
      </c>
      <c r="I57" s="265">
        <v>0.77786810398616502</v>
      </c>
      <c r="J57" s="335" t="s">
        <v>33</v>
      </c>
      <c r="K57" s="336"/>
      <c r="L57" s="145" t="s">
        <v>322</v>
      </c>
      <c r="M57" s="223">
        <v>7784</v>
      </c>
      <c r="N57" s="223">
        <v>7782</v>
      </c>
      <c r="O57" s="223">
        <v>8570</v>
      </c>
      <c r="P57" s="223">
        <v>8235</v>
      </c>
      <c r="Q57" s="223">
        <v>14610</v>
      </c>
      <c r="R57" s="223">
        <v>15137</v>
      </c>
      <c r="S57" s="223">
        <v>16216</v>
      </c>
      <c r="T57" s="223">
        <v>17729</v>
      </c>
      <c r="U57" s="224">
        <v>18520</v>
      </c>
      <c r="V57" s="225">
        <v>0.17596792343957879</v>
      </c>
      <c r="W57" s="349" t="s">
        <v>758</v>
      </c>
      <c r="X57" s="350"/>
      <c r="Y57" s="203" t="s">
        <v>758</v>
      </c>
      <c r="Z57" s="204" t="s">
        <v>758</v>
      </c>
      <c r="AA57" s="203" t="s">
        <v>758</v>
      </c>
      <c r="AB57" s="124" t="s">
        <v>758</v>
      </c>
      <c r="AC57" s="204" t="s">
        <v>758</v>
      </c>
      <c r="AD57" s="205" t="s">
        <v>758</v>
      </c>
      <c r="AE57" s="194" t="s">
        <v>610</v>
      </c>
      <c r="AF57" s="181" t="s">
        <v>693</v>
      </c>
      <c r="AG57" s="181" t="s">
        <v>694</v>
      </c>
      <c r="AH57" s="182">
        <v>3</v>
      </c>
      <c r="AI57" s="183" t="s">
        <v>368</v>
      </c>
      <c r="AJ57" s="184">
        <v>38</v>
      </c>
      <c r="AK57" s="181" t="s">
        <v>582</v>
      </c>
      <c r="AL57" s="185">
        <v>45937</v>
      </c>
      <c r="AM57" s="182">
        <v>7</v>
      </c>
      <c r="AN57" s="186">
        <v>0</v>
      </c>
      <c r="AO57" s="102">
        <v>38</v>
      </c>
    </row>
    <row r="58" spans="5:41">
      <c r="E58" s="246" t="s">
        <v>21</v>
      </c>
      <c r="F58" s="264">
        <v>-0.42361606082204795</v>
      </c>
      <c r="G58" s="264">
        <v>0.15758089180628065</v>
      </c>
      <c r="H58" s="264">
        <v>0.97370006550391941</v>
      </c>
      <c r="I58" s="265">
        <v>0.85700954551539965</v>
      </c>
      <c r="J58" s="343" t="s">
        <v>319</v>
      </c>
      <c r="K58" s="344"/>
      <c r="L58" s="143" t="s">
        <v>393</v>
      </c>
      <c r="M58" s="231">
        <v>726</v>
      </c>
      <c r="N58" s="231">
        <v>382</v>
      </c>
      <c r="O58" s="231">
        <v>1088</v>
      </c>
      <c r="P58" s="231">
        <v>1987</v>
      </c>
      <c r="Q58" s="231">
        <v>1534</v>
      </c>
      <c r="R58" s="231">
        <v>-661</v>
      </c>
      <c r="S58" s="231">
        <v>2583</v>
      </c>
      <c r="T58" s="231">
        <v>2341</v>
      </c>
      <c r="U58" s="232">
        <v>901</v>
      </c>
      <c r="V58" s="219">
        <v>-0.14629979683885685</v>
      </c>
      <c r="W58" s="349" t="s">
        <v>758</v>
      </c>
      <c r="X58" s="350"/>
      <c r="Y58" s="203" t="s">
        <v>758</v>
      </c>
      <c r="Z58" s="204" t="s">
        <v>758</v>
      </c>
      <c r="AA58" s="203" t="s">
        <v>758</v>
      </c>
      <c r="AB58" s="124" t="s">
        <v>758</v>
      </c>
      <c r="AC58" s="204" t="s">
        <v>758</v>
      </c>
      <c r="AD58" s="205" t="s">
        <v>758</v>
      </c>
      <c r="AE58" s="194" t="s">
        <v>619</v>
      </c>
      <c r="AF58" s="181" t="s">
        <v>620</v>
      </c>
      <c r="AG58" s="181" t="s">
        <v>604</v>
      </c>
      <c r="AH58" s="182">
        <v>5</v>
      </c>
      <c r="AI58" s="183" t="s">
        <v>616</v>
      </c>
      <c r="AJ58" s="184">
        <v>33.700000000000003</v>
      </c>
      <c r="AK58" s="181" t="s">
        <v>583</v>
      </c>
      <c r="AL58" s="185">
        <v>45835</v>
      </c>
      <c r="AM58" s="182">
        <v>1</v>
      </c>
      <c r="AN58" s="186">
        <v>23.03</v>
      </c>
      <c r="AO58" s="102">
        <v>33.700000000000003</v>
      </c>
    </row>
    <row r="59" spans="5:41">
      <c r="E59" s="246" t="s">
        <v>14</v>
      </c>
      <c r="F59" s="264">
        <v>-0.22424832962138086</v>
      </c>
      <c r="G59" s="264">
        <v>7.0253205413643549E-2</v>
      </c>
      <c r="H59" s="264">
        <v>0.17202722617860178</v>
      </c>
      <c r="I59" s="265" t="s">
        <v>758</v>
      </c>
      <c r="J59" s="333" t="s">
        <v>269</v>
      </c>
      <c r="K59" s="334"/>
      <c r="L59" s="144" t="s">
        <v>320</v>
      </c>
      <c r="M59" s="220">
        <v>-849</v>
      </c>
      <c r="N59" s="220">
        <v>-935</v>
      </c>
      <c r="O59" s="220">
        <v>-997</v>
      </c>
      <c r="P59" s="220">
        <v>-995</v>
      </c>
      <c r="Q59" s="220">
        <v>-1131</v>
      </c>
      <c r="R59" s="220">
        <v>-1305</v>
      </c>
      <c r="S59" s="220">
        <v>-1522</v>
      </c>
      <c r="T59" s="220">
        <v>-1763</v>
      </c>
      <c r="U59" s="221">
        <v>-1576</v>
      </c>
      <c r="V59" s="222">
        <v>9.6343450467939462E-2</v>
      </c>
      <c r="W59" s="349" t="s">
        <v>758</v>
      </c>
      <c r="X59" s="350"/>
      <c r="Y59" s="203" t="s">
        <v>758</v>
      </c>
      <c r="Z59" s="204" t="s">
        <v>758</v>
      </c>
      <c r="AA59" s="203" t="s">
        <v>758</v>
      </c>
      <c r="AB59" s="124" t="s">
        <v>758</v>
      </c>
      <c r="AC59" s="204" t="s">
        <v>758</v>
      </c>
      <c r="AD59" s="205" t="s">
        <v>758</v>
      </c>
      <c r="AE59" s="194" t="s">
        <v>695</v>
      </c>
      <c r="AF59" s="181" t="s">
        <v>618</v>
      </c>
      <c r="AG59" s="181" t="s">
        <v>606</v>
      </c>
      <c r="AH59" s="182">
        <v>5</v>
      </c>
      <c r="AI59" s="183" t="s">
        <v>368</v>
      </c>
      <c r="AJ59" s="184">
        <v>-2.4245362661989844E-14</v>
      </c>
      <c r="AK59" s="181" t="s">
        <v>582</v>
      </c>
      <c r="AL59" s="185">
        <v>45541</v>
      </c>
      <c r="AM59" s="182">
        <v>1</v>
      </c>
      <c r="AN59" s="186">
        <v>23.03</v>
      </c>
      <c r="AO59" s="102">
        <v>-2.4245362661989844E-14</v>
      </c>
    </row>
    <row r="60" spans="5:41">
      <c r="E60" s="266" t="s">
        <v>22</v>
      </c>
      <c r="F60" s="264">
        <v>-0.44828815977175462</v>
      </c>
      <c r="G60" s="264">
        <v>0.10679763658573926</v>
      </c>
      <c r="H60" s="264">
        <v>-2.7259721668953438</v>
      </c>
      <c r="I60" s="265" t="s">
        <v>758</v>
      </c>
      <c r="J60" s="335" t="s">
        <v>37</v>
      </c>
      <c r="K60" s="336"/>
      <c r="L60" s="145" t="s">
        <v>143</v>
      </c>
      <c r="M60" s="223">
        <v>-123</v>
      </c>
      <c r="N60" s="223">
        <v>-553</v>
      </c>
      <c r="O60" s="223">
        <v>91</v>
      </c>
      <c r="P60" s="223">
        <v>992</v>
      </c>
      <c r="Q60" s="223">
        <v>403</v>
      </c>
      <c r="R60" s="223">
        <v>-1966</v>
      </c>
      <c r="S60" s="223">
        <v>1061</v>
      </c>
      <c r="T60" s="223">
        <v>578</v>
      </c>
      <c r="U60" s="224">
        <v>-675</v>
      </c>
      <c r="V60" s="225">
        <v>-1.9258879247184049</v>
      </c>
      <c r="W60" s="349" t="s">
        <v>758</v>
      </c>
      <c r="X60" s="350"/>
      <c r="Y60" s="203" t="s">
        <v>758</v>
      </c>
      <c r="Z60" s="204" t="s">
        <v>758</v>
      </c>
      <c r="AA60" s="203" t="s">
        <v>758</v>
      </c>
      <c r="AB60" s="124" t="s">
        <v>758</v>
      </c>
      <c r="AC60" s="204" t="s">
        <v>758</v>
      </c>
      <c r="AD60" s="205" t="s">
        <v>758</v>
      </c>
      <c r="AE60" s="194" t="s">
        <v>750</v>
      </c>
      <c r="AF60" s="181" t="s">
        <v>751</v>
      </c>
      <c r="AG60" s="181" t="s">
        <v>613</v>
      </c>
      <c r="AH60" s="182">
        <v>3</v>
      </c>
      <c r="AI60" s="183" t="s">
        <v>368</v>
      </c>
      <c r="AJ60" s="184">
        <v>24</v>
      </c>
      <c r="AK60" s="181" t="s">
        <v>583</v>
      </c>
      <c r="AL60" s="185">
        <v>44501</v>
      </c>
      <c r="AM60" s="182">
        <v>7</v>
      </c>
      <c r="AN60" s="186">
        <v>0</v>
      </c>
      <c r="AO60" s="102">
        <v>24</v>
      </c>
    </row>
    <row r="61" spans="5:41">
      <c r="E61" s="271" t="s">
        <v>23</v>
      </c>
      <c r="F61" s="264">
        <v>-0.44919786096256686</v>
      </c>
      <c r="G61" s="264">
        <v>0.10664385671722121</v>
      </c>
      <c r="H61" s="264">
        <v>-2.7289629893661029</v>
      </c>
      <c r="I61" s="265" t="s">
        <v>758</v>
      </c>
      <c r="J61" s="347" t="s">
        <v>272</v>
      </c>
      <c r="K61" s="348"/>
      <c r="L61" s="214"/>
      <c r="M61" s="214" t="s">
        <v>788</v>
      </c>
      <c r="N61" s="214" t="s">
        <v>789</v>
      </c>
      <c r="O61" s="214" t="s">
        <v>790</v>
      </c>
      <c r="P61" s="214" t="s">
        <v>791</v>
      </c>
      <c r="Q61" s="214" t="s">
        <v>792</v>
      </c>
      <c r="R61" s="214" t="s">
        <v>793</v>
      </c>
      <c r="S61" s="214" t="s">
        <v>794</v>
      </c>
      <c r="T61" s="214" t="s">
        <v>795</v>
      </c>
      <c r="U61" s="215" t="s">
        <v>796</v>
      </c>
      <c r="V61" s="216" t="s">
        <v>16</v>
      </c>
      <c r="W61" s="349" t="s">
        <v>758</v>
      </c>
      <c r="X61" s="350"/>
      <c r="Y61" s="203" t="s">
        <v>758</v>
      </c>
      <c r="Z61" s="204" t="s">
        <v>758</v>
      </c>
      <c r="AA61" s="203" t="s">
        <v>758</v>
      </c>
      <c r="AB61" s="124" t="s">
        <v>758</v>
      </c>
      <c r="AC61" s="204" t="s">
        <v>758</v>
      </c>
      <c r="AD61" s="205" t="s">
        <v>758</v>
      </c>
      <c r="AE61" s="194"/>
      <c r="AF61" s="181"/>
      <c r="AG61" s="181"/>
      <c r="AH61" s="182"/>
      <c r="AI61" s="183"/>
      <c r="AJ61" s="184" t="s">
        <v>758</v>
      </c>
      <c r="AK61" s="181"/>
      <c r="AL61" s="185"/>
      <c r="AM61" s="182"/>
      <c r="AN61" s="186"/>
    </row>
    <row r="62" spans="5:41">
      <c r="E62" s="246" t="s">
        <v>24</v>
      </c>
      <c r="F62" s="264">
        <v>-0.45294117647058818</v>
      </c>
      <c r="G62" s="264">
        <v>9.9330564737644345E-2</v>
      </c>
      <c r="H62" s="264">
        <v>0.30049470405023282</v>
      </c>
      <c r="I62" s="265" t="s">
        <v>758</v>
      </c>
      <c r="J62" s="345" t="s">
        <v>252</v>
      </c>
      <c r="K62" s="346"/>
      <c r="L62" s="212" t="s">
        <v>279</v>
      </c>
      <c r="M62" s="233">
        <v>0.19342500000000001</v>
      </c>
      <c r="N62" s="233">
        <v>0.19211600000000001</v>
      </c>
      <c r="O62" s="233">
        <v>0.19638700000000001</v>
      </c>
      <c r="P62" s="233">
        <v>0.15318899999999999</v>
      </c>
      <c r="Q62" s="233">
        <v>0.18082999999999999</v>
      </c>
      <c r="R62" s="233">
        <v>0.16990200000000003</v>
      </c>
      <c r="S62" s="233">
        <v>0.197133</v>
      </c>
      <c r="T62" s="233">
        <v>0.21275300000000003</v>
      </c>
      <c r="U62" s="234">
        <v>0.19116499999999997</v>
      </c>
      <c r="V62" s="219">
        <v>0.19035660000000001</v>
      </c>
      <c r="W62" s="349" t="s">
        <v>758</v>
      </c>
      <c r="X62" s="350"/>
      <c r="Y62" s="203" t="s">
        <v>758</v>
      </c>
      <c r="Z62" s="204" t="s">
        <v>758</v>
      </c>
      <c r="AA62" s="203" t="s">
        <v>758</v>
      </c>
      <c r="AB62" s="124" t="s">
        <v>758</v>
      </c>
      <c r="AC62" s="204" t="s">
        <v>758</v>
      </c>
      <c r="AD62" s="205" t="s">
        <v>758</v>
      </c>
      <c r="AE62" s="194"/>
      <c r="AF62" s="181"/>
      <c r="AG62" s="181"/>
      <c r="AH62" s="182"/>
      <c r="AI62" s="183"/>
      <c r="AJ62" s="184" t="s">
        <v>758</v>
      </c>
      <c r="AK62" s="181"/>
      <c r="AL62" s="185"/>
      <c r="AM62" s="182"/>
      <c r="AN62" s="186"/>
    </row>
    <row r="63" spans="5:41">
      <c r="E63" s="246" t="s">
        <v>25</v>
      </c>
      <c r="F63" s="264">
        <v>4.4682401749173151E-2</v>
      </c>
      <c r="G63" s="264">
        <v>9.0527421872295344E-2</v>
      </c>
      <c r="H63" s="264">
        <v>7.5675001111835671E-2</v>
      </c>
      <c r="I63" s="265" t="s">
        <v>758</v>
      </c>
      <c r="J63" s="333" t="s">
        <v>274</v>
      </c>
      <c r="K63" s="334"/>
      <c r="L63" s="144" t="s">
        <v>280</v>
      </c>
      <c r="M63" s="148">
        <v>0.14171400000000001</v>
      </c>
      <c r="N63" s="148">
        <v>0.13136900000000001</v>
      </c>
      <c r="O63" s="148">
        <v>0.15181600000000001</v>
      </c>
      <c r="P63" s="148">
        <v>0.11160299999999999</v>
      </c>
      <c r="Q63" s="148">
        <v>0.101992</v>
      </c>
      <c r="R63" s="148">
        <v>0.112706</v>
      </c>
      <c r="S63" s="148">
        <v>0.141321</v>
      </c>
      <c r="T63" s="148">
        <v>0.15132799999999999</v>
      </c>
      <c r="U63" s="149">
        <v>0.12651199999999999</v>
      </c>
      <c r="V63" s="222">
        <v>0.12677179999999999</v>
      </c>
      <c r="W63" s="349" t="s">
        <v>758</v>
      </c>
      <c r="X63" s="350"/>
      <c r="Y63" s="203" t="s">
        <v>758</v>
      </c>
      <c r="Z63" s="204" t="s">
        <v>758</v>
      </c>
      <c r="AA63" s="203" t="s">
        <v>758</v>
      </c>
      <c r="AB63" s="124" t="s">
        <v>758</v>
      </c>
      <c r="AC63" s="204" t="s">
        <v>758</v>
      </c>
      <c r="AD63" s="205" t="s">
        <v>758</v>
      </c>
      <c r="AE63" s="194"/>
      <c r="AF63" s="181"/>
      <c r="AG63" s="181"/>
      <c r="AH63" s="182"/>
      <c r="AI63" s="183"/>
      <c r="AJ63" s="184" t="s">
        <v>758</v>
      </c>
      <c r="AK63" s="181"/>
      <c r="AL63" s="185"/>
      <c r="AM63" s="182"/>
      <c r="AN63" s="186"/>
    </row>
    <row r="64" spans="5:41">
      <c r="E64" s="247" t="s">
        <v>37</v>
      </c>
      <c r="F64" s="264">
        <v>-2.1678200692041525</v>
      </c>
      <c r="G64" s="264">
        <v>-0.29977101075811818</v>
      </c>
      <c r="H64" s="264">
        <v>-1.9258879247184049</v>
      </c>
      <c r="I64" s="265" t="s">
        <v>758</v>
      </c>
      <c r="J64" s="333" t="s">
        <v>275</v>
      </c>
      <c r="K64" s="334"/>
      <c r="L64" s="144" t="s">
        <v>281</v>
      </c>
      <c r="M64" s="148">
        <v>6.2053999999999998E-2</v>
      </c>
      <c r="N64" s="148">
        <v>5.8356000000000005E-2</v>
      </c>
      <c r="O64" s="148">
        <v>6.9960000000000008E-2</v>
      </c>
      <c r="P64" s="148">
        <v>3.5870000000000003E-3</v>
      </c>
      <c r="Q64" s="148">
        <v>1.2867E-2</v>
      </c>
      <c r="R64" s="148">
        <v>3.8774999999999997E-2</v>
      </c>
      <c r="S64" s="148">
        <v>8.0282000000000006E-2</v>
      </c>
      <c r="T64" s="148">
        <v>8.866099999999999E-2</v>
      </c>
      <c r="U64" s="149">
        <v>5.5072999999999997E-2</v>
      </c>
      <c r="V64" s="222">
        <v>5.5131599999999989E-2</v>
      </c>
      <c r="W64" s="349" t="s">
        <v>758</v>
      </c>
      <c r="X64" s="350"/>
      <c r="Y64" s="203" t="s">
        <v>758</v>
      </c>
      <c r="Z64" s="204" t="s">
        <v>758</v>
      </c>
      <c r="AA64" s="203" t="s">
        <v>758</v>
      </c>
      <c r="AB64" s="124" t="s">
        <v>758</v>
      </c>
      <c r="AC64" s="204" t="s">
        <v>758</v>
      </c>
      <c r="AD64" s="205" t="s">
        <v>758</v>
      </c>
      <c r="AE64" s="194"/>
      <c r="AF64" s="181"/>
      <c r="AG64" s="181"/>
      <c r="AH64" s="182"/>
      <c r="AI64" s="183"/>
      <c r="AJ64" s="184" t="s">
        <v>758</v>
      </c>
      <c r="AK64" s="181"/>
      <c r="AL64" s="185"/>
      <c r="AM64" s="182"/>
      <c r="AN64" s="186"/>
    </row>
    <row r="65" spans="5:40">
      <c r="E65" s="359" t="s">
        <v>534</v>
      </c>
      <c r="F65" s="360"/>
      <c r="G65" s="362"/>
      <c r="H65" s="362"/>
      <c r="I65" s="363"/>
      <c r="J65" s="335" t="s">
        <v>254</v>
      </c>
      <c r="K65" s="336"/>
      <c r="L65" s="145" t="s">
        <v>282</v>
      </c>
      <c r="M65" s="235">
        <v>4.2230999999999998E-2</v>
      </c>
      <c r="N65" s="235">
        <v>5.3612E-2</v>
      </c>
      <c r="O65" s="235">
        <v>5.6429E-2</v>
      </c>
      <c r="P65" s="235">
        <v>-4.4729999999999995E-3</v>
      </c>
      <c r="Q65" s="235">
        <v>1.4924999999999999E-2</v>
      </c>
      <c r="R65" s="235">
        <v>2.8288000000000001E-2</v>
      </c>
      <c r="S65" s="235">
        <v>5.2290999999999997E-2</v>
      </c>
      <c r="T65" s="235">
        <v>5.9065000000000006E-2</v>
      </c>
      <c r="U65" s="236">
        <v>3.5118000000000003E-2</v>
      </c>
      <c r="V65" s="225">
        <v>3.7937400000000003E-2</v>
      </c>
      <c r="W65" s="349" t="s">
        <v>758</v>
      </c>
      <c r="X65" s="350"/>
      <c r="Y65" s="203" t="s">
        <v>758</v>
      </c>
      <c r="Z65" s="204" t="s">
        <v>758</v>
      </c>
      <c r="AA65" s="203" t="s">
        <v>758</v>
      </c>
      <c r="AB65" s="124" t="s">
        <v>758</v>
      </c>
      <c r="AC65" s="204" t="s">
        <v>758</v>
      </c>
      <c r="AD65" s="205" t="s">
        <v>758</v>
      </c>
      <c r="AE65" s="194"/>
      <c r="AF65" s="181"/>
      <c r="AG65" s="181"/>
      <c r="AH65" s="182"/>
      <c r="AI65" s="183"/>
      <c r="AJ65" s="184" t="s">
        <v>758</v>
      </c>
      <c r="AK65" s="181"/>
      <c r="AL65" s="185"/>
      <c r="AM65" s="182"/>
      <c r="AN65" s="186"/>
    </row>
    <row r="66" spans="5:40">
      <c r="E66" s="267" t="s">
        <v>535</v>
      </c>
      <c r="F66" s="269"/>
      <c r="G66" s="341" t="s">
        <v>557</v>
      </c>
      <c r="H66" s="342"/>
      <c r="I66" s="270"/>
      <c r="J66" s="343" t="s">
        <v>138</v>
      </c>
      <c r="K66" s="344"/>
      <c r="L66" s="143" t="s">
        <v>139</v>
      </c>
      <c r="M66" s="237">
        <v>2.3431999999999999</v>
      </c>
      <c r="N66" s="237">
        <v>2.9906999999999999</v>
      </c>
      <c r="O66" s="237">
        <v>3.3155999999999999</v>
      </c>
      <c r="P66" s="237">
        <v>-0.22969999999999999</v>
      </c>
      <c r="Q66" s="237">
        <v>0.93369999999999997</v>
      </c>
      <c r="R66" s="237">
        <v>2.0127999999999999</v>
      </c>
      <c r="S66" s="237">
        <v>4.0865</v>
      </c>
      <c r="T66" s="237">
        <v>4.4071999999999996</v>
      </c>
      <c r="U66" s="238">
        <v>2.3132999999999999</v>
      </c>
      <c r="V66" s="239">
        <v>2.7506999999999997</v>
      </c>
      <c r="W66" s="349" t="s">
        <v>758</v>
      </c>
      <c r="X66" s="350"/>
      <c r="Y66" s="203" t="s">
        <v>758</v>
      </c>
      <c r="Z66" s="204" t="s">
        <v>758</v>
      </c>
      <c r="AA66" s="203" t="s">
        <v>758</v>
      </c>
      <c r="AB66" s="124" t="s">
        <v>758</v>
      </c>
      <c r="AC66" s="204" t="s">
        <v>758</v>
      </c>
      <c r="AD66" s="205" t="s">
        <v>758</v>
      </c>
      <c r="AE66" s="194"/>
      <c r="AF66" s="181"/>
      <c r="AG66" s="181"/>
      <c r="AH66" s="182"/>
      <c r="AI66" s="183"/>
      <c r="AJ66" s="184" t="s">
        <v>758</v>
      </c>
      <c r="AK66" s="181"/>
      <c r="AL66" s="185"/>
      <c r="AM66" s="182"/>
      <c r="AN66" s="186"/>
    </row>
    <row r="67" spans="5:40">
      <c r="E67" s="291"/>
      <c r="F67" s="268" t="s">
        <v>801</v>
      </c>
      <c r="G67" s="251" t="s">
        <v>28</v>
      </c>
      <c r="H67" s="252" t="s">
        <v>29</v>
      </c>
      <c r="I67" s="253" t="s">
        <v>30</v>
      </c>
      <c r="J67" s="333" t="s">
        <v>326</v>
      </c>
      <c r="K67" s="334"/>
      <c r="L67" s="144" t="s">
        <v>136</v>
      </c>
      <c r="M67" s="240">
        <v>9.1336999999999993</v>
      </c>
      <c r="N67" s="240">
        <v>9.7539999999999996</v>
      </c>
      <c r="O67" s="240">
        <v>9.9011999999999993</v>
      </c>
      <c r="P67" s="240">
        <v>-0.75360000000000005</v>
      </c>
      <c r="Q67" s="240">
        <v>3.4645000000000001</v>
      </c>
      <c r="R67" s="240">
        <v>8.2053999999999991</v>
      </c>
      <c r="S67" s="240">
        <v>15.889799999999999</v>
      </c>
      <c r="T67" s="240">
        <v>16.340800000000002</v>
      </c>
      <c r="U67" s="241">
        <v>8.4834999999999994</v>
      </c>
      <c r="V67" s="242">
        <v>10.476800000000001</v>
      </c>
      <c r="W67" s="349" t="s">
        <v>758</v>
      </c>
      <c r="X67" s="350"/>
      <c r="Y67" s="203" t="s">
        <v>758</v>
      </c>
      <c r="Z67" s="204" t="s">
        <v>758</v>
      </c>
      <c r="AA67" s="203" t="s">
        <v>758</v>
      </c>
      <c r="AB67" s="124" t="s">
        <v>758</v>
      </c>
      <c r="AC67" s="204" t="s">
        <v>758</v>
      </c>
      <c r="AD67" s="205" t="s">
        <v>758</v>
      </c>
      <c r="AE67" s="194"/>
      <c r="AF67" s="181"/>
      <c r="AG67" s="181"/>
      <c r="AH67" s="182"/>
      <c r="AI67" s="183"/>
      <c r="AJ67" s="184" t="s">
        <v>758</v>
      </c>
      <c r="AK67" s="181"/>
      <c r="AL67" s="185"/>
      <c r="AM67" s="182"/>
      <c r="AN67" s="186"/>
    </row>
    <row r="68" spans="5:40">
      <c r="E68" s="246" t="s">
        <v>32</v>
      </c>
      <c r="F68" s="256">
        <v>9.8705501618122984</v>
      </c>
      <c r="G68" s="257">
        <v>24.329670329670328</v>
      </c>
      <c r="H68" s="258">
        <v>4.3510204081632651</v>
      </c>
      <c r="I68" s="259">
        <v>10.095367992829273</v>
      </c>
      <c r="J68" s="333" t="s">
        <v>276</v>
      </c>
      <c r="K68" s="334"/>
      <c r="L68" s="144" t="s">
        <v>432</v>
      </c>
      <c r="M68" s="240">
        <v>0.55479999999999996</v>
      </c>
      <c r="N68" s="240">
        <v>0.55779999999999996</v>
      </c>
      <c r="O68" s="240">
        <v>0.58760000000000001</v>
      </c>
      <c r="P68" s="240">
        <v>0.51349999999999996</v>
      </c>
      <c r="Q68" s="240">
        <v>0.62560000000000004</v>
      </c>
      <c r="R68" s="240">
        <v>0.71150000000000002</v>
      </c>
      <c r="S68" s="240">
        <v>0.78149999999999997</v>
      </c>
      <c r="T68" s="240">
        <v>0.74619999999999997</v>
      </c>
      <c r="U68" s="241">
        <v>0.65869999999999995</v>
      </c>
      <c r="V68" s="242">
        <v>0.70469999999999999</v>
      </c>
      <c r="W68" s="349" t="s">
        <v>758</v>
      </c>
      <c r="X68" s="350"/>
      <c r="Y68" s="203" t="s">
        <v>758</v>
      </c>
      <c r="Z68" s="204" t="s">
        <v>758</v>
      </c>
      <c r="AA68" s="203" t="s">
        <v>758</v>
      </c>
      <c r="AB68" s="124" t="s">
        <v>758</v>
      </c>
      <c r="AC68" s="204" t="s">
        <v>758</v>
      </c>
      <c r="AD68" s="205" t="s">
        <v>758</v>
      </c>
      <c r="AE68" s="194"/>
      <c r="AF68" s="181"/>
      <c r="AG68" s="181"/>
      <c r="AH68" s="182"/>
      <c r="AI68" s="183"/>
      <c r="AJ68" s="184" t="s">
        <v>758</v>
      </c>
      <c r="AK68" s="181"/>
      <c r="AL68" s="185"/>
      <c r="AM68" s="182"/>
      <c r="AN68" s="186"/>
    </row>
    <row r="69" spans="5:40">
      <c r="E69" s="246" t="s">
        <v>34</v>
      </c>
      <c r="F69" s="256">
        <v>6.7726621012099928</v>
      </c>
      <c r="G69" s="257">
        <v>6.7726621012099928</v>
      </c>
      <c r="H69" s="258">
        <v>4.1620029455081005</v>
      </c>
      <c r="I69" s="259">
        <v>5.4451163086701264</v>
      </c>
      <c r="J69" s="335" t="s">
        <v>327</v>
      </c>
      <c r="K69" s="336"/>
      <c r="L69" s="145" t="s">
        <v>433</v>
      </c>
      <c r="M69" s="243">
        <v>3.9432999999999998</v>
      </c>
      <c r="N69" s="243">
        <v>2.7608000000000001</v>
      </c>
      <c r="O69" s="243">
        <v>3.1968000000000001</v>
      </c>
      <c r="P69" s="243">
        <v>3.2475999999999998</v>
      </c>
      <c r="Q69" s="243">
        <v>4.0994000000000002</v>
      </c>
      <c r="R69" s="243">
        <v>4.0529000000000002</v>
      </c>
      <c r="S69" s="243">
        <v>3.7421000000000002</v>
      </c>
      <c r="T69" s="243">
        <v>3.6735000000000002</v>
      </c>
      <c r="U69" s="244">
        <v>3.6595</v>
      </c>
      <c r="V69" s="245">
        <v>3.8454800000000007</v>
      </c>
      <c r="W69" s="349" t="s">
        <v>758</v>
      </c>
      <c r="X69" s="350"/>
      <c r="Y69" s="203" t="s">
        <v>758</v>
      </c>
      <c r="Z69" s="204" t="s">
        <v>758</v>
      </c>
      <c r="AA69" s="203" t="s">
        <v>758</v>
      </c>
      <c r="AB69" s="124" t="s">
        <v>758</v>
      </c>
      <c r="AC69" s="204" t="s">
        <v>758</v>
      </c>
      <c r="AD69" s="205" t="s">
        <v>758</v>
      </c>
      <c r="AE69" s="194"/>
      <c r="AF69" s="181"/>
      <c r="AG69" s="181"/>
      <c r="AH69" s="182"/>
      <c r="AI69" s="183"/>
      <c r="AJ69" s="184" t="s">
        <v>758</v>
      </c>
      <c r="AK69" s="181"/>
      <c r="AL69" s="185"/>
      <c r="AM69" s="182"/>
      <c r="AN69" s="186"/>
    </row>
    <row r="70" spans="5:40">
      <c r="E70" s="246" t="s">
        <v>35</v>
      </c>
      <c r="F70" s="256">
        <v>0.30996165222929029</v>
      </c>
      <c r="G70" s="257">
        <v>0.34017085384060813</v>
      </c>
      <c r="H70" s="258">
        <v>9.3297532963642696E-2</v>
      </c>
      <c r="I70" s="259">
        <v>0.21788497895916689</v>
      </c>
      <c r="J70" s="343" t="s">
        <v>331</v>
      </c>
      <c r="K70" s="344"/>
      <c r="L70" s="143" t="s">
        <v>330</v>
      </c>
      <c r="M70" s="237" t="s">
        <v>180</v>
      </c>
      <c r="N70" s="237">
        <v>17.173200000000001</v>
      </c>
      <c r="O70" s="237">
        <v>18.289200000000001</v>
      </c>
      <c r="P70" s="237">
        <v>-1.2232000000000001</v>
      </c>
      <c r="Q70" s="237">
        <v>4.7</v>
      </c>
      <c r="R70" s="237">
        <v>11.3695</v>
      </c>
      <c r="S70" s="237">
        <v>23.653500000000001</v>
      </c>
      <c r="T70" s="237">
        <v>26.567900000000002</v>
      </c>
      <c r="U70" s="238">
        <v>14.3969</v>
      </c>
      <c r="V70" s="239">
        <v>16.137560000000001</v>
      </c>
      <c r="W70" s="349" t="s">
        <v>758</v>
      </c>
      <c r="X70" s="350"/>
      <c r="Y70" s="203" t="s">
        <v>758</v>
      </c>
      <c r="Z70" s="204" t="s">
        <v>758</v>
      </c>
      <c r="AA70" s="203" t="s">
        <v>758</v>
      </c>
      <c r="AB70" s="124" t="s">
        <v>758</v>
      </c>
      <c r="AC70" s="204" t="s">
        <v>758</v>
      </c>
      <c r="AD70" s="205" t="s">
        <v>758</v>
      </c>
      <c r="AE70" s="194"/>
      <c r="AF70" s="181"/>
      <c r="AG70" s="181"/>
      <c r="AH70" s="182"/>
      <c r="AI70" s="183"/>
      <c r="AJ70" s="184" t="s">
        <v>758</v>
      </c>
      <c r="AK70" s="181"/>
      <c r="AL70" s="185"/>
      <c r="AM70" s="182"/>
      <c r="AN70" s="186"/>
    </row>
    <row r="71" spans="5:40">
      <c r="E71" s="246" t="s">
        <v>36</v>
      </c>
      <c r="F71" s="256">
        <v>0.81839647955350436</v>
      </c>
      <c r="G71" s="257">
        <v>0.89889449393581622</v>
      </c>
      <c r="H71" s="258">
        <v>0.49171770601336307</v>
      </c>
      <c r="I71" s="259">
        <v>0.74378925347104186</v>
      </c>
      <c r="J71" s="333" t="s">
        <v>328</v>
      </c>
      <c r="K71" s="334"/>
      <c r="L71" s="144" t="s">
        <v>283</v>
      </c>
      <c r="M71" s="240">
        <v>77.438500000000005</v>
      </c>
      <c r="N71" s="240">
        <v>73.022499999999994</v>
      </c>
      <c r="O71" s="240">
        <v>69.6798</v>
      </c>
      <c r="P71" s="240">
        <v>82.082599999999999</v>
      </c>
      <c r="Q71" s="240">
        <v>67.963700000000003</v>
      </c>
      <c r="R71" s="240">
        <v>67.633799999999994</v>
      </c>
      <c r="S71" s="240">
        <v>69.523799999999994</v>
      </c>
      <c r="T71" s="240">
        <v>74.926199999999994</v>
      </c>
      <c r="U71" s="241">
        <v>84.731099999999998</v>
      </c>
      <c r="V71" s="242">
        <v>72.955719999999999</v>
      </c>
      <c r="W71" s="349" t="s">
        <v>758</v>
      </c>
      <c r="X71" s="350"/>
      <c r="Y71" s="203" t="s">
        <v>758</v>
      </c>
      <c r="Z71" s="204" t="s">
        <v>758</v>
      </c>
      <c r="AA71" s="203" t="s">
        <v>758</v>
      </c>
      <c r="AB71" s="124" t="s">
        <v>758</v>
      </c>
      <c r="AC71" s="204" t="s">
        <v>758</v>
      </c>
      <c r="AD71" s="205" t="s">
        <v>758</v>
      </c>
      <c r="AE71" s="194"/>
      <c r="AF71" s="181"/>
      <c r="AG71" s="181"/>
      <c r="AH71" s="182"/>
      <c r="AI71" s="183"/>
      <c r="AJ71" s="184" t="s">
        <v>758</v>
      </c>
      <c r="AK71" s="181"/>
      <c r="AL71" s="185"/>
      <c r="AM71" s="182"/>
      <c r="AN71" s="186"/>
    </row>
    <row r="72" spans="5:40">
      <c r="E72" s="246" t="s">
        <v>38</v>
      </c>
      <c r="F72" s="256">
        <v>16.92563817980022</v>
      </c>
      <c r="G72" s="257">
        <v>18.590455049944506</v>
      </c>
      <c r="H72" s="258">
        <v>4.1269841269841265</v>
      </c>
      <c r="I72" s="259">
        <v>9.5751799329714391</v>
      </c>
      <c r="J72" s="335" t="s">
        <v>329</v>
      </c>
      <c r="K72" s="336"/>
      <c r="L72" s="145" t="s">
        <v>434</v>
      </c>
      <c r="M72" s="243">
        <v>62.588900000000002</v>
      </c>
      <c r="N72" s="243">
        <v>59.131900000000002</v>
      </c>
      <c r="O72" s="243">
        <v>45.677500000000002</v>
      </c>
      <c r="P72" s="243">
        <v>51.835000000000001</v>
      </c>
      <c r="Q72" s="243">
        <v>48.831000000000003</v>
      </c>
      <c r="R72" s="243">
        <v>51.495600000000003</v>
      </c>
      <c r="S72" s="243">
        <v>53.6006</v>
      </c>
      <c r="T72" s="243">
        <v>54.424199999999999</v>
      </c>
      <c r="U72" s="244">
        <v>56.250999999999998</v>
      </c>
      <c r="V72" s="245">
        <v>52.920479999999998</v>
      </c>
      <c r="W72" s="349" t="s">
        <v>758</v>
      </c>
      <c r="X72" s="350"/>
      <c r="Y72" s="203" t="s">
        <v>758</v>
      </c>
      <c r="Z72" s="204" t="s">
        <v>758</v>
      </c>
      <c r="AA72" s="203" t="s">
        <v>758</v>
      </c>
      <c r="AB72" s="124" t="s">
        <v>758</v>
      </c>
      <c r="AC72" s="204" t="s">
        <v>758</v>
      </c>
      <c r="AD72" s="205" t="s">
        <v>758</v>
      </c>
      <c r="AE72" s="194"/>
      <c r="AF72" s="181"/>
      <c r="AG72" s="181"/>
      <c r="AH72" s="182"/>
      <c r="AI72" s="183"/>
      <c r="AJ72" s="184" t="s">
        <v>758</v>
      </c>
      <c r="AK72" s="181"/>
      <c r="AL72" s="185"/>
      <c r="AM72" s="182"/>
      <c r="AN72" s="186"/>
    </row>
    <row r="73" spans="5:40">
      <c r="E73" s="246" t="s">
        <v>39</v>
      </c>
      <c r="F73" s="256">
        <v>0.34618964382193368</v>
      </c>
      <c r="G73" s="257">
        <v>0.38024108419786157</v>
      </c>
      <c r="H73" s="258">
        <v>0.17515805132019338</v>
      </c>
      <c r="I73" s="259">
        <v>0.29748715629122707</v>
      </c>
      <c r="J73" s="343" t="s">
        <v>277</v>
      </c>
      <c r="K73" s="344"/>
      <c r="L73" s="143" t="s">
        <v>284</v>
      </c>
      <c r="M73" s="237">
        <v>0.97460000000000002</v>
      </c>
      <c r="N73" s="237">
        <v>1.2544999999999999</v>
      </c>
      <c r="O73" s="237">
        <v>1.0121</v>
      </c>
      <c r="P73" s="237">
        <v>0.93149999999999999</v>
      </c>
      <c r="Q73" s="237">
        <v>0.81779999999999997</v>
      </c>
      <c r="R73" s="237">
        <v>0.84419999999999995</v>
      </c>
      <c r="S73" s="237">
        <v>0.94330000000000003</v>
      </c>
      <c r="T73" s="237">
        <v>0.98040000000000005</v>
      </c>
      <c r="U73" s="238">
        <v>0.94030000000000002</v>
      </c>
      <c r="V73" s="239">
        <v>0.9052</v>
      </c>
      <c r="W73" s="349" t="s">
        <v>758</v>
      </c>
      <c r="X73" s="350"/>
      <c r="Y73" s="203" t="s">
        <v>758</v>
      </c>
      <c r="Z73" s="204" t="s">
        <v>758</v>
      </c>
      <c r="AA73" s="203" t="s">
        <v>758</v>
      </c>
      <c r="AB73" s="124" t="s">
        <v>758</v>
      </c>
      <c r="AC73" s="204" t="s">
        <v>758</v>
      </c>
      <c r="AD73" s="205" t="s">
        <v>758</v>
      </c>
      <c r="AE73" s="194"/>
      <c r="AF73" s="181"/>
      <c r="AG73" s="181"/>
      <c r="AH73" s="182"/>
      <c r="AI73" s="183"/>
      <c r="AJ73" s="184" t="s">
        <v>758</v>
      </c>
      <c r="AK73" s="181"/>
      <c r="AL73" s="185"/>
      <c r="AM73" s="182"/>
      <c r="AN73" s="186"/>
    </row>
    <row r="74" spans="5:40">
      <c r="E74" s="246" t="s">
        <v>40</v>
      </c>
      <c r="F74" s="256">
        <v>3.3516956755786831</v>
      </c>
      <c r="G74" s="257">
        <v>4.8616714697406342</v>
      </c>
      <c r="H74" s="258">
        <v>2.2747584541062804</v>
      </c>
      <c r="I74" s="259">
        <v>3.1536774437176178</v>
      </c>
      <c r="J74" s="333" t="s">
        <v>278</v>
      </c>
      <c r="K74" s="334"/>
      <c r="L74" s="144" t="s">
        <v>429</v>
      </c>
      <c r="M74" s="240">
        <v>0.55989999999999995</v>
      </c>
      <c r="N74" s="240">
        <v>0.495</v>
      </c>
      <c r="O74" s="240">
        <v>0.6472</v>
      </c>
      <c r="P74" s="240">
        <v>0.59109999999999996</v>
      </c>
      <c r="Q74" s="240">
        <v>0.47089999999999999</v>
      </c>
      <c r="R74" s="240">
        <v>0.46920000000000001</v>
      </c>
      <c r="S74" s="240">
        <v>0.54310000000000003</v>
      </c>
      <c r="T74" s="240">
        <v>0.57620000000000005</v>
      </c>
      <c r="U74" s="241">
        <v>0.56820000000000004</v>
      </c>
      <c r="V74" s="242">
        <v>0.52551999999999999</v>
      </c>
      <c r="W74" s="349" t="s">
        <v>758</v>
      </c>
      <c r="X74" s="350"/>
      <c r="Y74" s="203" t="s">
        <v>758</v>
      </c>
      <c r="Z74" s="204" t="s">
        <v>758</v>
      </c>
      <c r="AA74" s="203" t="s">
        <v>758</v>
      </c>
      <c r="AB74" s="124" t="s">
        <v>758</v>
      </c>
      <c r="AC74" s="204" t="s">
        <v>758</v>
      </c>
      <c r="AD74" s="205" t="s">
        <v>758</v>
      </c>
      <c r="AE74" s="194"/>
      <c r="AF74" s="181"/>
      <c r="AG74" s="181"/>
      <c r="AH74" s="182"/>
      <c r="AI74" s="183"/>
      <c r="AJ74" s="184" t="s">
        <v>758</v>
      </c>
      <c r="AK74" s="181"/>
      <c r="AL74" s="185"/>
      <c r="AM74" s="182"/>
      <c r="AN74" s="186"/>
    </row>
    <row r="75" spans="5:40">
      <c r="E75" s="246" t="s">
        <v>41</v>
      </c>
      <c r="F75" s="256">
        <v>0.42403123652130487</v>
      </c>
      <c r="G75" s="257">
        <v>0.4958523840627041</v>
      </c>
      <c r="H75" s="258">
        <v>0.31245816288583117</v>
      </c>
      <c r="I75" s="259">
        <v>0.38666680303498907</v>
      </c>
      <c r="J75" s="333" t="s">
        <v>334</v>
      </c>
      <c r="K75" s="334"/>
      <c r="L75" s="144" t="s">
        <v>430</v>
      </c>
      <c r="M75" s="240">
        <v>51.190300000000001</v>
      </c>
      <c r="N75" s="240">
        <v>46.780099999999997</v>
      </c>
      <c r="O75" s="240">
        <v>55.930399999999999</v>
      </c>
      <c r="P75" s="240">
        <v>55.129600000000003</v>
      </c>
      <c r="Q75" s="240">
        <v>62.779200000000003</v>
      </c>
      <c r="R75" s="240">
        <v>64.305899999999994</v>
      </c>
      <c r="S75" s="240">
        <v>61.185499999999998</v>
      </c>
      <c r="T75" s="240">
        <v>61.387099999999997</v>
      </c>
      <c r="U75" s="241">
        <v>60.718699999999998</v>
      </c>
      <c r="V75" s="242">
        <v>62.075279999999999</v>
      </c>
      <c r="W75" s="349" t="s">
        <v>758</v>
      </c>
      <c r="X75" s="350"/>
      <c r="Y75" s="203" t="s">
        <v>758</v>
      </c>
      <c r="Z75" s="204" t="s">
        <v>758</v>
      </c>
      <c r="AA75" s="203" t="s">
        <v>758</v>
      </c>
      <c r="AB75" s="124" t="s">
        <v>758</v>
      </c>
      <c r="AC75" s="204" t="s">
        <v>758</v>
      </c>
      <c r="AD75" s="205" t="s">
        <v>758</v>
      </c>
      <c r="AE75" s="194"/>
      <c r="AF75" s="181"/>
      <c r="AG75" s="181"/>
      <c r="AH75" s="182"/>
      <c r="AI75" s="183"/>
      <c r="AJ75" s="184" t="s">
        <v>758</v>
      </c>
      <c r="AK75" s="181"/>
      <c r="AL75" s="185"/>
      <c r="AM75" s="182"/>
      <c r="AN75" s="186"/>
    </row>
    <row r="76" spans="5:40">
      <c r="E76" s="247" t="s">
        <v>18</v>
      </c>
      <c r="F76" s="260">
        <v>3.0491803278688522E-2</v>
      </c>
      <c r="G76" s="261">
        <v>7.0356472795497185E-2</v>
      </c>
      <c r="H76" s="262">
        <v>2.2583559168925023E-2</v>
      </c>
      <c r="I76" s="263">
        <v>4.3592652191813359E-2</v>
      </c>
      <c r="J76" s="335" t="s">
        <v>335</v>
      </c>
      <c r="K76" s="336"/>
      <c r="L76" s="145" t="s">
        <v>431</v>
      </c>
      <c r="M76" s="243">
        <v>104.8772</v>
      </c>
      <c r="N76" s="243">
        <v>87.899500000000003</v>
      </c>
      <c r="O76" s="243">
        <v>126.91379999999999</v>
      </c>
      <c r="P76" s="243">
        <v>122.8643</v>
      </c>
      <c r="Q76" s="243">
        <v>168.66730000000001</v>
      </c>
      <c r="R76" s="243">
        <v>180.15860000000001</v>
      </c>
      <c r="S76" s="243">
        <v>157.63589999999999</v>
      </c>
      <c r="T76" s="243">
        <v>158.9811</v>
      </c>
      <c r="U76" s="244">
        <v>154.57419999999999</v>
      </c>
      <c r="V76" s="245">
        <v>164.00342000000001</v>
      </c>
      <c r="W76" s="351" t="s">
        <v>758</v>
      </c>
      <c r="X76" s="352"/>
      <c r="Y76" s="206" t="s">
        <v>758</v>
      </c>
      <c r="Z76" s="207" t="s">
        <v>758</v>
      </c>
      <c r="AA76" s="206" t="s">
        <v>758</v>
      </c>
      <c r="AB76" s="207" t="s">
        <v>758</v>
      </c>
      <c r="AC76" s="207" t="s">
        <v>758</v>
      </c>
      <c r="AD76" s="208" t="s">
        <v>758</v>
      </c>
      <c r="AE76" s="195"/>
      <c r="AF76" s="187"/>
      <c r="AG76" s="187"/>
      <c r="AH76" s="188"/>
      <c r="AI76" s="189"/>
      <c r="AJ76" s="190" t="s">
        <v>758</v>
      </c>
      <c r="AK76" s="187"/>
      <c r="AL76" s="191"/>
      <c r="AM76" s="188"/>
      <c r="AN76" s="192"/>
    </row>
    <row r="77" spans="5:40">
      <c r="AL77" s="1"/>
    </row>
    <row r="78" spans="5:40">
      <c r="AL78" s="1"/>
    </row>
    <row r="79" spans="5:40">
      <c r="AL79" s="1"/>
    </row>
    <row r="80" spans="5:40">
      <c r="AL80" s="1"/>
    </row>
    <row r="81" spans="27:38">
      <c r="AA81" s="101"/>
      <c r="AL81" s="1"/>
    </row>
    <row r="82" spans="27:38">
      <c r="AA82" s="101"/>
      <c r="AL82" s="1"/>
    </row>
    <row r="83" spans="27:38">
      <c r="AL83" s="1"/>
    </row>
    <row r="84" spans="27:38">
      <c r="AL84" s="1"/>
    </row>
    <row r="85" spans="27:38">
      <c r="AL85" s="1"/>
    </row>
    <row r="86" spans="27:38">
      <c r="AL86" s="1"/>
    </row>
    <row r="87" spans="27:38">
      <c r="AL87" s="1"/>
    </row>
    <row r="88" spans="27:38">
      <c r="AL88" s="1"/>
    </row>
    <row r="89" spans="27:38">
      <c r="AL89" s="1"/>
    </row>
    <row r="90" spans="27:38">
      <c r="AL90" s="1"/>
    </row>
    <row r="91" spans="27:38">
      <c r="AL91" s="1"/>
    </row>
    <row r="92" spans="27:38">
      <c r="AL92" s="1"/>
    </row>
    <row r="93" spans="27:38">
      <c r="AL93" s="1"/>
    </row>
  </sheetData>
  <mergeCells count="149">
    <mergeCell ref="W20:X20"/>
    <mergeCell ref="Y23:Z23"/>
    <mergeCell ref="Y24:Z24"/>
    <mergeCell ref="W21:X21"/>
    <mergeCell ref="W22:X22"/>
    <mergeCell ref="W23:X23"/>
    <mergeCell ref="W24:X24"/>
    <mergeCell ref="M23:O23"/>
    <mergeCell ref="M24:O24"/>
    <mergeCell ref="M21:O21"/>
    <mergeCell ref="M22:O22"/>
    <mergeCell ref="M20:O20"/>
    <mergeCell ref="M16:O16"/>
    <mergeCell ref="W18:X18"/>
    <mergeCell ref="W19:X19"/>
    <mergeCell ref="Y14:Z14"/>
    <mergeCell ref="W12:X12"/>
    <mergeCell ref="W13:X13"/>
    <mergeCell ref="W14:X14"/>
    <mergeCell ref="W15:X15"/>
    <mergeCell ref="W16:X16"/>
    <mergeCell ref="W17:X17"/>
    <mergeCell ref="M19:O19"/>
    <mergeCell ref="AE11:AN11"/>
    <mergeCell ref="AE33:AN33"/>
    <mergeCell ref="W25:AD25"/>
    <mergeCell ref="Y21:Z21"/>
    <mergeCell ref="F8:G8"/>
    <mergeCell ref="Y12:Z12"/>
    <mergeCell ref="E9:R9"/>
    <mergeCell ref="W11:Z11"/>
    <mergeCell ref="M8:N8"/>
    <mergeCell ref="M11:O11"/>
    <mergeCell ref="E11:L11"/>
    <mergeCell ref="Y22:Z22"/>
    <mergeCell ref="Y20:Z20"/>
    <mergeCell ref="Y15:Z15"/>
    <mergeCell ref="Y16:Z16"/>
    <mergeCell ref="Y19:Z19"/>
    <mergeCell ref="Y17:Z17"/>
    <mergeCell ref="M17:O17"/>
    <mergeCell ref="M18:O18"/>
    <mergeCell ref="E12:K16"/>
    <mergeCell ref="M12:O12"/>
    <mergeCell ref="M13:O13"/>
    <mergeCell ref="M14:O14"/>
    <mergeCell ref="M15:O15"/>
    <mergeCell ref="E55:I55"/>
    <mergeCell ref="E65:I65"/>
    <mergeCell ref="E10:R10"/>
    <mergeCell ref="AB26:AC26"/>
    <mergeCell ref="Z26:AA26"/>
    <mergeCell ref="T25:V25"/>
    <mergeCell ref="J25:S25"/>
    <mergeCell ref="AA11:AD11"/>
    <mergeCell ref="Y18:Z18"/>
    <mergeCell ref="Y13:Z13"/>
    <mergeCell ref="W40:X40"/>
    <mergeCell ref="W41:X41"/>
    <mergeCell ref="W42:X42"/>
    <mergeCell ref="W43:X43"/>
    <mergeCell ref="W44:X44"/>
    <mergeCell ref="W45:X45"/>
    <mergeCell ref="W46:X46"/>
    <mergeCell ref="W47:X47"/>
    <mergeCell ref="W48:X48"/>
    <mergeCell ref="W49:X49"/>
    <mergeCell ref="W50:X50"/>
    <mergeCell ref="W51:X51"/>
    <mergeCell ref="W52:X52"/>
    <mergeCell ref="W53:X53"/>
    <mergeCell ref="W73:X73"/>
    <mergeCell ref="W74:X74"/>
    <mergeCell ref="W75:X75"/>
    <mergeCell ref="W76:X76"/>
    <mergeCell ref="T26:U26"/>
    <mergeCell ref="T27:U27"/>
    <mergeCell ref="T30:U30"/>
    <mergeCell ref="T29:U29"/>
    <mergeCell ref="T28:U28"/>
    <mergeCell ref="T31:U31"/>
    <mergeCell ref="T32:U32"/>
    <mergeCell ref="T33:U33"/>
    <mergeCell ref="T34:U34"/>
    <mergeCell ref="T35:U35"/>
    <mergeCell ref="T36:U36"/>
    <mergeCell ref="T37:U37"/>
    <mergeCell ref="T38:U38"/>
    <mergeCell ref="T39:U39"/>
    <mergeCell ref="W63:X63"/>
    <mergeCell ref="W64:X64"/>
    <mergeCell ref="W65:X65"/>
    <mergeCell ref="W66:X66"/>
    <mergeCell ref="W67:X67"/>
    <mergeCell ref="W68:X68"/>
    <mergeCell ref="J53:K53"/>
    <mergeCell ref="J54:K54"/>
    <mergeCell ref="J55:K55"/>
    <mergeCell ref="J56:K56"/>
    <mergeCell ref="J57:K57"/>
    <mergeCell ref="J58:K58"/>
    <mergeCell ref="J59:K59"/>
    <mergeCell ref="J60:K60"/>
    <mergeCell ref="W72:X72"/>
    <mergeCell ref="W69:X69"/>
    <mergeCell ref="W70:X70"/>
    <mergeCell ref="W71:X71"/>
    <mergeCell ref="W54:X54"/>
    <mergeCell ref="W55:X55"/>
    <mergeCell ref="W56:X56"/>
    <mergeCell ref="W57:X57"/>
    <mergeCell ref="W58:X58"/>
    <mergeCell ref="W59:X59"/>
    <mergeCell ref="W60:X60"/>
    <mergeCell ref="W61:X61"/>
    <mergeCell ref="W62:X62"/>
    <mergeCell ref="J43:K43"/>
    <mergeCell ref="J44:K44"/>
    <mergeCell ref="J46:K46"/>
    <mergeCell ref="J47:K47"/>
    <mergeCell ref="J48:K48"/>
    <mergeCell ref="J49:K49"/>
    <mergeCell ref="J50:K50"/>
    <mergeCell ref="J51:K51"/>
    <mergeCell ref="J52:K52"/>
    <mergeCell ref="J75:K75"/>
    <mergeCell ref="J76:K76"/>
    <mergeCell ref="E25:F25"/>
    <mergeCell ref="E40:F40"/>
    <mergeCell ref="G40:H40"/>
    <mergeCell ref="G66:H66"/>
    <mergeCell ref="J69:K69"/>
    <mergeCell ref="J70:K70"/>
    <mergeCell ref="J71:K71"/>
    <mergeCell ref="J72:K72"/>
    <mergeCell ref="J62:K62"/>
    <mergeCell ref="J73:K73"/>
    <mergeCell ref="J74:K74"/>
    <mergeCell ref="J63:K63"/>
    <mergeCell ref="J64:K64"/>
    <mergeCell ref="J65:K65"/>
    <mergeCell ref="J66:K66"/>
    <mergeCell ref="J67:K67"/>
    <mergeCell ref="J68:K68"/>
    <mergeCell ref="J40:K40"/>
    <mergeCell ref="J45:K45"/>
    <mergeCell ref="J61:K61"/>
    <mergeCell ref="J41:K41"/>
    <mergeCell ref="J42:K42"/>
  </mergeCells>
  <phoneticPr fontId="0" type="noConversion"/>
  <conditionalFormatting sqref="F42:I42">
    <cfRule type="expression" dxfId="13" priority="44" stopIfTrue="1">
      <formula>MATCH(HLOOKUP("F"&amp;BB_EM_Q1&amp;" "&amp; F$26,BB_Q_COND_RANGE,1,FALSE),BB_Q_COND_RANGE,0)&gt;=22</formula>
    </cfRule>
  </conditionalFormatting>
  <conditionalFormatting sqref="F43:I43">
    <cfRule type="expression" dxfId="12" priority="49" stopIfTrue="1">
      <formula>MATCH(HLOOKUP("F"&amp; BB_EM_S1 &amp;" "&amp; F$26,BB_S_COND_RANGE,1,FALSE),BB_S_COND_RANGE,0)&gt;9</formula>
    </cfRule>
    <cfRule type="expression" dxfId="11" priority="50" stopIfTrue="1">
      <formula>MATCH(HLOOKUP("F"&amp;BB_EM_Q2&amp;" "&amp; F$26,BB_Q_COND_RANGE,1,FALSE),BB_Q_COND_RANGE,0)&gt;=22</formula>
    </cfRule>
  </conditionalFormatting>
  <conditionalFormatting sqref="F44:I44">
    <cfRule type="expression" dxfId="10" priority="56" stopIfTrue="1">
      <formula>MATCH(HLOOKUP("F"&amp;BB_EM_Q3&amp;" "&amp;F$26,BB_Q_COND_RANGE,1,FALSE),BB_Q_COND_RANGE,0)&gt;=22</formula>
    </cfRule>
  </conditionalFormatting>
  <conditionalFormatting sqref="F45:I45">
    <cfRule type="expression" dxfId="9" priority="61" stopIfTrue="1">
      <formula>MATCH(HLOOKUP("F"&amp; BB_EM_S2 &amp;" "&amp; F$26,BB_S_COND_RANGE,1,FALSE),BB_S_COND_RANGE,0)&gt;9</formula>
    </cfRule>
    <cfRule type="expression" dxfId="8" priority="62" stopIfTrue="1">
      <formula>MATCH(HLOOKUP("F"&amp;BB_EM_Q4&amp;" "&amp; F$26,BB_Q_COND_RANGE,1,FALSE),BB_Q_COND_RANGE,0)&gt;=22</formula>
    </cfRule>
  </conditionalFormatting>
  <conditionalFormatting sqref="F46:I47">
    <cfRule type="expression" dxfId="7" priority="68" stopIfTrue="1">
      <formula>MATCH(HLOOKUP("FY1 " &amp;F$26,BB_Y_COND_RANGE,1,FALSE),BB_Y_COND_RANGE,0)&gt;=6</formula>
    </cfRule>
  </conditionalFormatting>
  <conditionalFormatting sqref="F27:I27">
    <cfRule type="expression" dxfId="6" priority="7" stopIfTrue="1">
      <formula>MATCH(HLOOKUP("F"&amp;BB_EM_Q1&amp;" "&amp; F$26,BB_Q_COND_RANGE,1,FALSE),BB_Q_COND_RANGE,0)&gt;=22</formula>
    </cfRule>
  </conditionalFormatting>
  <conditionalFormatting sqref="F28:I28">
    <cfRule type="expression" dxfId="5" priority="5" stopIfTrue="1">
      <formula>MATCH(HLOOKUP("F"&amp; BB_EM_S1 &amp;" "&amp; F$26,BB_S_COND_RANGE,1,FALSE),BB_S_COND_RANGE,0)&gt;9</formula>
    </cfRule>
    <cfRule type="expression" dxfId="4" priority="6" stopIfTrue="1">
      <formula>MATCH(HLOOKUP("F"&amp;BB_EM_Q2&amp;" "&amp; F$26,BB_Q_COND_RANGE,1,FALSE),BB_Q_COND_RANGE,0)&gt;=22</formula>
    </cfRule>
  </conditionalFormatting>
  <conditionalFormatting sqref="F29:I29">
    <cfRule type="expression" dxfId="3" priority="4" stopIfTrue="1">
      <formula>MATCH(HLOOKUP("F"&amp;BB_EM_Q3&amp;" "&amp;F$26,BB_Q_COND_RANGE,1,FALSE),BB_Q_COND_RANGE,0)&gt;=22</formula>
    </cfRule>
  </conditionalFormatting>
  <conditionalFormatting sqref="F30:I30">
    <cfRule type="expression" dxfId="2" priority="2" stopIfTrue="1">
      <formula>MATCH(HLOOKUP("F"&amp; BB_EM_S2 &amp;" "&amp; F$26,BB_S_COND_RANGE,1,FALSE),BB_S_COND_RANGE,0)&gt;9</formula>
    </cfRule>
    <cfRule type="expression" dxfId="1" priority="3" stopIfTrue="1">
      <formula>MATCH(HLOOKUP("F"&amp;BB_EM_Q4&amp;" "&amp; F$26,BB_Q_COND_RANGE,1,FALSE),BB_Q_COND_RANGE,0)&gt;=22</formula>
    </cfRule>
  </conditionalFormatting>
  <conditionalFormatting sqref="F31:I32">
    <cfRule type="expression" dxfId="0" priority="1" stopIfTrue="1">
      <formula>MATCH(HLOOKUP("FY1 " &amp;F$26,BB_Y_COND_RANGE,1,FALSE),BB_Y_COND_RANGE,0)&gt;=6</formula>
    </cfRule>
  </conditionalFormatting>
  <dataValidations count="2">
    <dataValidation type="list" allowBlank="1" sqref="I8" xr:uid="{00000000-0002-0000-0000-000000000000}">
      <formula1>BB_CURRENCY_LIST</formula1>
    </dataValidation>
    <dataValidation type="list" allowBlank="1" showInputMessage="1" showErrorMessage="1" sqref="K8" xr:uid="{00000000-0002-0000-0000-000001000000}">
      <formula1>BB_PARENT_CONSOL</formula1>
    </dataValidation>
  </dataValidations>
  <printOptions horizontalCentered="1"/>
  <pageMargins left="0.17" right="0.18" top="0.2" bottom="0.5" header="0" footer="0"/>
  <pageSetup scale="44" fitToWidth="2" orientation="landscape" r:id="rId1"/>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85644" r:id="rId4" name="Drop Down 1612">
              <controlPr defaultSize="0" autoLine="0" autoPict="0">
                <anchor moveWithCells="1">
                  <from>
                    <xdr:col>30</xdr:col>
                    <xdr:colOff>22860</xdr:colOff>
                    <xdr:row>10</xdr:row>
                    <xdr:rowOff>175260</xdr:rowOff>
                  </from>
                  <to>
                    <xdr:col>31</xdr:col>
                    <xdr:colOff>830580</xdr:colOff>
                    <xdr:row>10</xdr:row>
                    <xdr:rowOff>373380</xdr:rowOff>
                  </to>
                </anchor>
              </controlPr>
            </control>
          </mc:Choice>
        </mc:AlternateContent>
        <mc:AlternateContent xmlns:mc="http://schemas.openxmlformats.org/markup-compatibility/2006">
          <mc:Choice Requires="x14">
            <control shapeId="685661" r:id="rId5" name="Drop Down 1629">
              <controlPr defaultSize="0" autoLine="0" autoPict="0">
                <anchor moveWithCells="1">
                  <from>
                    <xdr:col>5</xdr:col>
                    <xdr:colOff>1028700</xdr:colOff>
                    <xdr:row>24</xdr:row>
                    <xdr:rowOff>7620</xdr:rowOff>
                  </from>
                  <to>
                    <xdr:col>8</xdr:col>
                    <xdr:colOff>845820</xdr:colOff>
                    <xdr:row>24</xdr:row>
                    <xdr:rowOff>190500</xdr:rowOff>
                  </to>
                </anchor>
              </controlPr>
            </control>
          </mc:Choice>
        </mc:AlternateContent>
        <mc:AlternateContent xmlns:mc="http://schemas.openxmlformats.org/markup-compatibility/2006">
          <mc:Choice Requires="x14">
            <control shapeId="685663" r:id="rId6" name="Drop Down 1631">
              <controlPr defaultSize="0" autoLine="0" autoPict="0">
                <anchor moveWithCells="1">
                  <from>
                    <xdr:col>5</xdr:col>
                    <xdr:colOff>1028700</xdr:colOff>
                    <xdr:row>39</xdr:row>
                    <xdr:rowOff>7620</xdr:rowOff>
                  </from>
                  <to>
                    <xdr:col>8</xdr:col>
                    <xdr:colOff>845820</xdr:colOff>
                    <xdr:row>40</xdr:row>
                    <xdr:rowOff>0</xdr:rowOff>
                  </to>
                </anchor>
              </controlPr>
            </control>
          </mc:Choice>
        </mc:AlternateContent>
        <mc:AlternateContent xmlns:mc="http://schemas.openxmlformats.org/markup-compatibility/2006">
          <mc:Choice Requires="x14">
            <control shapeId="685664" r:id="rId7" name="Drop Down 1632">
              <controlPr defaultSize="0" autoLine="0" autoPict="0">
                <anchor moveWithCells="1">
                  <from>
                    <xdr:col>23</xdr:col>
                    <xdr:colOff>7620</xdr:colOff>
                    <xdr:row>25</xdr:row>
                    <xdr:rowOff>7620</xdr:rowOff>
                  </from>
                  <to>
                    <xdr:col>23</xdr:col>
                    <xdr:colOff>716280</xdr:colOff>
                    <xdr:row>26</xdr:row>
                    <xdr:rowOff>7620</xdr:rowOff>
                  </to>
                </anchor>
              </controlPr>
            </control>
          </mc:Choice>
        </mc:AlternateContent>
        <mc:AlternateContent xmlns:mc="http://schemas.openxmlformats.org/markup-compatibility/2006">
          <mc:Choice Requires="x14">
            <control shapeId="1469092" r:id="rId8" name="Drop Down 2724">
              <controlPr defaultSize="0" autoLine="0" autoPict="0">
                <anchor moveWithCells="1">
                  <from>
                    <xdr:col>8</xdr:col>
                    <xdr:colOff>45720</xdr:colOff>
                    <xdr:row>65</xdr:row>
                    <xdr:rowOff>7620</xdr:rowOff>
                  </from>
                  <to>
                    <xdr:col>8</xdr:col>
                    <xdr:colOff>845820</xdr:colOff>
                    <xdr:row>65</xdr:row>
                    <xdr:rowOff>182880</xdr:rowOff>
                  </to>
                </anchor>
              </controlPr>
            </control>
          </mc:Choice>
        </mc:AlternateContent>
        <mc:AlternateContent xmlns:mc="http://schemas.openxmlformats.org/markup-compatibility/2006">
          <mc:Choice Requires="x14">
            <control shapeId="1469093" r:id="rId9" name="Drop Down 2725">
              <controlPr defaultSize="0" autoLine="0" autoPict="0">
                <anchor moveWithCells="1">
                  <from>
                    <xdr:col>4</xdr:col>
                    <xdr:colOff>22860</xdr:colOff>
                    <xdr:row>65</xdr:row>
                    <xdr:rowOff>22860</xdr:rowOff>
                  </from>
                  <to>
                    <xdr:col>4</xdr:col>
                    <xdr:colOff>838200</xdr:colOff>
                    <xdr:row>66</xdr:row>
                    <xdr:rowOff>7620</xdr:rowOff>
                  </to>
                </anchor>
              </controlPr>
            </control>
          </mc:Choice>
        </mc:AlternateContent>
        <mc:AlternateContent xmlns:mc="http://schemas.openxmlformats.org/markup-compatibility/2006">
          <mc:Choice Requires="x14">
            <control shapeId="2248264" r:id="rId10" name="Button 3656">
              <controlPr defaultSize="0" print="0" autoFill="0" autoPict="0" macro="[0]!OpenBloombergLink">
                <anchor moveWithCells="1">
                  <from>
                    <xdr:col>12</xdr:col>
                    <xdr:colOff>274320</xdr:colOff>
                    <xdr:row>5</xdr:row>
                    <xdr:rowOff>0</xdr:rowOff>
                  </from>
                  <to>
                    <xdr:col>13</xdr:col>
                    <xdr:colOff>746760</xdr:colOff>
                    <xdr:row>7</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alcData"/>
  <dimension ref="A1:DG3681"/>
  <sheetViews>
    <sheetView topLeftCell="CJ1" workbookViewId="0">
      <selection activeCell="DF12" sqref="DF12:DF13"/>
    </sheetView>
  </sheetViews>
  <sheetFormatPr baseColWidth="10" defaultColWidth="11.109375" defaultRowHeight="14.4"/>
  <cols>
    <col min="2" max="2" width="50.6640625" bestFit="1" customWidth="1"/>
    <col min="3" max="3" width="14.109375" customWidth="1"/>
    <col min="4" max="4" width="12.6640625" customWidth="1"/>
    <col min="6" max="6" width="1.6640625" customWidth="1"/>
    <col min="7" max="7" width="39" customWidth="1"/>
    <col min="8" max="8" width="1.44140625" customWidth="1"/>
    <col min="12" max="13" width="1.5546875" customWidth="1"/>
    <col min="24" max="27" width="1.109375" customWidth="1"/>
    <col min="28" max="28" width="15.33203125" customWidth="1"/>
    <col min="40" max="40" width="11.33203125" customWidth="1"/>
    <col min="42" max="42" width="10.6640625" customWidth="1"/>
    <col min="43" max="43" width="9.44140625" bestFit="1" customWidth="1"/>
    <col min="44" max="45" width="1.33203125" customWidth="1"/>
    <col min="46" max="46" width="4.88671875" customWidth="1"/>
    <col min="47" max="47" width="19.33203125" customWidth="1"/>
    <col min="48" max="48" width="36.6640625" bestFit="1" customWidth="1"/>
    <col min="49" max="49" width="19.44140625" bestFit="1" customWidth="1"/>
    <col min="50" max="51" width="32.5546875" bestFit="1" customWidth="1"/>
    <col min="56" max="60" width="0.88671875" customWidth="1"/>
    <col min="62" max="62" width="24.44140625" bestFit="1" customWidth="1"/>
    <col min="63" max="63" width="12" bestFit="1" customWidth="1"/>
    <col min="64" max="64" width="15.109375" bestFit="1" customWidth="1"/>
    <col min="65" max="65" width="14.88671875" bestFit="1" customWidth="1"/>
    <col min="66" max="66" width="14.5546875" bestFit="1" customWidth="1"/>
    <col min="68" max="68" width="3.5546875" customWidth="1"/>
    <col min="72" max="72" width="15" bestFit="1" customWidth="1"/>
    <col min="73" max="73" width="19.6640625" customWidth="1"/>
    <col min="86" max="86" width="13.33203125" bestFit="1" customWidth="1"/>
    <col min="87" max="88" width="20.109375" bestFit="1" customWidth="1"/>
    <col min="89" max="93" width="1.6640625" customWidth="1"/>
    <col min="95" max="95" width="23.109375" bestFit="1" customWidth="1"/>
    <col min="96" max="96" width="8.6640625" bestFit="1" customWidth="1"/>
    <col min="98" max="98" width="6" bestFit="1" customWidth="1"/>
    <col min="106" max="106" width="18.6640625" bestFit="1" customWidth="1"/>
    <col min="110" max="110" width="30.44140625" bestFit="1" customWidth="1"/>
  </cols>
  <sheetData>
    <row r="1" spans="1:111" ht="15" thickBot="1">
      <c r="A1" s="7" t="s">
        <v>42</v>
      </c>
      <c r="B1" s="7" t="str">
        <f>TRIM(SUBSTITUTE(UPPER(Tearsheet!F8), "EQUITY",""))&amp;" Equity"</f>
        <v>8TRA GY Equity</v>
      </c>
      <c r="BB1" s="23"/>
      <c r="BC1" s="24"/>
      <c r="CQ1" s="22" t="s">
        <v>428</v>
      </c>
      <c r="CR1" s="23"/>
      <c r="CS1" s="23"/>
      <c r="CT1" s="23"/>
      <c r="CU1" s="23"/>
      <c r="CV1" s="23"/>
      <c r="CW1" s="23"/>
      <c r="CX1" s="23"/>
      <c r="CY1" s="23"/>
      <c r="CZ1" s="24"/>
      <c r="DF1" s="98" t="s">
        <v>539</v>
      </c>
    </row>
    <row r="2" spans="1:111" ht="16.2" thickBot="1">
      <c r="E2">
        <v>3</v>
      </c>
      <c r="N2" s="43" t="s">
        <v>386</v>
      </c>
      <c r="AB2" s="22" t="e">
        <f ca="1">_xll.BDP(BB_TICKER,"BEST_PERIOD_END_DATE"," BEST_FPERIOD_OVERRIDE="&amp;AB$4)</f>
        <v>#NAME?</v>
      </c>
      <c r="AC2" s="23" t="e">
        <f ca="1">_xll.BDP(BB_TICKER,"BEST_PERIOD_END_DATE"," BEST_FPERIOD_OVERRIDE="&amp;AC$4)</f>
        <v>#NAME?</v>
      </c>
      <c r="AD2" s="23" t="e">
        <f ca="1">_xll.BDP(BB_TICKER,"BEST_PERIOD_END_DATE"," BEST_FPERIOD_OVERRIDE="&amp;AD$4)</f>
        <v>#NAME?</v>
      </c>
      <c r="AE2" s="23" t="e">
        <f ca="1">_xll.BDP(BB_TICKER,"BEST_PERIOD_END_DATE"," BEST_FPERIOD_OVERRIDE="&amp;AE$4)</f>
        <v>#NAME?</v>
      </c>
      <c r="AF2" s="23" t="e">
        <f ca="1">_xll.BDP(BB_TICKER,"BEST_PERIOD_END_DATE"," BEST_FPERIOD_OVERRIDE="&amp;AF$4)</f>
        <v>#NAME?</v>
      </c>
      <c r="AG2" s="23" t="e">
        <f ca="1">_xll.BDP(BB_TICKER,"BEST_PERIOD_END_DATE"," BEST_FPERIOD_OVERRIDE="&amp;AG$4)</f>
        <v>#NAME?</v>
      </c>
      <c r="AH2" s="23" t="e">
        <f ca="1">_xll.BDP(BB_TICKER,"BEST_PERIOD_END_DATE"," BEST_FPERIOD_OVERRIDE="&amp;AH$4)</f>
        <v>#NAME?</v>
      </c>
      <c r="AI2" s="23" t="e">
        <f ca="1">_xll.BDP(BB_TICKER,"BEST_PERIOD_END_DATE"," BEST_FPERIOD_OVERRIDE="&amp;AI$4)</f>
        <v>#NAME?</v>
      </c>
      <c r="AJ2" s="23" t="e">
        <f ca="1">_xll.BDP(BB_TICKER,"BEST_PERIOD_END_DATE"," BEST_FPERIOD_OVERRIDE="&amp;AJ$4)</f>
        <v>#NAME?</v>
      </c>
      <c r="AK2" s="23" t="e">
        <f ca="1">_xll.BDP(BB_TICKER,"BEST_PERIOD_END_DATE"," BEST_FPERIOD_OVERRIDE="&amp;AK$4)</f>
        <v>#NAME?</v>
      </c>
      <c r="AL2" s="23" t="e">
        <f ca="1">_xll.BDP(BB_TICKER,"BEST_PERIOD_END_DATE"," BEST_FPERIOD_OVERRIDE="&amp;AL$4)</f>
        <v>#NAME?</v>
      </c>
      <c r="AM2" s="24" t="e">
        <f ca="1">_xll.BDP(BB_TICKER,"BEST_PERIOD_END_DATE"," BEST_FPERIOD_OVERRIDE="&amp;AM$4)</f>
        <v>#NAME?</v>
      </c>
      <c r="BC2" s="26"/>
      <c r="BT2" s="22"/>
      <c r="BU2" s="23"/>
      <c r="BV2" s="23"/>
      <c r="BW2" s="23"/>
      <c r="BX2" s="23"/>
      <c r="BY2" s="23"/>
      <c r="BZ2" s="23"/>
      <c r="CA2" s="23"/>
      <c r="CB2" s="23"/>
      <c r="CC2" s="23"/>
      <c r="CD2" s="23"/>
      <c r="CE2" s="23"/>
      <c r="CF2" s="24"/>
      <c r="CH2" s="64" t="s">
        <v>370</v>
      </c>
      <c r="CI2" s="56">
        <v>1</v>
      </c>
      <c r="CJ2" s="57"/>
      <c r="CQ2" s="77" t="s">
        <v>425</v>
      </c>
      <c r="CR2" s="79">
        <v>3</v>
      </c>
      <c r="CZ2" s="26"/>
      <c r="DF2" s="98" t="s">
        <v>540</v>
      </c>
    </row>
    <row r="3" spans="1:111" ht="15" thickBot="1">
      <c r="A3" s="30" t="s">
        <v>144</v>
      </c>
      <c r="B3" s="32" t="s">
        <v>145</v>
      </c>
      <c r="D3" s="436" t="s">
        <v>152</v>
      </c>
      <c r="E3" s="437"/>
      <c r="G3" s="8" t="s">
        <v>296</v>
      </c>
      <c r="I3" s="36" t="s">
        <v>48</v>
      </c>
      <c r="J3" s="31"/>
      <c r="K3" s="32"/>
      <c r="N3" s="25" t="s">
        <v>341</v>
      </c>
      <c r="O3" s="23"/>
      <c r="P3" s="7">
        <v>4</v>
      </c>
      <c r="Q3" s="7" t="str">
        <f>VLOOKUP($P$3,$O$4:$P$8,2,FALSE)</f>
        <v>5 Years</v>
      </c>
      <c r="R3" s="23"/>
      <c r="S3" s="23"/>
      <c r="T3" s="23"/>
      <c r="U3" s="23"/>
      <c r="V3" s="23"/>
      <c r="W3" s="23"/>
      <c r="AB3" s="25" t="e">
        <f ca="1">_xll.BDP(BB_TICKER," BEST_FISCAL_PERIOD_DT"," BEST_FPERIOD_OVERRIDE="&amp;AB$4)</f>
        <v>#NAME?</v>
      </c>
      <c r="AC3" t="e">
        <f ca="1">_xll.BDP(BB_TICKER," BEST_FISCAL_PERIOD_DT"," BEST_FPERIOD_OVERRIDE="&amp;AC$4)</f>
        <v>#NAME?</v>
      </c>
      <c r="AD3" t="e">
        <f ca="1">_xll.BDP(BB_TICKER," BEST_FISCAL_PERIOD_DT"," BEST_FPERIOD_OVERRIDE="&amp;AD$4)</f>
        <v>#NAME?</v>
      </c>
      <c r="AE3" t="e">
        <f ca="1">_xll.BDP(BB_TICKER," BEST_FISCAL_PERIOD_DT"," BEST_FPERIOD_OVERRIDE="&amp;AE$4)</f>
        <v>#NAME?</v>
      </c>
      <c r="AF3" t="e">
        <f ca="1">_xll.BDP(BB_TICKER," BEST_FISCAL_PERIOD_DT"," BEST_FPERIOD_OVERRIDE="&amp;AF$4)</f>
        <v>#NAME?</v>
      </c>
      <c r="AG3" t="e">
        <f ca="1">_xll.BDP(BB_TICKER," BEST_FISCAL_PERIOD_DT"," BEST_FPERIOD_OVERRIDE="&amp;AG$4)</f>
        <v>#NAME?</v>
      </c>
      <c r="AH3" t="e">
        <f ca="1">_xll.BDP(BB_TICKER," BEST_FISCAL_PERIOD_DT"," BEST_FPERIOD_OVERRIDE="&amp;AH$4)</f>
        <v>#NAME?</v>
      </c>
      <c r="AI3" t="e">
        <f ca="1">_xll.BDP(BB_TICKER," BEST_FISCAL_PERIOD_DT"," BEST_FPERIOD_OVERRIDE="&amp;AI$4)</f>
        <v>#NAME?</v>
      </c>
      <c r="AJ3" t="e">
        <f ca="1">_xll.BDP(BB_TICKER," BEST_FISCAL_PERIOD_DT"," BEST_FPERIOD_OVERRIDE="&amp;AJ$4)</f>
        <v>#NAME?</v>
      </c>
      <c r="AK3" t="e">
        <f ca="1">_xll.BDP(BB_TICKER," BEST_FISCAL_PERIOD_DT"," BEST_FPERIOD_OVERRIDE="&amp;AK$4)</f>
        <v>#NAME?</v>
      </c>
      <c r="AL3" t="e">
        <f ca="1">_xll.BDP(BB_TICKER," BEST_FISCAL_PERIOD_DT"," BEST_FPERIOD_OVERRIDE="&amp;AL$4)</f>
        <v>#NAME?</v>
      </c>
      <c r="AM3" s="26" t="e">
        <f ca="1">_xll.BDP(BB_TICKER," BEST_FISCAL_PERIOD_DT"," BEST_FPERIOD_OVERRIDE="&amp;AM$4)</f>
        <v>#NAME?</v>
      </c>
      <c r="AU3" s="65" t="s">
        <v>385</v>
      </c>
      <c r="BC3" s="26"/>
      <c r="BT3" s="47" t="s">
        <v>181</v>
      </c>
      <c r="CF3" s="26"/>
      <c r="CH3" s="58">
        <v>1</v>
      </c>
      <c r="CI3" s="59" t="s">
        <v>371</v>
      </c>
      <c r="CJ3" s="60"/>
      <c r="CQ3" s="80" t="s">
        <v>394</v>
      </c>
      <c r="CR3" s="78" t="str">
        <f>VLOOKUP(CR15,BB_DISP_ORDER_TABLE,3,FALSE)</f>
        <v>A</v>
      </c>
      <c r="CZ3" s="26"/>
    </row>
    <row r="4" spans="1:111">
      <c r="A4" s="25" t="s">
        <v>146</v>
      </c>
      <c r="B4" s="26" t="s">
        <v>147</v>
      </c>
      <c r="D4" s="25">
        <v>1</v>
      </c>
      <c r="E4" s="26" t="s">
        <v>153</v>
      </c>
      <c r="G4" s="40" t="str">
        <f>Tearsheet!F8</f>
        <v>8TRA GY</v>
      </c>
      <c r="I4" s="25"/>
      <c r="J4" s="7" t="s">
        <v>51</v>
      </c>
      <c r="K4" s="37" t="s">
        <v>52</v>
      </c>
      <c r="N4" s="25" t="s">
        <v>336</v>
      </c>
      <c r="O4">
        <v>1</v>
      </c>
      <c r="P4" t="s">
        <v>337</v>
      </c>
      <c r="Q4" s="1" t="e">
        <f ca="1">DATE(YEAR($O$16),MONTH(12), DAY(0))</f>
        <v>#NAME?</v>
      </c>
      <c r="W4" s="26"/>
      <c r="AB4" s="44" t="s">
        <v>295</v>
      </c>
      <c r="AC4" s="45" t="s">
        <v>293</v>
      </c>
      <c r="AD4" t="s">
        <v>56</v>
      </c>
      <c r="AE4" t="s">
        <v>57</v>
      </c>
      <c r="AF4" t="s">
        <v>58</v>
      </c>
      <c r="AG4" t="s">
        <v>59</v>
      </c>
      <c r="AH4" t="s">
        <v>60</v>
      </c>
      <c r="AI4" t="s">
        <v>61</v>
      </c>
      <c r="AJ4" t="s">
        <v>62</v>
      </c>
      <c r="AK4" t="s">
        <v>63</v>
      </c>
      <c r="AL4" t="s">
        <v>64</v>
      </c>
      <c r="AM4" s="26" t="s">
        <v>65</v>
      </c>
      <c r="AT4" s="22"/>
      <c r="AU4" s="23"/>
      <c r="AV4" s="23" t="s">
        <v>44</v>
      </c>
      <c r="AW4" s="23" t="s">
        <v>45</v>
      </c>
      <c r="AX4" s="23" t="s">
        <v>46</v>
      </c>
      <c r="AY4" s="23"/>
      <c r="AZ4" s="23"/>
      <c r="BA4" s="23"/>
      <c r="BB4" s="23"/>
      <c r="BC4" s="24"/>
      <c r="BI4" s="30" t="s">
        <v>26</v>
      </c>
      <c r="BJ4" s="31"/>
      <c r="BK4" s="23"/>
      <c r="BL4" s="23"/>
      <c r="BM4" s="22">
        <v>1</v>
      </c>
      <c r="BN4" s="23" t="s">
        <v>527</v>
      </c>
      <c r="BO4" s="24" t="s">
        <v>369</v>
      </c>
      <c r="BP4" s="24"/>
      <c r="BT4" s="25"/>
      <c r="BV4">
        <v>11</v>
      </c>
      <c r="BW4">
        <v>10</v>
      </c>
      <c r="BX4">
        <v>9</v>
      </c>
      <c r="BY4">
        <v>8</v>
      </c>
      <c r="BZ4">
        <v>7</v>
      </c>
      <c r="CA4">
        <v>6</v>
      </c>
      <c r="CB4">
        <v>5</v>
      </c>
      <c r="CC4">
        <v>4</v>
      </c>
      <c r="CD4">
        <v>3</v>
      </c>
      <c r="CE4">
        <v>2</v>
      </c>
      <c r="CF4">
        <v>1</v>
      </c>
      <c r="CH4" s="58">
        <v>2</v>
      </c>
      <c r="CI4" s="59" t="s">
        <v>357</v>
      </c>
      <c r="CJ4" s="60" t="s">
        <v>357</v>
      </c>
      <c r="CQ4" s="80" t="s">
        <v>390</v>
      </c>
      <c r="CR4" s="78" t="str">
        <f>IF(VLOOKUP(CU15,BB_CURNCY_TABLE,3,FALSE)=0,"",VLOOKUP(CU15,BB_CURNCY_TABLE,3,FALSE))</f>
        <v>USD</v>
      </c>
      <c r="CZ4" s="26"/>
    </row>
    <row r="5" spans="1:111" ht="15" thickBot="1">
      <c r="A5" s="25" t="s">
        <v>148</v>
      </c>
      <c r="B5" s="26" t="s">
        <v>149</v>
      </c>
      <c r="D5" s="25">
        <v>2</v>
      </c>
      <c r="E5" s="26" t="s">
        <v>154</v>
      </c>
      <c r="G5" s="41" t="e">
        <f ca="1">_xll.BDS(BB_TICKER,"BLOOMBERG_PEERS","cols=1;rows=5")</f>
        <v>#NAME?</v>
      </c>
      <c r="I5" s="38" t="e">
        <f ca="1">_xll.BDH(BB_TICKER,"PX_LAST","-1fy","",BDH_OVERRIDES,BDH_OVERRIDES_DATA,"Days=A","Fill=P","cols=2;rows=549")</f>
        <v>#NAME?</v>
      </c>
      <c r="J5">
        <v>27.95</v>
      </c>
      <c r="K5" s="103" t="e">
        <f ca="1">_xll.BDH(BB_TICKER,"VOLUME","-1fy","",BDH_OVERRIDES,BDH_OVERRIDES_DATA,"Dts=H","Days=A","Fill=P","cols=1;rows=549")</f>
        <v>#NAME?</v>
      </c>
      <c r="N5" s="25"/>
      <c r="O5">
        <v>2</v>
      </c>
      <c r="P5" t="s">
        <v>338</v>
      </c>
      <c r="Q5" s="1" t="e">
        <f ca="1">DATE(YEAR($O$16)-1,MONTH($O$16), DAY($O$16))</f>
        <v>#NAME?</v>
      </c>
      <c r="W5" s="26"/>
      <c r="AB5" s="27"/>
      <c r="AC5" s="28"/>
      <c r="AD5" s="28"/>
      <c r="AE5" s="28"/>
      <c r="AF5" s="28"/>
      <c r="AG5" s="28"/>
      <c r="AH5" s="28"/>
      <c r="AI5" s="28"/>
      <c r="AJ5" s="28"/>
      <c r="AK5" s="28"/>
      <c r="AL5" s="28"/>
      <c r="AM5" s="29"/>
      <c r="AT5" s="25"/>
      <c r="AU5" s="15" t="s">
        <v>47</v>
      </c>
      <c r="AV5" t="str">
        <f>VLOOKUP($BA$5,$AT$16:$AU$39,2,FALSE)</f>
        <v>EBITDA</v>
      </c>
      <c r="AW5" t="str">
        <f>VLOOKUP($AV$5,$AU$16:$AW$39,2,FALSE)</f>
        <v>EBITDA</v>
      </c>
      <c r="AX5" t="str">
        <f>VLOOKUP($AV$5,$AU$16:$AW$39,3,FALSE)</f>
        <v>BEST_EBITDA</v>
      </c>
      <c r="AZ5" s="46" t="s">
        <v>383</v>
      </c>
      <c r="BA5">
        <v>17</v>
      </c>
      <c r="BC5" s="26"/>
      <c r="BI5" s="25"/>
      <c r="BJ5" t="s">
        <v>533</v>
      </c>
      <c r="BK5">
        <v>5</v>
      </c>
      <c r="BM5" s="25">
        <v>2</v>
      </c>
      <c r="BN5" t="s">
        <v>528</v>
      </c>
      <c r="BO5" s="26" t="s">
        <v>532</v>
      </c>
      <c r="BP5" s="26"/>
      <c r="BT5" s="25"/>
      <c r="BV5" s="1" t="e">
        <f ca="1">_xll.BDH(BB_TICKER,BU6:BU13,"-10fy","","Per=FY","Dts=S","Dir=H","Fill=B","Days=A",BDH_OVERRIDES,BDH_OVERRIDES_DATA,"cols=11;rows=9")</f>
        <v>#NAME?</v>
      </c>
      <c r="BW5" s="1">
        <v>42735</v>
      </c>
      <c r="BX5" s="1">
        <v>43100</v>
      </c>
      <c r="BY5" s="1">
        <v>43465</v>
      </c>
      <c r="BZ5" s="1">
        <v>43830</v>
      </c>
      <c r="CA5" s="1">
        <v>44196</v>
      </c>
      <c r="CB5" s="1">
        <v>44561</v>
      </c>
      <c r="CC5" s="1">
        <v>44926</v>
      </c>
      <c r="CD5" s="1">
        <v>45291</v>
      </c>
      <c r="CE5" s="1">
        <v>45657</v>
      </c>
      <c r="CF5" s="48">
        <v>46022</v>
      </c>
      <c r="CH5" s="58">
        <v>3</v>
      </c>
      <c r="CI5" s="59" t="s">
        <v>372</v>
      </c>
      <c r="CJ5" s="60" t="s">
        <v>372</v>
      </c>
      <c r="CQ5" s="80" t="s">
        <v>420</v>
      </c>
      <c r="CR5" s="94">
        <f>VLOOKUP(CX15,BB_PERIOD_TABLE,3,FALSE)</f>
        <v>0</v>
      </c>
      <c r="CZ5" s="26"/>
    </row>
    <row r="6" spans="1:111" ht="15" thickBot="1">
      <c r="A6" s="25" t="s">
        <v>150</v>
      </c>
      <c r="B6" s="26"/>
      <c r="D6" s="25">
        <v>3</v>
      </c>
      <c r="E6" s="26" t="s">
        <v>155</v>
      </c>
      <c r="G6" s="41" t="s">
        <v>704</v>
      </c>
      <c r="I6" s="38">
        <v>45658</v>
      </c>
      <c r="J6">
        <v>27.95</v>
      </c>
      <c r="K6" s="26">
        <v>37043</v>
      </c>
      <c r="N6" s="25"/>
      <c r="O6">
        <v>3</v>
      </c>
      <c r="P6" t="s">
        <v>342</v>
      </c>
      <c r="Q6" s="1" t="e">
        <f ca="1">DATE(YEAR($O$16)-3,MONTH($O$16), DAY($O$16))</f>
        <v>#NAME?</v>
      </c>
      <c r="W6" s="26"/>
      <c r="AT6" s="25"/>
      <c r="BC6" s="26"/>
      <c r="BI6" s="25"/>
      <c r="BJ6" t="s">
        <v>525</v>
      </c>
      <c r="BK6" t="s">
        <v>518</v>
      </c>
      <c r="BM6" s="25">
        <v>3</v>
      </c>
      <c r="BN6" t="s">
        <v>529</v>
      </c>
      <c r="BO6" s="26" t="s">
        <v>368</v>
      </c>
      <c r="BP6" s="26"/>
      <c r="BT6" s="49" t="s">
        <v>20</v>
      </c>
      <c r="BU6" t="s">
        <v>107</v>
      </c>
      <c r="BV6">
        <v>139.6241</v>
      </c>
      <c r="BW6">
        <v>21915</v>
      </c>
      <c r="BX6">
        <v>24366</v>
      </c>
      <c r="BY6">
        <v>25927</v>
      </c>
      <c r="BZ6">
        <v>26901</v>
      </c>
      <c r="CA6">
        <v>22580</v>
      </c>
      <c r="CB6">
        <v>30620</v>
      </c>
      <c r="CC6">
        <v>40335</v>
      </c>
      <c r="CD6">
        <v>46872</v>
      </c>
      <c r="CE6">
        <v>47473</v>
      </c>
      <c r="CF6" s="26">
        <v>44051</v>
      </c>
      <c r="CH6" s="58">
        <v>4</v>
      </c>
      <c r="CI6" s="59" t="s">
        <v>373</v>
      </c>
      <c r="CJ6" s="60" t="s">
        <v>373</v>
      </c>
      <c r="CQ6" s="80" t="s">
        <v>421</v>
      </c>
      <c r="CR6" s="78" t="b">
        <v>1</v>
      </c>
      <c r="CZ6" s="26"/>
    </row>
    <row r="7" spans="1:111" ht="16.2" thickBot="1">
      <c r="A7" s="27" t="s">
        <v>151</v>
      </c>
      <c r="B7" s="29"/>
      <c r="D7" s="25">
        <v>4</v>
      </c>
      <c r="E7" s="26" t="s">
        <v>156</v>
      </c>
      <c r="G7" s="41" t="s">
        <v>669</v>
      </c>
      <c r="I7" s="38">
        <v>45659</v>
      </c>
      <c r="J7">
        <v>28.2</v>
      </c>
      <c r="K7" s="26">
        <v>111226</v>
      </c>
      <c r="N7" s="25"/>
      <c r="O7">
        <v>4</v>
      </c>
      <c r="P7" t="s">
        <v>340</v>
      </c>
      <c r="Q7" s="1" t="e">
        <f ca="1">DATE(YEAR($O$16)-5,MONTH($O$16), DAY($O$16))</f>
        <v>#NAME?</v>
      </c>
      <c r="W7" s="26"/>
      <c r="AB7" s="33" t="s">
        <v>15</v>
      </c>
      <c r="AC7" s="33"/>
      <c r="AT7" s="25"/>
      <c r="BC7" s="26"/>
      <c r="BI7" s="25"/>
      <c r="BJ7" t="s">
        <v>526</v>
      </c>
      <c r="BK7" t="str">
        <f>VLOOKUP($BK$5,$BM$4:$BO$8,3,FALSE)</f>
        <v>Y</v>
      </c>
      <c r="BM7" s="25">
        <v>4</v>
      </c>
      <c r="BN7" t="s">
        <v>530</v>
      </c>
      <c r="BO7" s="26" t="s">
        <v>522</v>
      </c>
      <c r="BP7" s="26"/>
      <c r="BT7" s="49" t="s">
        <v>21</v>
      </c>
      <c r="BU7" s="50" t="s">
        <v>21</v>
      </c>
      <c r="BV7">
        <v>4.9744999999999999</v>
      </c>
      <c r="BW7">
        <v>727</v>
      </c>
      <c r="BX7">
        <v>1512</v>
      </c>
      <c r="BY7">
        <v>1513</v>
      </c>
      <c r="BZ7">
        <v>1882</v>
      </c>
      <c r="CA7">
        <v>81</v>
      </c>
      <c r="CB7">
        <v>394</v>
      </c>
      <c r="CC7">
        <v>1564</v>
      </c>
      <c r="CD7">
        <v>3763</v>
      </c>
      <c r="CE7">
        <v>4209</v>
      </c>
      <c r="CF7" s="26">
        <v>2426</v>
      </c>
      <c r="CH7" s="58">
        <v>5</v>
      </c>
      <c r="CI7" s="59" t="s">
        <v>358</v>
      </c>
      <c r="CJ7" s="60" t="s">
        <v>358</v>
      </c>
      <c r="CQ7" s="81" t="s">
        <v>422</v>
      </c>
      <c r="CR7" s="78" t="b">
        <v>0</v>
      </c>
      <c r="CZ7" s="26"/>
      <c r="DF7" t="s">
        <v>541</v>
      </c>
    </row>
    <row r="8" spans="1:111" ht="15" thickBot="1">
      <c r="D8" s="25">
        <v>5</v>
      </c>
      <c r="E8" s="26" t="s">
        <v>157</v>
      </c>
      <c r="G8" s="41" t="s">
        <v>670</v>
      </c>
      <c r="I8" s="38">
        <v>45660</v>
      </c>
      <c r="J8">
        <v>28.2</v>
      </c>
      <c r="K8" s="26">
        <v>58227</v>
      </c>
      <c r="N8" s="25"/>
      <c r="O8">
        <v>5</v>
      </c>
      <c r="P8" t="s">
        <v>339</v>
      </c>
      <c r="Q8" s="1" t="e">
        <f ca="1">DATE(YEAR($O$16)-10,MONTH($O$16), DAY($O$16))</f>
        <v>#NAME?</v>
      </c>
      <c r="W8" s="26"/>
      <c r="AB8" s="22"/>
      <c r="AC8" s="23"/>
      <c r="AD8" s="23" t="str">
        <f>Tearsheet!L41</f>
        <v>LAST_PRICE</v>
      </c>
      <c r="AE8" s="23"/>
      <c r="AF8" s="23"/>
      <c r="AG8" s="23"/>
      <c r="AH8" s="23"/>
      <c r="AI8" s="23"/>
      <c r="AJ8" s="23"/>
      <c r="AK8" s="23"/>
      <c r="AL8" s="23"/>
      <c r="AM8" s="23"/>
      <c r="AN8" s="23"/>
      <c r="AO8" s="24"/>
      <c r="AT8" s="25"/>
      <c r="AU8" s="15" t="s">
        <v>67</v>
      </c>
      <c r="AV8" t="str">
        <f>VLOOKUP($BA$8,$AT$16:$AU$39,2,FALSE)</f>
        <v>EBITDA</v>
      </c>
      <c r="AW8" t="str">
        <f>VLOOKUP($AV$8,$AU$16:$AW$39,2,FALSE)</f>
        <v>EBITDA</v>
      </c>
      <c r="AX8" t="str">
        <f>VLOOKUP($AV$8,$AU$16:$AW$39,3,FALSE)</f>
        <v>BEST_EBITDA</v>
      </c>
      <c r="AZ8" s="46" t="s">
        <v>384</v>
      </c>
      <c r="BA8">
        <v>17</v>
      </c>
      <c r="BC8" s="26"/>
      <c r="BI8" s="25"/>
      <c r="BJ8" t="s">
        <v>521</v>
      </c>
      <c r="BM8" s="27">
        <v>5</v>
      </c>
      <c r="BN8" s="28" t="s">
        <v>531</v>
      </c>
      <c r="BO8" s="29" t="s">
        <v>519</v>
      </c>
      <c r="BP8" s="26"/>
      <c r="BT8" s="51" t="s">
        <v>14</v>
      </c>
      <c r="BU8" s="50" t="s">
        <v>14</v>
      </c>
      <c r="BW8">
        <v>2593</v>
      </c>
      <c r="BX8">
        <v>3453</v>
      </c>
      <c r="BY8">
        <v>3406</v>
      </c>
      <c r="BZ8">
        <v>4084</v>
      </c>
      <c r="CA8">
        <v>2520</v>
      </c>
      <c r="CB8">
        <v>3123</v>
      </c>
      <c r="CC8">
        <v>4546</v>
      </c>
      <c r="CD8">
        <v>6624</v>
      </c>
      <c r="CE8">
        <v>7184</v>
      </c>
      <c r="CF8" s="26">
        <v>5573</v>
      </c>
      <c r="CH8" s="58">
        <v>6</v>
      </c>
      <c r="CI8" s="59" t="s">
        <v>356</v>
      </c>
      <c r="CJ8" s="60" t="s">
        <v>356</v>
      </c>
      <c r="CQ8" s="80" t="s">
        <v>423</v>
      </c>
      <c r="CR8" s="78" t="s">
        <v>424</v>
      </c>
      <c r="CZ8" s="26"/>
      <c r="DF8" s="99" t="s">
        <v>544</v>
      </c>
      <c r="DG8" s="99" t="str">
        <f>IF(Tearsheet!$I$8="Local","",Tearsheet!$I$8)</f>
        <v/>
      </c>
    </row>
    <row r="9" spans="1:111">
      <c r="D9" s="25">
        <v>6</v>
      </c>
      <c r="E9" s="26" t="s">
        <v>158</v>
      </c>
      <c r="G9" s="41" t="s">
        <v>705</v>
      </c>
      <c r="I9" s="38">
        <v>45661</v>
      </c>
      <c r="J9">
        <v>28.2</v>
      </c>
      <c r="K9" s="26">
        <v>58227</v>
      </c>
      <c r="N9" s="25"/>
      <c r="W9" s="26"/>
      <c r="AB9" s="25" t="str">
        <f>BB_TICKER</f>
        <v>8TRA GY Equity</v>
      </c>
      <c r="AC9" s="1" t="e">
        <f ca="1">_xll.BDH(BB_TICKER,$AD$8,"-9fy","","Per=FY","Dts=S","Dir=H","Fill=B","Days=A",BDH_OVERRIDES,BDH_OVERRIDES_DATA,"cols=10;rows=2")</f>
        <v>#NAME?</v>
      </c>
      <c r="AD9" s="1">
        <v>43100</v>
      </c>
      <c r="AE9" s="1">
        <v>43465</v>
      </c>
      <c r="AF9" s="1">
        <v>43830</v>
      </c>
      <c r="AG9" s="1">
        <v>44196</v>
      </c>
      <c r="AH9" s="1">
        <v>44561</v>
      </c>
      <c r="AI9" s="1">
        <v>44926</v>
      </c>
      <c r="AJ9" s="1">
        <v>45291</v>
      </c>
      <c r="AK9" s="1">
        <v>45657</v>
      </c>
      <c r="AL9" s="1">
        <v>46022</v>
      </c>
      <c r="AO9" s="26"/>
      <c r="AT9" s="25"/>
      <c r="BC9" s="26"/>
      <c r="BI9" s="25"/>
      <c r="BP9" s="26"/>
      <c r="BT9" s="51" t="s">
        <v>22</v>
      </c>
      <c r="BU9" s="50" t="s">
        <v>115</v>
      </c>
      <c r="BW9">
        <v>208</v>
      </c>
      <c r="BX9">
        <v>1029</v>
      </c>
      <c r="BY9">
        <v>1390</v>
      </c>
      <c r="BZ9">
        <v>1518</v>
      </c>
      <c r="CA9">
        <v>-101</v>
      </c>
      <c r="CB9">
        <v>457</v>
      </c>
      <c r="CC9">
        <v>1141</v>
      </c>
      <c r="CD9">
        <v>2451</v>
      </c>
      <c r="CE9">
        <v>2804</v>
      </c>
      <c r="CF9" s="26">
        <v>1547</v>
      </c>
      <c r="CH9" s="58">
        <v>7</v>
      </c>
      <c r="CI9" s="59" t="s">
        <v>374</v>
      </c>
      <c r="CJ9" s="60" t="s">
        <v>374</v>
      </c>
      <c r="CQ9" s="25" t="s">
        <v>504</v>
      </c>
      <c r="CR9" t="s">
        <v>508</v>
      </c>
      <c r="CZ9" s="26"/>
      <c r="DF9" s="99" t="s">
        <v>546</v>
      </c>
      <c r="DG9" s="99" t="str">
        <f>LEFT(Tearsheet!$K$8,1)</f>
        <v>C</v>
      </c>
    </row>
    <row r="10" spans="1:111">
      <c r="D10" s="25">
        <v>7</v>
      </c>
      <c r="E10" s="26" t="s">
        <v>159</v>
      </c>
      <c r="G10" s="41"/>
      <c r="I10" s="38">
        <v>45662</v>
      </c>
      <c r="J10">
        <v>28.2</v>
      </c>
      <c r="K10" s="26">
        <v>58227</v>
      </c>
      <c r="N10" s="25"/>
      <c r="W10" s="26"/>
      <c r="AB10" s="25"/>
      <c r="AF10">
        <v>23.914999999999999</v>
      </c>
      <c r="AG10">
        <v>22.605</v>
      </c>
      <c r="AH10">
        <v>22.14</v>
      </c>
      <c r="AI10">
        <v>14.13</v>
      </c>
      <c r="AJ10">
        <v>21.32</v>
      </c>
      <c r="AK10">
        <v>27.95</v>
      </c>
      <c r="AL10">
        <v>30.5</v>
      </c>
      <c r="AO10" s="26"/>
      <c r="AT10" s="25"/>
      <c r="BC10" s="26"/>
      <c r="BI10" s="25"/>
      <c r="BP10" s="26"/>
      <c r="BT10" s="51" t="s">
        <v>23</v>
      </c>
      <c r="BU10" s="50" t="s">
        <v>102</v>
      </c>
      <c r="BX10">
        <v>2.0579999999999998</v>
      </c>
      <c r="BY10">
        <v>2.78</v>
      </c>
      <c r="BZ10">
        <v>3.04</v>
      </c>
      <c r="CA10">
        <v>-0.2</v>
      </c>
      <c r="CB10">
        <v>0.91</v>
      </c>
      <c r="CC10">
        <v>2.2799999999999998</v>
      </c>
      <c r="CD10">
        <v>4.9000000000000004</v>
      </c>
      <c r="CE10">
        <v>5.61</v>
      </c>
      <c r="CF10" s="26">
        <v>3.09</v>
      </c>
      <c r="CH10" s="58">
        <v>8</v>
      </c>
      <c r="CI10" s="59" t="s">
        <v>375</v>
      </c>
      <c r="CJ10" s="60" t="s">
        <v>375</v>
      </c>
      <c r="CQ10" s="25"/>
      <c r="CZ10" s="26"/>
    </row>
    <row r="11" spans="1:111">
      <c r="D11" s="25">
        <v>8</v>
      </c>
      <c r="E11" s="26" t="s">
        <v>160</v>
      </c>
      <c r="G11" s="41"/>
      <c r="I11" s="38">
        <v>45663</v>
      </c>
      <c r="J11">
        <v>29.7</v>
      </c>
      <c r="K11" s="26">
        <v>93800</v>
      </c>
      <c r="N11" s="25"/>
      <c r="W11" s="26"/>
      <c r="AB11" s="25"/>
      <c r="AD11" t="e">
        <f>AD10/AC10-1</f>
        <v>#DIV/0!</v>
      </c>
      <c r="AE11" t="e">
        <f>AE10/AD10-1</f>
        <v>#DIV/0!</v>
      </c>
      <c r="AF11" t="e">
        <f>AF10/AE10-1</f>
        <v>#DIV/0!</v>
      </c>
      <c r="AG11">
        <f t="shared" ref="AG11:AL11" si="0">AG10/AF10-1</f>
        <v>-5.4777336399749021E-2</v>
      </c>
      <c r="AH11">
        <f t="shared" si="0"/>
        <v>-2.0570670205706687E-2</v>
      </c>
      <c r="AI11">
        <f t="shared" si="0"/>
        <v>-0.36178861788617889</v>
      </c>
      <c r="AJ11">
        <f>AJ10/AI10-1</f>
        <v>0.50884642604387831</v>
      </c>
      <c r="AK11">
        <f t="shared" si="0"/>
        <v>0.31097560975609762</v>
      </c>
      <c r="AL11">
        <f t="shared" si="0"/>
        <v>9.1234347048300579E-2</v>
      </c>
      <c r="AO11" s="26"/>
      <c r="AT11" s="25"/>
      <c r="BC11" s="26"/>
      <c r="BI11" s="25"/>
      <c r="BP11" s="26"/>
      <c r="BT11" s="51" t="s">
        <v>24</v>
      </c>
      <c r="BU11" s="50" t="s">
        <v>120</v>
      </c>
      <c r="BX11">
        <v>6</v>
      </c>
      <c r="BY11">
        <v>0</v>
      </c>
      <c r="BZ11">
        <v>1</v>
      </c>
      <c r="CA11">
        <v>0.25</v>
      </c>
      <c r="CB11">
        <v>0.5</v>
      </c>
      <c r="CC11">
        <v>0.7</v>
      </c>
      <c r="CD11">
        <v>1.5</v>
      </c>
      <c r="CE11">
        <v>1.7</v>
      </c>
      <c r="CF11" s="26">
        <v>0.93</v>
      </c>
      <c r="CH11" s="58">
        <v>9</v>
      </c>
      <c r="CI11" s="59" t="s">
        <v>376</v>
      </c>
      <c r="CJ11" s="60" t="s">
        <v>376</v>
      </c>
      <c r="CQ11" s="25"/>
      <c r="CZ11" s="26"/>
      <c r="DF11" t="s">
        <v>542</v>
      </c>
    </row>
    <row r="12" spans="1:111">
      <c r="D12" s="25">
        <v>9</v>
      </c>
      <c r="E12" s="26" t="s">
        <v>161</v>
      </c>
      <c r="G12" s="41"/>
      <c r="I12" s="38">
        <v>45664</v>
      </c>
      <c r="J12">
        <v>29.25</v>
      </c>
      <c r="K12" s="26">
        <v>149331</v>
      </c>
      <c r="N12" s="25"/>
      <c r="W12" s="26"/>
      <c r="AB12" s="25" t="str">
        <f>Tearsheet!L44</f>
        <v>DIVIDEND_YIELD</v>
      </c>
      <c r="AC12" t="e">
        <f ca="1">_xll.BDH($AB$9,"DIVIDEND_YIELD","-9cy","","Per=cY","Dts=H","Dir=H","Fill=B","Days=A",BDH_OVERRIDES,BDH_OVERRIDES_DATA,"cols=10;rows=1")</f>
        <v>#NAME?</v>
      </c>
      <c r="AF12">
        <v>4.1814999999999998</v>
      </c>
      <c r="AG12">
        <v>1.1060000000000001</v>
      </c>
      <c r="AH12">
        <v>2.2584</v>
      </c>
      <c r="AI12">
        <v>4.9539999999999997</v>
      </c>
      <c r="AJ12">
        <v>7.0355999999999996</v>
      </c>
      <c r="AK12">
        <v>6.0823</v>
      </c>
      <c r="AL12">
        <v>3.0491999999999999</v>
      </c>
      <c r="AO12" s="26"/>
      <c r="AT12" s="25"/>
      <c r="BC12" s="26"/>
      <c r="BI12" s="25"/>
      <c r="BP12" s="26"/>
      <c r="BT12" s="51" t="s">
        <v>25</v>
      </c>
      <c r="BU12" s="50" t="s">
        <v>128</v>
      </c>
      <c r="BY12">
        <v>33.597999999999999</v>
      </c>
      <c r="BZ12">
        <v>27.728000000000002</v>
      </c>
      <c r="CA12">
        <v>25.878</v>
      </c>
      <c r="CB12">
        <v>26.885999999999999</v>
      </c>
      <c r="CC12">
        <v>28.736000000000001</v>
      </c>
      <c r="CD12">
        <v>32.963999999999999</v>
      </c>
      <c r="CE12">
        <v>35.673999999999999</v>
      </c>
      <c r="CF12" s="26">
        <v>37.268000000000001</v>
      </c>
      <c r="CH12" s="58">
        <v>10</v>
      </c>
      <c r="CI12" s="59" t="s">
        <v>377</v>
      </c>
      <c r="CJ12" s="60" t="s">
        <v>377</v>
      </c>
      <c r="CQ12" s="25"/>
      <c r="CZ12" s="26"/>
      <c r="DF12" s="99" t="s">
        <v>544</v>
      </c>
      <c r="DG12" s="99" t="str">
        <f>IF(Tearsheet!$I$8="Local","",Tearsheet!$I$8)</f>
        <v/>
      </c>
    </row>
    <row r="13" spans="1:111">
      <c r="D13" s="25">
        <v>10</v>
      </c>
      <c r="E13" s="26" t="s">
        <v>162</v>
      </c>
      <c r="G13" s="41"/>
      <c r="I13" s="38">
        <v>45665</v>
      </c>
      <c r="J13">
        <v>28.9</v>
      </c>
      <c r="K13" s="26">
        <v>85325</v>
      </c>
      <c r="N13" s="25"/>
      <c r="U13" s="54" t="s">
        <v>49</v>
      </c>
      <c r="V13" s="54" t="s">
        <v>50</v>
      </c>
      <c r="W13" s="26"/>
      <c r="AB13" s="25" t="e">
        <f ca="1">IF(TRIM(Tearsheet!$L$42)="",$O$19,Tearsheet!$L$42)</f>
        <v>#NAME?</v>
      </c>
      <c r="AC13" t="e">
        <f ca="1">_xll.BDH($AB$13,$AD$8,"-9cy","","Per=cY","Dts=H","Dir=H","Fill=B","Days=A",BDH_OVERRIDES,BDH_OVERRIDES_DATA,"cols=10;rows=1")</f>
        <v>#NAME?</v>
      </c>
      <c r="AD13">
        <v>12917.64</v>
      </c>
      <c r="AE13">
        <v>10558.96</v>
      </c>
      <c r="AF13">
        <v>13249.01</v>
      </c>
      <c r="AG13">
        <v>13718.78</v>
      </c>
      <c r="AH13">
        <v>15884.86</v>
      </c>
      <c r="AI13">
        <v>13923.59</v>
      </c>
      <c r="AJ13">
        <v>16751.64</v>
      </c>
      <c r="AK13">
        <v>19909.14</v>
      </c>
      <c r="AL13">
        <v>24490.41</v>
      </c>
      <c r="AO13" s="26"/>
      <c r="AT13" s="25"/>
      <c r="BC13" s="26"/>
      <c r="BI13" s="25"/>
      <c r="BK13" s="1" t="e">
        <f ca="1">_xll.BDP(BB_TICKER,"BEST_PERIOD_END_DATE","BEST_FPERIOD_OVERRIDE="&amp;BK27)</f>
        <v>#NAME?</v>
      </c>
      <c r="BL13" s="1" t="s">
        <v>520</v>
      </c>
      <c r="BM13" s="1" t="s">
        <v>523</v>
      </c>
      <c r="BN13" s="1" t="s">
        <v>524</v>
      </c>
      <c r="BP13" s="26"/>
      <c r="BT13" s="51" t="s">
        <v>37</v>
      </c>
      <c r="BU13" s="50" t="s">
        <v>186</v>
      </c>
      <c r="BX13">
        <v>-0.246</v>
      </c>
      <c r="BY13">
        <v>-1.1060000000000001</v>
      </c>
      <c r="BZ13">
        <v>0.182</v>
      </c>
      <c r="CA13">
        <v>1.984</v>
      </c>
      <c r="CB13">
        <v>0.80600000000000005</v>
      </c>
      <c r="CC13">
        <v>-3.9319999999999999</v>
      </c>
      <c r="CD13">
        <v>2.1219999999999999</v>
      </c>
      <c r="CE13">
        <v>1.1559999999999999</v>
      </c>
      <c r="CF13" s="26">
        <v>-1.35</v>
      </c>
      <c r="CH13" s="58">
        <v>11</v>
      </c>
      <c r="CI13" s="59" t="s">
        <v>378</v>
      </c>
      <c r="CJ13" s="60" t="s">
        <v>378</v>
      </c>
      <c r="CQ13" s="25"/>
      <c r="CZ13" s="26"/>
      <c r="DB13" t="s">
        <v>511</v>
      </c>
      <c r="DC13">
        <f>MAX(COUNTA(DC18:DC107),1)</f>
        <v>4</v>
      </c>
      <c r="DF13" s="99" t="s">
        <v>547</v>
      </c>
      <c r="DG13" s="99" t="str">
        <f>LEFT(Tearsheet!$K$8,1)</f>
        <v>C</v>
      </c>
    </row>
    <row r="14" spans="1:111">
      <c r="D14" s="25">
        <v>11</v>
      </c>
      <c r="E14" s="26" t="s">
        <v>163</v>
      </c>
      <c r="G14" s="41"/>
      <c r="I14" s="38">
        <v>45666</v>
      </c>
      <c r="J14">
        <v>29.15</v>
      </c>
      <c r="K14" s="26">
        <v>66154</v>
      </c>
      <c r="N14" s="25"/>
      <c r="T14" s="298" t="s">
        <v>54</v>
      </c>
      <c r="V14" s="298" t="s">
        <v>55</v>
      </c>
      <c r="W14" s="26"/>
      <c r="AB14" s="25"/>
      <c r="AD14" t="e">
        <f t="shared" ref="AD14:AL14" ca="1" si="1">AD13/AC13-1</f>
        <v>#NAME?</v>
      </c>
      <c r="AE14">
        <f t="shared" si="1"/>
        <v>-0.18259372455030487</v>
      </c>
      <c r="AF14">
        <f t="shared" si="1"/>
        <v>0.25476467379363132</v>
      </c>
      <c r="AG14">
        <f t="shared" si="1"/>
        <v>3.5456988861809258E-2</v>
      </c>
      <c r="AH14">
        <f t="shared" si="1"/>
        <v>0.15789159094321792</v>
      </c>
      <c r="AI14">
        <f t="shared" si="1"/>
        <v>-0.12346788073675186</v>
      </c>
      <c r="AJ14">
        <f t="shared" si="1"/>
        <v>0.20311212840941151</v>
      </c>
      <c r="AK14">
        <f t="shared" si="1"/>
        <v>0.18848900764343068</v>
      </c>
      <c r="AL14">
        <f t="shared" si="1"/>
        <v>0.23010888466302415</v>
      </c>
      <c r="AO14" s="26"/>
      <c r="AT14" s="25"/>
      <c r="AU14" s="15" t="s">
        <v>81</v>
      </c>
      <c r="BC14" s="26"/>
      <c r="BI14" s="25" t="s">
        <v>32</v>
      </c>
      <c r="BJ14" t="s">
        <v>69</v>
      </c>
      <c r="BK14" t="e">
        <f ca="1">_xll.BDP(BB_TICKER,$BJ14,F_RATIO_BDP_OVERRIDES, V_RATIO_BDP_OVERRIDES,"EQY_FUND_RELATIVE_PERIOD="&amp;$BK$27)</f>
        <v>#NAME?</v>
      </c>
      <c r="BL14" t="e">
        <f ca="1">_xll.BDP(BB_TICKER,BL$13,"MARKET_DATA_OVERRIDE="&amp;$BJ14,$BJ$6:$BJ$8,$BK$6:$BK$8,INTERVAL_OVERRIDES,INTERVAL_OVERRIDES_DATA)</f>
        <v>#NAME?</v>
      </c>
      <c r="BM14" t="e">
        <f ca="1">_xll.BDP(BB_TICKER,BM$13,"MARKET_DATA_OVERRIDE="&amp;$BJ14,$BJ$6:$BJ$8,$BK$6:$BK$8,INTERVAL_OVERRIDES,INTERVAL_OVERRIDES_DATA)</f>
        <v>#NAME?</v>
      </c>
      <c r="BN14" t="e">
        <f ca="1">_xll.BDP(BB_TICKER,BN$13,"MARKET_DATA_OVERRIDE="&amp;$BJ14,$BJ$6:$BJ$8,$BK$6:$BK$8,INTERVAL_OVERRIDES,INTERVAL_OVERRIDES_DATA)</f>
        <v>#NAME?</v>
      </c>
      <c r="BP14" s="26"/>
      <c r="BT14" s="25"/>
      <c r="CF14" s="26"/>
      <c r="CH14" s="58">
        <v>12</v>
      </c>
      <c r="CI14" s="59" t="s">
        <v>379</v>
      </c>
      <c r="CJ14" s="60" t="s">
        <v>379</v>
      </c>
      <c r="CQ14" s="25"/>
      <c r="CZ14" s="26"/>
      <c r="DB14" t="s">
        <v>512</v>
      </c>
      <c r="DC14" t="str">
        <f>VLOOKUP(DC15,DB18:DC107,2,FALSE)</f>
        <v>Income Statement</v>
      </c>
    </row>
    <row r="15" spans="1:111" ht="15" thickBot="1">
      <c r="D15" s="27">
        <v>12</v>
      </c>
      <c r="E15" s="29" t="s">
        <v>164</v>
      </c>
      <c r="G15" s="41"/>
      <c r="I15" s="38">
        <v>45667</v>
      </c>
      <c r="J15">
        <v>26.45</v>
      </c>
      <c r="K15" s="26">
        <v>447365</v>
      </c>
      <c r="N15" s="25" t="s">
        <v>53</v>
      </c>
      <c r="O15" s="1" t="e">
        <f ca="1">VLOOKUP($Q$3,'Calc Data'!$P$4:$Q$8,2,FALSE)</f>
        <v>#NAME?</v>
      </c>
      <c r="T15" t="e">
        <f ca="1">_xll.BDP($U15&amp;" Index","SECURITY_NAME")</f>
        <v>#NAME?</v>
      </c>
      <c r="U15" t="e">
        <f ca="1">_xll.BDS($V$13,$V$14,"cols=2;rows=11")</f>
        <v>#NAME?</v>
      </c>
      <c r="V15">
        <v>9.4086060000000007</v>
      </c>
      <c r="W15" s="26"/>
      <c r="AB15" s="25" t="str">
        <f ca="1">IF(TRIM(Tearsheet!$L$43)="",$O$20,Tearsheet!$L$43)</f>
        <v>INDU Index</v>
      </c>
      <c r="AC15" t="e">
        <f ca="1">_xll.BDH($AB$15,$AD$8,"-9cy","","Per=cY","Dts=H","Dir=H","Fill=B","Days=A",BDH_OVERRIDES,BDH_OVERRIDES_DATA,"cols=10;rows=1")</f>
        <v>#NAME?</v>
      </c>
      <c r="AD15">
        <v>24719.22</v>
      </c>
      <c r="AE15">
        <v>23327.46</v>
      </c>
      <c r="AF15">
        <v>28538.44</v>
      </c>
      <c r="AG15">
        <v>30606.48</v>
      </c>
      <c r="AH15">
        <v>36338.300000000003</v>
      </c>
      <c r="AI15">
        <v>33147.25</v>
      </c>
      <c r="AJ15">
        <v>37689.54</v>
      </c>
      <c r="AK15">
        <v>42544.22</v>
      </c>
      <c r="AL15">
        <v>48063.29</v>
      </c>
      <c r="AO15" s="26"/>
      <c r="AT15" s="25"/>
      <c r="AU15" t="s">
        <v>83</v>
      </c>
      <c r="AV15" t="s">
        <v>84</v>
      </c>
      <c r="AW15" t="s">
        <v>85</v>
      </c>
      <c r="AX15" t="s">
        <v>86</v>
      </c>
      <c r="AY15" t="s">
        <v>87</v>
      </c>
      <c r="AZ15" t="s">
        <v>88</v>
      </c>
      <c r="BA15" t="s">
        <v>89</v>
      </c>
      <c r="BC15" s="26"/>
      <c r="BI15" s="25" t="s">
        <v>34</v>
      </c>
      <c r="BJ15" t="s">
        <v>72</v>
      </c>
      <c r="BK15" t="e">
        <f ca="1">_xll.BDP(BB_TICKER,$BJ15,F_BEST_RATIO_BDP_OVERRIDES, V_BEST_RATIO_BDP_OVERRIDES,"EQY_FUND_RELATIVE_PERIOD="&amp;$BK$27,"BEST_FPERIOD_OVERRIDE=BF")</f>
        <v>#NAME?</v>
      </c>
      <c r="BL15" t="e">
        <f ca="1">_xll.BDP(BB_TICKER,BL$13,"MARKET_DATA_OVERRIDE="&amp;$BJ15,$BJ$6:$BJ$8,$BK$6:$BK$8,"BEST_FPERIOD_OVERRIDE=BF",INTERVAL_OVERRIDES,INTERVAL_OVERRIDES_DATA)</f>
        <v>#NAME?</v>
      </c>
      <c r="BM15" t="e">
        <f ca="1">_xll.BDP(BB_TICKER,BM$13,"MARKET_DATA_OVERRIDE="&amp;$BJ15,$BJ$6:$BJ$8,$BK$6:$BK$8,"BEST_FPERIOD_OVERRIDE=BF",INTERVAL_OVERRIDES,INTERVAL_OVERRIDES_DATA)</f>
        <v>#NAME?</v>
      </c>
      <c r="BN15" t="e">
        <f ca="1">_xll.BDP(BB_TICKER,BN$13,"MARKET_DATA_OVERRIDE="&amp;$BJ15,$BJ$6:$BJ$8,$BK$6:$BK$8,"BEST_FPERIOD_OVERRIDE=BF",INTERVAL_OVERRIDES,INTERVAL_OVERRIDES_DATA)</f>
        <v>#NAME?</v>
      </c>
      <c r="BP15" s="26"/>
      <c r="BT15" s="27"/>
      <c r="BU15" s="28"/>
      <c r="BV15" s="28"/>
      <c r="BW15" s="28"/>
      <c r="BX15" s="28"/>
      <c r="BY15" s="28"/>
      <c r="BZ15" s="28"/>
      <c r="CA15" s="28"/>
      <c r="CB15" s="28"/>
      <c r="CC15" s="28"/>
      <c r="CD15" s="28"/>
      <c r="CE15" s="28"/>
      <c r="CF15" s="29"/>
      <c r="CH15" s="58">
        <v>13</v>
      </c>
      <c r="CI15" s="59" t="s">
        <v>380</v>
      </c>
      <c r="CJ15" s="60" t="s">
        <v>380</v>
      </c>
      <c r="CQ15" s="93" t="s">
        <v>507</v>
      </c>
      <c r="CR15">
        <v>1</v>
      </c>
      <c r="CT15" s="93" t="s">
        <v>507</v>
      </c>
      <c r="CU15">
        <v>2</v>
      </c>
      <c r="CW15" s="2" t="s">
        <v>507</v>
      </c>
      <c r="CX15">
        <v>1</v>
      </c>
      <c r="CZ15" s="26"/>
      <c r="DB15" t="s">
        <v>513</v>
      </c>
      <c r="DC15">
        <v>1</v>
      </c>
      <c r="DF15" t="s">
        <v>543</v>
      </c>
    </row>
    <row r="16" spans="1:111">
      <c r="G16" s="41"/>
      <c r="I16" s="38">
        <v>45668</v>
      </c>
      <c r="J16">
        <v>26.45</v>
      </c>
      <c r="K16" s="26">
        <v>447365</v>
      </c>
      <c r="N16" s="25" t="s">
        <v>66</v>
      </c>
      <c r="O16" s="1" t="e">
        <f ca="1">_xll.BTODAY(TRUE)</f>
        <v>#NAME?</v>
      </c>
      <c r="T16" t="e">
        <f ca="1">_xll.BDP($U16&amp;" Index","SECURITY_NAME")</f>
        <v>#NAME?</v>
      </c>
      <c r="U16" t="s">
        <v>656</v>
      </c>
      <c r="V16">
        <v>4.5631370599999999</v>
      </c>
      <c r="W16" s="26"/>
      <c r="AB16" s="25"/>
      <c r="AD16" t="e">
        <f t="shared" ref="AD16:AL16" ca="1" si="2">AD15/AC15-1</f>
        <v>#NAME?</v>
      </c>
      <c r="AE16">
        <f t="shared" si="2"/>
        <v>-5.6302747416787535E-2</v>
      </c>
      <c r="AF16">
        <f t="shared" si="2"/>
        <v>0.22338394321542077</v>
      </c>
      <c r="AG16">
        <f t="shared" si="2"/>
        <v>7.246506816770637E-2</v>
      </c>
      <c r="AH16">
        <f t="shared" si="2"/>
        <v>0.18727472090877506</v>
      </c>
      <c r="AI16">
        <f t="shared" si="2"/>
        <v>-8.7815060143154766E-2</v>
      </c>
      <c r="AJ16">
        <f t="shared" si="2"/>
        <v>0.13703369057764969</v>
      </c>
      <c r="AK16">
        <f t="shared" si="2"/>
        <v>0.12880709077372665</v>
      </c>
      <c r="AL16">
        <f t="shared" si="2"/>
        <v>0.12972549502611641</v>
      </c>
      <c r="AO16" s="26"/>
      <c r="AT16" s="84">
        <v>1</v>
      </c>
      <c r="AU16" t="s">
        <v>91</v>
      </c>
      <c r="AV16" t="s">
        <v>92</v>
      </c>
      <c r="AW16" t="s">
        <v>93</v>
      </c>
      <c r="AX16" t="s">
        <v>440</v>
      </c>
      <c r="AY16" t="s">
        <v>441</v>
      </c>
      <c r="AZ16" t="s">
        <v>442</v>
      </c>
      <c r="BA16" t="s">
        <v>443</v>
      </c>
      <c r="BC16" s="26"/>
      <c r="BI16" s="25" t="s">
        <v>35</v>
      </c>
      <c r="BJ16" t="s">
        <v>74</v>
      </c>
      <c r="BK16" t="e">
        <f ca="1">_xll.BDP(BB_TICKER,$BJ16,F_BEST_RATIO_BDP_OVERRIDES, V_BEST_RATIO_BDP_OVERRIDES,"EQY_FUND_RELATIVE_PERIOD="&amp;$BK$27,"BEST_FPERIOD_OVERRIDE=BF")</f>
        <v>#NAME?</v>
      </c>
      <c r="BL16" t="e">
        <f ca="1">_xll.BDP(BB_TICKER,BL$13,"MARKET_DATA_OVERRIDE="&amp;$BJ16,$BJ$6:$BJ$8,$BK$6:$BK$8,"BEST_FPERIOD_OVERRIDE=BF",INTERVAL_OVERRIDES,INTERVAL_OVERRIDES_DATA)</f>
        <v>#NAME?</v>
      </c>
      <c r="BM16" t="e">
        <f ca="1">_xll.BDP(BB_TICKER,BM$13,"MARKET_DATA_OVERRIDE="&amp;$BJ16,$BJ$6:$BJ$8,$BK$6:$BK$8,"BEST_FPERIOD_OVERRIDE=BF",INTERVAL_OVERRIDES,INTERVAL_OVERRIDES_DATA)</f>
        <v>#NAME?</v>
      </c>
      <c r="BN16" t="e">
        <f ca="1">_xll.BDP(BB_TICKER,BN$13,"MARKET_DATA_OVERRIDE="&amp;$BJ16,$BJ$6:$BJ$8,$BK$6:$BK$8,"BEST_FPERIOD_OVERRIDE=BF",INTERVAL_OVERRIDES,INTERVAL_OVERRIDES_DATA)</f>
        <v>#NAME?</v>
      </c>
      <c r="BP16" s="26"/>
      <c r="CH16" s="58">
        <v>14</v>
      </c>
      <c r="CI16" s="59" t="s">
        <v>381</v>
      </c>
      <c r="CJ16" s="60" t="s">
        <v>381</v>
      </c>
      <c r="CQ16" s="25"/>
      <c r="CZ16" s="26"/>
      <c r="DF16" s="99" t="s">
        <v>545</v>
      </c>
      <c r="DG16" s="99" t="str">
        <f>IF(Tearsheet!$I$8="Local","",Tearsheet!$I$8)</f>
        <v/>
      </c>
    </row>
    <row r="17" spans="2:111">
      <c r="G17" s="41"/>
      <c r="I17" s="38">
        <v>45669</v>
      </c>
      <c r="J17">
        <v>26.45</v>
      </c>
      <c r="K17" s="26">
        <v>447365</v>
      </c>
      <c r="N17" s="25"/>
      <c r="T17" t="e">
        <f ca="1">_xll.BDP($U17&amp;" Index","SECURITY_NAME")</f>
        <v>#NAME?</v>
      </c>
      <c r="U17" t="s">
        <v>657</v>
      </c>
      <c r="V17">
        <v>2.9690657100000002</v>
      </c>
      <c r="W17" s="26"/>
      <c r="AB17" s="25"/>
      <c r="AO17" s="26"/>
      <c r="AT17" s="84">
        <v>2</v>
      </c>
      <c r="AU17" t="s">
        <v>94</v>
      </c>
      <c r="AV17" t="s">
        <v>95</v>
      </c>
      <c r="AW17" t="s">
        <v>96</v>
      </c>
      <c r="AX17" t="s">
        <v>444</v>
      </c>
      <c r="AY17" t="s">
        <v>445</v>
      </c>
      <c r="AZ17" t="s">
        <v>446</v>
      </c>
      <c r="BA17" t="s">
        <v>447</v>
      </c>
      <c r="BC17" s="26"/>
      <c r="BI17" s="25" t="s">
        <v>36</v>
      </c>
      <c r="BJ17" t="s">
        <v>75</v>
      </c>
      <c r="BK17" t="e">
        <f ca="1">_xll.BDP(BB_TICKER,$BJ17,F_RATIO_BDP_OVERRIDES, V_RATIO_BDP_OVERRIDES,"EQY_FUND_RELATIVE_PERIOD="&amp;$BK$27)</f>
        <v>#NAME?</v>
      </c>
      <c r="BL17" t="e">
        <f ca="1">_xll.BDP(BB_TICKER,BL$13,"MARKET_DATA_OVERRIDE="&amp;$BJ17,$BJ$6:$BJ$8,$BK$6:$BK$8,INTERVAL_OVERRIDES,INTERVAL_OVERRIDES_DATA)</f>
        <v>#NAME?</v>
      </c>
      <c r="BM17" t="e">
        <f ca="1">_xll.BDP(BB_TICKER,BM$13,"MARKET_DATA_OVERRIDE="&amp;$BJ17,$BJ$6:$BJ$8,$BK$6:$BK$8,INTERVAL_OVERRIDES,INTERVAL_OVERRIDES_DATA)</f>
        <v>#NAME?</v>
      </c>
      <c r="BN17" t="e">
        <f ca="1">_xll.BDP(BB_TICKER,BN$13,"MARKET_DATA_OVERRIDE="&amp;$BJ17,$BJ$6:$BJ$8,$BK$6:$BK$8,INTERVAL_OVERRIDES,INTERVAL_OVERRIDES_DATA)</f>
        <v>#NAME?</v>
      </c>
      <c r="BP17" s="26"/>
      <c r="CH17" s="61">
        <v>15</v>
      </c>
      <c r="CI17" s="62" t="s">
        <v>382</v>
      </c>
      <c r="CJ17" s="63" t="s">
        <v>382</v>
      </c>
      <c r="CQ17" s="438" t="s">
        <v>394</v>
      </c>
      <c r="CR17" s="439"/>
      <c r="CT17" s="440" t="s">
        <v>390</v>
      </c>
      <c r="CU17" s="439"/>
      <c r="CW17" s="441" t="s">
        <v>165</v>
      </c>
      <c r="CX17" s="442"/>
      <c r="CZ17" s="26"/>
      <c r="DB17" s="435" t="s">
        <v>514</v>
      </c>
      <c r="DC17" s="435"/>
      <c r="DF17" s="99" t="s">
        <v>547</v>
      </c>
      <c r="DG17" s="99" t="str">
        <f>LEFT(Tearsheet!$K$8,1)</f>
        <v>C</v>
      </c>
    </row>
    <row r="18" spans="2:111" ht="15" thickBot="1">
      <c r="G18" s="41"/>
      <c r="I18" s="38">
        <v>45670</v>
      </c>
      <c r="J18">
        <v>26.05</v>
      </c>
      <c r="K18" s="26">
        <v>151091</v>
      </c>
      <c r="N18" s="25" t="s">
        <v>68</v>
      </c>
      <c r="O18" t="str">
        <f>BB_TICKER</f>
        <v>8TRA GY Equity</v>
      </c>
      <c r="P18" t="e">
        <f ca="1">_xll.BDP($O18,"SHORT_NAME")</f>
        <v>#NAME?</v>
      </c>
      <c r="T18" t="e">
        <f ca="1">_xll.BDP($U18&amp;" Index","SECURITY_NAME")</f>
        <v>#NAME?</v>
      </c>
      <c r="U18" t="s">
        <v>658</v>
      </c>
      <c r="V18">
        <v>12.025677659999999</v>
      </c>
      <c r="W18" s="26"/>
      <c r="AB18" s="27"/>
      <c r="AC18" s="28"/>
      <c r="AD18" s="28"/>
      <c r="AE18" s="28"/>
      <c r="AF18" s="28"/>
      <c r="AG18" s="28"/>
      <c r="AH18" s="28"/>
      <c r="AI18" s="28"/>
      <c r="AJ18" s="28"/>
      <c r="AK18" s="28"/>
      <c r="AL18" s="28"/>
      <c r="AM18" s="28"/>
      <c r="AN18" s="28"/>
      <c r="AO18" s="29"/>
      <c r="AT18" s="84">
        <v>3</v>
      </c>
      <c r="AU18" t="s">
        <v>97</v>
      </c>
      <c r="AV18" t="s">
        <v>98</v>
      </c>
      <c r="AW18" t="s">
        <v>93</v>
      </c>
      <c r="AX18" t="s">
        <v>440</v>
      </c>
      <c r="AY18" t="s">
        <v>441</v>
      </c>
      <c r="AZ18" t="s">
        <v>442</v>
      </c>
      <c r="BA18" t="s">
        <v>443</v>
      </c>
      <c r="BC18" s="26"/>
      <c r="BI18" s="25" t="s">
        <v>38</v>
      </c>
      <c r="BJ18" t="s">
        <v>78</v>
      </c>
      <c r="BK18" t="e">
        <f ca="1">_xll.BDP(BB_TICKER,$BJ18,F_RATIO_BDP_OVERRIDES, V_RATIO_BDP_OVERRIDES,"EQY_FUND_RELATIVE_PERIOD="&amp;$BK$27)</f>
        <v>#NAME?</v>
      </c>
      <c r="BL18" t="e">
        <f ca="1">_xll.BDP(BB_TICKER,BL$13,"MARKET_DATA_OVERRIDE="&amp;$BJ18,$BJ$6:$BJ$8,$BK$6:$BK$8,INTERVAL_OVERRIDES,INTERVAL_OVERRIDES_DATA)</f>
        <v>#NAME?</v>
      </c>
      <c r="BM18" t="e">
        <f ca="1">_xll.BDP(BB_TICKER,BM$13,"MARKET_DATA_OVERRIDE="&amp;$BJ18,$BJ$6:$BJ$8,$BK$6:$BK$8,INTERVAL_OVERRIDES,INTERVAL_OVERRIDES_DATA)</f>
        <v>#NAME?</v>
      </c>
      <c r="BN18" t="e">
        <f ca="1">_xll.BDP(BB_TICKER,BN$13,"MARKET_DATA_OVERRIDE="&amp;$BJ18,$BJ$6:$BJ$8,$BK$6:$BK$8,INTERVAL_OVERRIDES,INTERVAL_OVERRIDES_DATA)</f>
        <v>#NAME?</v>
      </c>
      <c r="BP18" s="26"/>
      <c r="CP18">
        <v>1</v>
      </c>
      <c r="CQ18" s="82" t="s">
        <v>395</v>
      </c>
      <c r="CR18" s="68" t="s">
        <v>396</v>
      </c>
      <c r="CS18">
        <v>1</v>
      </c>
      <c r="CT18" s="69" t="s">
        <v>554</v>
      </c>
      <c r="CU18" s="70"/>
      <c r="CV18">
        <v>1</v>
      </c>
      <c r="CW18" s="86" t="s">
        <v>505</v>
      </c>
      <c r="CX18" s="87"/>
      <c r="CZ18" s="26"/>
      <c r="DB18">
        <v>1</v>
      </c>
      <c r="DC18" t="s">
        <v>197</v>
      </c>
    </row>
    <row r="19" spans="2:111">
      <c r="G19" s="41"/>
      <c r="I19" s="38">
        <v>45671</v>
      </c>
      <c r="J19">
        <v>26.8</v>
      </c>
      <c r="K19" s="26">
        <v>233854</v>
      </c>
      <c r="N19" s="25" t="s">
        <v>70</v>
      </c>
      <c r="O19" t="e">
        <f ca="1">IF(LEFT(_xll.BDP(BB_TICKER,"REL_INDEX"),4)="#N/A", "TRIB Index",_xll.BDP(BB_TICKER,"REL_INDEX")&amp;" Index")</f>
        <v>#NAME?</v>
      </c>
      <c r="P19" t="e">
        <f ca="1">_xll.BDP($O19,"SHORT_NAME")</f>
        <v>#NAME?</v>
      </c>
      <c r="T19" t="e">
        <f ca="1">_xll.BDP($U19&amp;" Index","SECURITY_NAME")</f>
        <v>#NAME?</v>
      </c>
      <c r="U19" t="s">
        <v>659</v>
      </c>
      <c r="V19">
        <v>8.9532028100000005</v>
      </c>
      <c r="W19" s="26"/>
      <c r="AT19" s="84">
        <v>4</v>
      </c>
      <c r="AU19" t="s">
        <v>99</v>
      </c>
      <c r="AV19" t="s">
        <v>100</v>
      </c>
      <c r="AW19" t="s">
        <v>96</v>
      </c>
      <c r="AX19" t="s">
        <v>444</v>
      </c>
      <c r="AY19" t="s">
        <v>445</v>
      </c>
      <c r="AZ19" t="s">
        <v>446</v>
      </c>
      <c r="BA19" t="s">
        <v>447</v>
      </c>
      <c r="BC19" s="26"/>
      <c r="BI19" s="25" t="s">
        <v>39</v>
      </c>
      <c r="BJ19" t="s">
        <v>79</v>
      </c>
      <c r="BK19" t="e">
        <f ca="1">_xll.BDP(BB_TICKER,$BJ19,F_RATIO_BDP_OVERRIDES, V_RATIO_BDP_OVERRIDES,"EQY_FUND_RELATIVE_PERIOD="&amp;$BK$27)</f>
        <v>#NAME?</v>
      </c>
      <c r="BL19" t="e">
        <f ca="1">_xll.BDP(BB_TICKER,BL$13,"MARKET_DATA_OVERRIDE="&amp;$BJ19,$BJ$6:$BJ$8,$BK$6:$BK$8,INTERVAL_OVERRIDES,INTERVAL_OVERRIDES_DATA)</f>
        <v>#NAME?</v>
      </c>
      <c r="BM19" t="e">
        <f ca="1">_xll.BDP(BB_TICKER,BM$13,"MARKET_DATA_OVERRIDE="&amp;$BJ19,$BJ$6:$BJ$8,$BK$6:$BK$8,INTERVAL_OVERRIDES,INTERVAL_OVERRIDES_DATA)</f>
        <v>#NAME?</v>
      </c>
      <c r="BN19" t="e">
        <f ca="1">_xll.BDP(BB_TICKER,BN$13,"MARKET_DATA_OVERRIDE="&amp;$BJ19,$BJ$6:$BJ$8,$BK$6:$BK$8,INTERVAL_OVERRIDES,INTERVAL_OVERRIDES_DATA)</f>
        <v>#NAME?</v>
      </c>
      <c r="BP19" s="26"/>
      <c r="CP19">
        <v>2</v>
      </c>
      <c r="CQ19" s="83" t="s">
        <v>398</v>
      </c>
      <c r="CR19" s="72" t="s">
        <v>369</v>
      </c>
      <c r="CS19">
        <v>2</v>
      </c>
      <c r="CT19" s="73" t="s">
        <v>399</v>
      </c>
      <c r="CU19" s="74" t="s">
        <v>399</v>
      </c>
      <c r="CV19">
        <v>2</v>
      </c>
      <c r="CW19" s="52" t="s">
        <v>506</v>
      </c>
      <c r="CX19" s="53"/>
      <c r="DB19">
        <v>2</v>
      </c>
      <c r="DC19" t="s">
        <v>223</v>
      </c>
      <c r="DF19" t="s">
        <v>548</v>
      </c>
    </row>
    <row r="20" spans="2:111">
      <c r="G20" s="41"/>
      <c r="I20" s="38">
        <v>45672</v>
      </c>
      <c r="J20">
        <v>26.75</v>
      </c>
      <c r="K20" s="26">
        <v>172813</v>
      </c>
      <c r="N20" s="25" t="s">
        <v>73</v>
      </c>
      <c r="O20" t="str">
        <f ca="1">IFBBERROR(VLOOKUP(O22,$T$15:$U$24,2,FALSE)&amp;" Index","INDU Index")</f>
        <v>INDU Index</v>
      </c>
      <c r="P20" t="e">
        <f ca="1">_xll.BDP($O20,"SHORT_NAME")</f>
        <v>#NAME?</v>
      </c>
      <c r="T20" t="e">
        <f ca="1">_xll.BDP($U20&amp;" Index","SECURITY_NAME")</f>
        <v>#NAME?</v>
      </c>
      <c r="U20" t="s">
        <v>660</v>
      </c>
      <c r="V20">
        <v>8.8568699100000003</v>
      </c>
      <c r="W20" s="26"/>
      <c r="AT20" s="84">
        <v>5</v>
      </c>
      <c r="AU20" t="s">
        <v>101</v>
      </c>
      <c r="AV20" t="s">
        <v>102</v>
      </c>
      <c r="AW20" t="s">
        <v>96</v>
      </c>
      <c r="AX20" t="s">
        <v>444</v>
      </c>
      <c r="AY20" t="s">
        <v>445</v>
      </c>
      <c r="AZ20" t="s">
        <v>446</v>
      </c>
      <c r="BA20" t="s">
        <v>447</v>
      </c>
      <c r="BC20" s="26"/>
      <c r="BI20" s="25" t="s">
        <v>40</v>
      </c>
      <c r="BJ20" t="s">
        <v>80</v>
      </c>
      <c r="BK20" t="e">
        <f ca="1">_xll.BDP(BB_TICKER,$BJ20,"EQY_FUND_RELATIVE_PERIOD="&amp;$BK$27,BDP_OVERRIDES,BDP_OVERRIDES_DATA)</f>
        <v>#NAME?</v>
      </c>
      <c r="BL20" t="e">
        <f ca="1">_xll.BDP(BB_TICKER,BL$13,"MARKET_DATA_OVERRIDE="&amp;$BJ20,$BJ$6:$BJ$8,$BK$6:$BK$8,INTERVAL_OVERRIDES,INTERVAL_OVERRIDES_DATA)</f>
        <v>#NAME?</v>
      </c>
      <c r="BM20" t="e">
        <f ca="1">_xll.BDP(BB_TICKER,BM$13,"MARKET_DATA_OVERRIDE="&amp;$BJ20,$BJ$6:$BJ$8,$BK$6:$BK$8,INTERVAL_OVERRIDES,INTERVAL_OVERRIDES_DATA)</f>
        <v>#NAME?</v>
      </c>
      <c r="BN20" t="e">
        <f ca="1">_xll.BDP(BB_TICKER,BN$13,"MARKET_DATA_OVERRIDE="&amp;$BJ20,$BJ$6:$BJ$8,$BK$6:$BK$8,INTERVAL_OVERRIDES,INTERVAL_OVERRIDES_DATA)</f>
        <v>#NAME?</v>
      </c>
      <c r="BP20" s="26"/>
      <c r="CQ20" s="25"/>
      <c r="CS20">
        <v>3</v>
      </c>
      <c r="CT20" s="73" t="s">
        <v>402</v>
      </c>
      <c r="CU20" s="74" t="s">
        <v>402</v>
      </c>
      <c r="CV20">
        <v>3</v>
      </c>
      <c r="CW20" s="88" t="s">
        <v>397</v>
      </c>
      <c r="CX20" s="89" t="s">
        <v>389</v>
      </c>
      <c r="DB20">
        <v>3</v>
      </c>
      <c r="DC20" t="s">
        <v>509</v>
      </c>
      <c r="DF20" s="99" t="s">
        <v>549</v>
      </c>
      <c r="DG20" s="99" t="str">
        <f>IF(Tearsheet!$I$8="Local","",Tearsheet!$I$8)</f>
        <v/>
      </c>
    </row>
    <row r="21" spans="2:111" ht="15.6">
      <c r="B21" s="7" t="s">
        <v>313</v>
      </c>
      <c r="C21" s="7" t="e">
        <f t="array" aca="1" ref="C21" ca="1">INDEX(C25:C40,MATCH(TRUE,LEN(C25:C40)&lt;&gt;0,0),1)</f>
        <v>#N/A</v>
      </c>
      <c r="G21" s="41"/>
      <c r="I21" s="38">
        <v>45673</v>
      </c>
      <c r="J21">
        <v>26.75</v>
      </c>
      <c r="K21" s="26">
        <v>160352</v>
      </c>
      <c r="N21" s="25"/>
      <c r="T21" t="e">
        <f ca="1">_xll.BDP($U21&amp;" Index","SECURITY_NAME")</f>
        <v>#NAME?</v>
      </c>
      <c r="U21" t="s">
        <v>661</v>
      </c>
      <c r="V21">
        <v>37.410737789999999</v>
      </c>
      <c r="W21" s="26"/>
      <c r="AD21" s="21" t="s">
        <v>19</v>
      </c>
      <c r="AT21" s="84">
        <v>6</v>
      </c>
      <c r="AU21" t="s">
        <v>103</v>
      </c>
      <c r="AV21" t="s">
        <v>104</v>
      </c>
      <c r="AW21" t="s">
        <v>93</v>
      </c>
      <c r="AX21" t="s">
        <v>440</v>
      </c>
      <c r="AY21" t="s">
        <v>441</v>
      </c>
      <c r="AZ21" t="s">
        <v>442</v>
      </c>
      <c r="BA21" t="s">
        <v>443</v>
      </c>
      <c r="BC21" s="26"/>
      <c r="BI21" s="25" t="s">
        <v>41</v>
      </c>
      <c r="BJ21" t="s">
        <v>82</v>
      </c>
      <c r="BK21" t="e">
        <f ca="1">_xll.BDP(BB_TICKER,$BJ21,"EQY_FUND_RELATIVE_PERIOD="&amp;$BK$27,BDP_OVERRIDES,BDP_OVERRIDES_DATA)</f>
        <v>#NAME?</v>
      </c>
      <c r="BL21" t="e">
        <f ca="1">_xll.BDP(BB_TICKER,BL$13,"MARKET_DATA_OVERRIDE="&amp;$BJ21,$BJ$6:$BJ$8,$BK$6:$BK$8,INTERVAL_OVERRIDES,INTERVAL_OVERRIDES_DATA)</f>
        <v>#NAME?</v>
      </c>
      <c r="BM21" t="e">
        <f ca="1">_xll.BDP(BB_TICKER,BM$13,"MARKET_DATA_OVERRIDE="&amp;$BJ21,$BJ$6:$BJ$8,$BK$6:$BK$8,INTERVAL_OVERRIDES,INTERVAL_OVERRIDES_DATA)</f>
        <v>#NAME?</v>
      </c>
      <c r="BN21" t="e">
        <f ca="1">_xll.BDP(BB_TICKER,BN$13,"MARKET_DATA_OVERRIDE="&amp;$BJ21,$BJ$6:$BJ$8,$BK$6:$BK$8,INTERVAL_OVERRIDES,INTERVAL_OVERRIDES_DATA)</f>
        <v>#NAME?</v>
      </c>
      <c r="BP21" s="26"/>
      <c r="CQ21" s="25"/>
      <c r="CS21">
        <v>4</v>
      </c>
      <c r="CT21" s="73" t="s">
        <v>405</v>
      </c>
      <c r="CU21" s="74" t="s">
        <v>405</v>
      </c>
      <c r="CV21">
        <v>4</v>
      </c>
      <c r="CW21" s="85" t="s">
        <v>400</v>
      </c>
      <c r="CX21" s="90" t="s">
        <v>401</v>
      </c>
      <c r="CZ21" s="26"/>
      <c r="DB21">
        <v>4</v>
      </c>
      <c r="DC21" t="s">
        <v>510</v>
      </c>
      <c r="DF21" s="99" t="s">
        <v>547</v>
      </c>
      <c r="DG21" s="99" t="str">
        <f>LEFT(Tearsheet!$K$8,1)</f>
        <v>C</v>
      </c>
    </row>
    <row r="22" spans="2:111">
      <c r="B22" s="7" t="s">
        <v>314</v>
      </c>
      <c r="C22" s="7" t="str">
        <f t="array" aca="1" ref="C22" ca="1">INDEX(D25:D40,MATCH(TRUE,LEN(D25:D40)&lt;&gt;0,0),1)</f>
        <v>Dr Michael Jackstein</v>
      </c>
      <c r="G22" s="41"/>
      <c r="I22" s="38">
        <v>45674</v>
      </c>
      <c r="J22">
        <v>27.8</v>
      </c>
      <c r="K22" s="26">
        <v>160030</v>
      </c>
      <c r="N22" s="25" t="s">
        <v>43</v>
      </c>
      <c r="O22" t="e">
        <f ca="1">_xll.BDP(BB_TICKER,"GICS_SECTOR_NAME")</f>
        <v>#NAME?</v>
      </c>
      <c r="T22" t="e">
        <f ca="1">_xll.BDP($U22&amp;" Index","SECURITY_NAME")</f>
        <v>#NAME?</v>
      </c>
      <c r="U22" t="s">
        <v>662</v>
      </c>
      <c r="V22">
        <v>1.84195423</v>
      </c>
      <c r="W22" s="26"/>
      <c r="AH22" s="104" t="s">
        <v>555</v>
      </c>
      <c r="AI22" s="34"/>
      <c r="AJ22" s="34"/>
      <c r="AK22" s="34"/>
      <c r="AL22" s="34"/>
      <c r="AM22" s="34"/>
      <c r="AN22" s="34"/>
      <c r="AO22" s="34"/>
      <c r="AP22" s="34"/>
      <c r="AQ22" s="15" t="s">
        <v>273</v>
      </c>
      <c r="AT22" s="84">
        <v>7</v>
      </c>
      <c r="AU22" t="s">
        <v>105</v>
      </c>
      <c r="AV22" t="s">
        <v>106</v>
      </c>
      <c r="AW22" t="s">
        <v>96</v>
      </c>
      <c r="AX22" t="s">
        <v>444</v>
      </c>
      <c r="AY22" t="s">
        <v>445</v>
      </c>
      <c r="AZ22" t="s">
        <v>446</v>
      </c>
      <c r="BA22" t="s">
        <v>447</v>
      </c>
      <c r="BC22" s="26"/>
      <c r="BI22" s="25" t="s">
        <v>18</v>
      </c>
      <c r="BJ22" t="s">
        <v>90</v>
      </c>
      <c r="BK22" t="e">
        <f ca="1">_xll.BDP(BB_TICKER,$BJ22,F_RATIO_BDP_OVERRIDES, V_RATIO_BDP_OVERRIDES,"EQY_FUND_RELATIVE_PERIOD="&amp;$BK$27)</f>
        <v>#NAME?</v>
      </c>
      <c r="BL22" t="e">
        <f ca="1">_xll.BDP(BB_TICKER,BL$13,"MARKET_DATA_OVERRIDE="&amp;$BJ22,$BJ$6:$BJ$8,$BK$6:$BK$8,INTERVAL_OVERRIDES,INTERVAL_OVERRIDES_DATA)</f>
        <v>#NAME?</v>
      </c>
      <c r="BM22" t="e">
        <f ca="1">_xll.BDP(BB_TICKER,BM$13,"MARKET_DATA_OVERRIDE="&amp;$BJ22,$BJ$6:$BJ$8,$BK$6:$BK$8,INTERVAL_OVERRIDES,INTERVAL_OVERRIDES_DATA)</f>
        <v>#NAME?</v>
      </c>
      <c r="BN22" t="e">
        <f ca="1">_xll.BDP(BB_TICKER,BN$13,"MARKET_DATA_OVERRIDE="&amp;$BJ22,$BJ$6:$BJ$8,$BK$6:$BK$8,INTERVAL_OVERRIDES,INTERVAL_OVERRIDES_DATA)</f>
        <v>#NAME?</v>
      </c>
      <c r="BP22" s="26"/>
      <c r="CQ22" s="25"/>
      <c r="CS22">
        <v>5</v>
      </c>
      <c r="CT22" s="75" t="s">
        <v>408</v>
      </c>
      <c r="CU22" s="76" t="s">
        <v>408</v>
      </c>
      <c r="CV22">
        <v>5</v>
      </c>
      <c r="CW22" s="85" t="s">
        <v>403</v>
      </c>
      <c r="CX22" s="90" t="s">
        <v>404</v>
      </c>
      <c r="CZ22" s="26"/>
      <c r="DB22">
        <v>5</v>
      </c>
    </row>
    <row r="23" spans="2:111">
      <c r="G23" s="41"/>
      <c r="I23" s="38">
        <v>45675</v>
      </c>
      <c r="J23">
        <v>27.8</v>
      </c>
      <c r="K23" s="26">
        <v>160030</v>
      </c>
      <c r="N23" s="25"/>
      <c r="T23" t="e">
        <f ca="1">_xll.BDP($U23&amp;" Index","SECURITY_NAME")</f>
        <v>#NAME?</v>
      </c>
      <c r="U23" t="s">
        <v>663</v>
      </c>
      <c r="V23">
        <v>1.8414875100000001</v>
      </c>
      <c r="W23" s="26"/>
      <c r="AD23" s="16" t="str">
        <f>Tearsheet!$J46</f>
        <v>Sales</v>
      </c>
      <c r="AE23" s="16" t="str">
        <f>Tearsheet!$L46</f>
        <v>SALES_REV_TURN</v>
      </c>
      <c r="AF23" s="16"/>
      <c r="AG23" s="16"/>
      <c r="AH23" s="16" t="e">
        <f ca="1">_xll.BDH(BB_TICKER,$AE23,"-8fy","","Per=fy","Dir=H","Dates=H",BDH_OVERRIDES,BDH_OVERRIDES_DATA,"cols=9;rows=1")</f>
        <v>#NAME?</v>
      </c>
      <c r="AI23" s="16">
        <v>25927</v>
      </c>
      <c r="AJ23" s="16">
        <v>26901</v>
      </c>
      <c r="AK23" s="16">
        <v>22580</v>
      </c>
      <c r="AL23" s="16">
        <v>30620</v>
      </c>
      <c r="AM23" s="16">
        <v>40335</v>
      </c>
      <c r="AN23" s="16">
        <v>46872</v>
      </c>
      <c r="AO23" s="16">
        <v>47473</v>
      </c>
      <c r="AP23" s="16">
        <v>44051</v>
      </c>
      <c r="AQ23" s="35">
        <f>IFBBERROR((AP23/AK23)^0.2-1,"-")</f>
        <v>0.14300035908841702</v>
      </c>
      <c r="AT23" s="84">
        <v>8</v>
      </c>
      <c r="AU23" t="s">
        <v>109</v>
      </c>
      <c r="AV23" t="s">
        <v>110</v>
      </c>
      <c r="AW23" t="s">
        <v>96</v>
      </c>
      <c r="AX23" t="s">
        <v>444</v>
      </c>
      <c r="AY23" t="s">
        <v>445</v>
      </c>
      <c r="AZ23" t="s">
        <v>446</v>
      </c>
      <c r="BA23" t="s">
        <v>447</v>
      </c>
      <c r="BC23" s="26"/>
      <c r="BI23" s="25"/>
      <c r="BP23" s="26"/>
      <c r="CQ23" s="25"/>
      <c r="CS23">
        <v>6</v>
      </c>
      <c r="CT23" s="73" t="s">
        <v>411</v>
      </c>
      <c r="CU23" s="74" t="s">
        <v>411</v>
      </c>
      <c r="CV23">
        <v>6</v>
      </c>
      <c r="CW23" s="85" t="s">
        <v>406</v>
      </c>
      <c r="CX23" s="90" t="s">
        <v>407</v>
      </c>
      <c r="CZ23" s="26"/>
      <c r="DB23">
        <v>6</v>
      </c>
      <c r="DF23" s="100" t="s">
        <v>550</v>
      </c>
      <c r="DG23" s="67">
        <v>2</v>
      </c>
    </row>
    <row r="24" spans="2:111">
      <c r="B24" s="7" t="s">
        <v>3</v>
      </c>
      <c r="C24" s="7" t="s">
        <v>313</v>
      </c>
      <c r="D24" s="7" t="s">
        <v>314</v>
      </c>
      <c r="G24" s="41"/>
      <c r="I24" s="38">
        <v>45676</v>
      </c>
      <c r="J24">
        <v>27.8</v>
      </c>
      <c r="K24" s="26">
        <v>160030</v>
      </c>
      <c r="N24" s="25" t="s">
        <v>76</v>
      </c>
      <c r="O24" t="s">
        <v>77</v>
      </c>
      <c r="T24" t="e">
        <f ca="1">_xll.BDP($U24&amp;" Index","SECURITY_NAME")</f>
        <v>#NAME?</v>
      </c>
      <c r="U24" t="s">
        <v>664</v>
      </c>
      <c r="V24">
        <v>9.9570266800000002</v>
      </c>
      <c r="W24" s="26"/>
      <c r="AD24" s="16" t="str">
        <f>Tearsheet!$J47</f>
        <v>EBITDA</v>
      </c>
      <c r="AE24" s="16" t="str">
        <f>Tearsheet!$L47</f>
        <v>EBITDA</v>
      </c>
      <c r="AF24" s="16"/>
      <c r="AG24" s="16"/>
      <c r="AH24" s="16" t="e">
        <f ca="1">_xll.BDH(BB_TICKER,$AE24,"-8fy","","Per=fy","Dir=H","Dates=H",BDH_OVERRIDES,BDH_OVERRIDES_DATA,"cols=9;rows=1")</f>
        <v>#NAME?</v>
      </c>
      <c r="AI24" s="16">
        <v>3406</v>
      </c>
      <c r="AJ24" s="16">
        <v>4084</v>
      </c>
      <c r="AK24" s="16">
        <v>2520</v>
      </c>
      <c r="AL24" s="16">
        <v>3123</v>
      </c>
      <c r="AM24" s="16">
        <v>4546</v>
      </c>
      <c r="AN24" s="16">
        <v>6624</v>
      </c>
      <c r="AO24" s="16">
        <v>7184</v>
      </c>
      <c r="AP24" s="16">
        <v>5573</v>
      </c>
      <c r="AQ24" s="35">
        <f>IFBBERROR((AP24/AK24)^0.2-1,"-")</f>
        <v>0.17202722617860178</v>
      </c>
      <c r="AT24" s="84">
        <v>9</v>
      </c>
      <c r="AU24" t="s">
        <v>6</v>
      </c>
      <c r="AV24" t="s">
        <v>107</v>
      </c>
      <c r="AW24" t="s">
        <v>108</v>
      </c>
      <c r="AX24" t="s">
        <v>448</v>
      </c>
      <c r="AY24" t="s">
        <v>449</v>
      </c>
      <c r="AZ24" t="s">
        <v>450</v>
      </c>
      <c r="BA24" t="s">
        <v>451</v>
      </c>
      <c r="BC24" s="26"/>
      <c r="BI24" s="25"/>
      <c r="BP24" s="26"/>
      <c r="CQ24" s="25"/>
      <c r="CS24">
        <v>7</v>
      </c>
      <c r="CT24" s="73" t="s">
        <v>414</v>
      </c>
      <c r="CU24" s="74" t="s">
        <v>414</v>
      </c>
      <c r="CV24">
        <v>7</v>
      </c>
      <c r="CW24" s="88" t="s">
        <v>409</v>
      </c>
      <c r="CX24" s="89" t="s">
        <v>410</v>
      </c>
      <c r="CZ24" s="26"/>
      <c r="DB24">
        <v>7</v>
      </c>
      <c r="DF24" s="99" t="s">
        <v>545</v>
      </c>
      <c r="DG24" s="99" t="str">
        <f>IF(BB_SELECT_CURRENCY="","",BB_SELECT_CURRENCY)</f>
        <v>USD</v>
      </c>
    </row>
    <row r="25" spans="2:111">
      <c r="B25" s="25" t="e">
        <f ca="1">_xll.BDS(BB_TICKER,"COMPANY_EXEC_OFFICERS","cols=1;rows=10")</f>
        <v>#NAME?</v>
      </c>
      <c r="C25" t="e">
        <f t="shared" ref="C25:D40" ca="1" si="3">IF($B25&lt;&gt;"",IF(ISERR(FIND(C$24,$B25)),"",LEFT($B25,FIND(",",$B25)-1)),"")</f>
        <v>#NAME?</v>
      </c>
      <c r="D25" s="26" t="e">
        <f t="shared" ca="1" si="3"/>
        <v>#NAME?</v>
      </c>
      <c r="G25" s="41"/>
      <c r="I25" s="38">
        <v>45677</v>
      </c>
      <c r="J25">
        <v>27.75</v>
      </c>
      <c r="K25" s="26">
        <v>214747</v>
      </c>
      <c r="N25" s="25"/>
      <c r="T25" t="e">
        <f ca="1">_xll.BDP($U25&amp;" Index","SECURITY_NAME")</f>
        <v>#NAME?</v>
      </c>
      <c r="U25" t="s">
        <v>665</v>
      </c>
      <c r="V25">
        <v>2.17223465</v>
      </c>
      <c r="W25" s="26"/>
      <c r="AD25" s="16" t="str">
        <f>Tearsheet!$J48</f>
        <v>EBIT</v>
      </c>
      <c r="AE25" s="16" t="str">
        <f>Tearsheet!$L48</f>
        <v>EBIT</v>
      </c>
      <c r="AF25" s="16"/>
      <c r="AG25" s="16"/>
      <c r="AH25" s="16" t="e">
        <f ca="1">_xll.BDH(BB_TICKER,$AE25,"-8fy","","Per=fy","Dir=H","Dates=H",BDH_OVERRIDES,BDH_OVERRIDES_DATA,"cols=9;rows=1")</f>
        <v>#NAME?</v>
      </c>
      <c r="AI25" s="16">
        <v>1513</v>
      </c>
      <c r="AJ25" s="16">
        <v>1882</v>
      </c>
      <c r="AK25" s="16">
        <v>81</v>
      </c>
      <c r="AL25" s="16">
        <v>394</v>
      </c>
      <c r="AM25" s="16">
        <v>1564</v>
      </c>
      <c r="AN25" s="16">
        <v>3763</v>
      </c>
      <c r="AO25" s="16">
        <v>4209</v>
      </c>
      <c r="AP25" s="16">
        <v>2426</v>
      </c>
      <c r="AQ25" s="35">
        <f t="shared" ref="AQ25:AQ37" si="4">IFBBERROR((AP25/AK25)^0.2-1,"-")</f>
        <v>0.97370006550391941</v>
      </c>
      <c r="AT25" s="84">
        <v>10</v>
      </c>
      <c r="AU25" t="s">
        <v>113</v>
      </c>
      <c r="AV25" t="s">
        <v>114</v>
      </c>
      <c r="AW25" t="s">
        <v>108</v>
      </c>
      <c r="AX25" t="s">
        <v>448</v>
      </c>
      <c r="AY25" t="s">
        <v>449</v>
      </c>
      <c r="AZ25" t="s">
        <v>450</v>
      </c>
      <c r="BA25" t="s">
        <v>451</v>
      </c>
      <c r="BC25" s="26"/>
      <c r="BI25" s="25"/>
      <c r="BP25" s="26"/>
      <c r="CQ25" s="25"/>
      <c r="CS25">
        <v>8</v>
      </c>
      <c r="CT25" s="73" t="s">
        <v>415</v>
      </c>
      <c r="CU25" s="74" t="s">
        <v>415</v>
      </c>
      <c r="CV25">
        <v>8</v>
      </c>
      <c r="CW25" s="91" t="s">
        <v>412</v>
      </c>
      <c r="CX25" s="92" t="s">
        <v>413</v>
      </c>
      <c r="CZ25" s="26"/>
      <c r="DB25">
        <v>8</v>
      </c>
      <c r="DF25" s="99" t="s">
        <v>547</v>
      </c>
      <c r="DG25" s="99" t="str">
        <f>IF(BB_CONSBASIS=1,"P","C")</f>
        <v>C</v>
      </c>
    </row>
    <row r="26" spans="2:111" ht="15" thickBot="1">
      <c r="B26" s="25" t="s">
        <v>709</v>
      </c>
      <c r="C26" t="str">
        <f t="shared" si="3"/>
        <v/>
      </c>
      <c r="D26" s="26" t="str">
        <f t="shared" si="3"/>
        <v/>
      </c>
      <c r="G26" s="41"/>
      <c r="I26" s="38">
        <v>45678</v>
      </c>
      <c r="J26">
        <v>27.85</v>
      </c>
      <c r="K26" s="26">
        <v>126066</v>
      </c>
      <c r="N26" s="25"/>
      <c r="O26">
        <f ca="1">IF(COUNT(O28:O10000)&lt;1, 1, COUNT(O28:O10000))</f>
        <v>1826</v>
      </c>
      <c r="R26">
        <f ca="1">IF(COUNT(R28:R10000)&lt;1, 1, COUNT(R28:R10000))</f>
        <v>1826</v>
      </c>
      <c r="U26">
        <f ca="1">IF(COUNT(U28:U10000)&lt;1, 1, COUNT(U28:U10000))</f>
        <v>1826</v>
      </c>
      <c r="W26" s="26"/>
      <c r="AD26" s="16" t="str">
        <f>Tearsheet!$J49</f>
        <v>Net Income</v>
      </c>
      <c r="AE26" s="16" t="str">
        <f>Tearsheet!$L49</f>
        <v>NET_INCOME</v>
      </c>
      <c r="AF26" s="16"/>
      <c r="AG26" s="16"/>
      <c r="AH26" s="16" t="e">
        <f ca="1">_xll.BDH(BB_TICKER,$AE26,"-8fy","","Per=fy","Dir=H","Dates=H",BDH_OVERRIDES,BDH_OVERRIDES_DATA,"cols=9;rows=1")</f>
        <v>#NAME?</v>
      </c>
      <c r="AI26" s="16">
        <v>1390</v>
      </c>
      <c r="AJ26" s="16">
        <v>1518</v>
      </c>
      <c r="AK26" s="16">
        <v>-101</v>
      </c>
      <c r="AL26" s="16">
        <v>457</v>
      </c>
      <c r="AM26" s="16">
        <v>1141</v>
      </c>
      <c r="AN26" s="16">
        <v>2451</v>
      </c>
      <c r="AO26" s="16">
        <v>2804</v>
      </c>
      <c r="AP26" s="16">
        <v>1547</v>
      </c>
      <c r="AQ26" s="35">
        <f t="shared" si="4"/>
        <v>-2.7259721668953438</v>
      </c>
      <c r="AT26" s="84">
        <v>11</v>
      </c>
      <c r="AU26" t="s">
        <v>117</v>
      </c>
      <c r="AV26" t="s">
        <v>115</v>
      </c>
      <c r="AW26" t="s">
        <v>116</v>
      </c>
      <c r="AX26" t="s">
        <v>452</v>
      </c>
      <c r="AY26" t="s">
        <v>453</v>
      </c>
      <c r="AZ26" t="s">
        <v>454</v>
      </c>
      <c r="BA26" t="s">
        <v>455</v>
      </c>
      <c r="BC26" s="26"/>
      <c r="BI26" s="27"/>
      <c r="BJ26" s="28"/>
      <c r="BK26" s="28"/>
      <c r="BL26" s="28"/>
      <c r="BM26" s="28"/>
      <c r="BN26" s="28"/>
      <c r="BO26" s="28"/>
      <c r="BP26" s="29"/>
      <c r="CQ26" s="25"/>
      <c r="CS26">
        <v>9</v>
      </c>
      <c r="CT26" s="75" t="s">
        <v>416</v>
      </c>
      <c r="CU26" s="76" t="s">
        <v>416</v>
      </c>
      <c r="CZ26" s="26"/>
      <c r="DB26">
        <v>9</v>
      </c>
    </row>
    <row r="27" spans="2:111">
      <c r="B27" s="25" t="s">
        <v>710</v>
      </c>
      <c r="C27" t="str">
        <f t="shared" si="3"/>
        <v/>
      </c>
      <c r="D27" s="26" t="str">
        <f t="shared" si="3"/>
        <v>Dr Michael Jackstein</v>
      </c>
      <c r="G27" s="41"/>
      <c r="I27" s="38">
        <v>45679</v>
      </c>
      <c r="J27">
        <v>28.05</v>
      </c>
      <c r="K27" s="26">
        <v>249946</v>
      </c>
      <c r="N27" s="25"/>
      <c r="P27" t="e">
        <f ca="1">P18</f>
        <v>#NAME?</v>
      </c>
      <c r="S27" t="e">
        <f ca="1">P19</f>
        <v>#NAME?</v>
      </c>
      <c r="V27" t="str">
        <f>IF(TRIM(Tearsheet!$AB$26)&lt;&gt;"",Tearsheet!$AB$26,'Calc Data'!$O$20)</f>
        <v>CSCO US  Equity</v>
      </c>
      <c r="W27" s="26"/>
      <c r="AD27" s="16" t="str">
        <f>Tearsheet!$J50</f>
        <v>EPS (Diluted)</v>
      </c>
      <c r="AE27" s="16" t="str">
        <f>Tearsheet!$L50</f>
        <v>IS_FULLY_DILUTED_EPS</v>
      </c>
      <c r="AF27" s="16"/>
      <c r="AG27" s="16"/>
      <c r="AH27" s="16" t="e">
        <f ca="1">_xll.BDH(BB_TICKER,$AE27,"-8fy","","Per=fy","Dir=H","Dates=H",BDH_OVERRIDES,BDH_OVERRIDES_DATA,"cols=9;rows=1")</f>
        <v>#NAME?</v>
      </c>
      <c r="AI27" s="16">
        <v>2.78</v>
      </c>
      <c r="AJ27" s="16">
        <v>3.04</v>
      </c>
      <c r="AK27" s="16">
        <v>-0.2</v>
      </c>
      <c r="AL27" s="16">
        <v>0.91</v>
      </c>
      <c r="AM27" s="16">
        <v>2.2799999999999998</v>
      </c>
      <c r="AN27" s="16">
        <v>4.9000000000000004</v>
      </c>
      <c r="AO27" s="16">
        <v>5.61</v>
      </c>
      <c r="AP27" s="16">
        <v>3.09</v>
      </c>
      <c r="AQ27" s="35">
        <f t="shared" si="4"/>
        <v>-2.7289629893661029</v>
      </c>
      <c r="AT27" s="84">
        <v>12</v>
      </c>
      <c r="AU27" t="s">
        <v>118</v>
      </c>
      <c r="AV27" t="s">
        <v>119</v>
      </c>
      <c r="AW27" t="s">
        <v>116</v>
      </c>
      <c r="AX27" t="s">
        <v>452</v>
      </c>
      <c r="AY27" t="s">
        <v>453</v>
      </c>
      <c r="AZ27" t="s">
        <v>454</v>
      </c>
      <c r="BA27" t="s">
        <v>455</v>
      </c>
      <c r="BC27" s="26"/>
      <c r="BI27" t="s">
        <v>44</v>
      </c>
      <c r="BJ27">
        <v>2</v>
      </c>
      <c r="BK27" t="str">
        <f>VLOOKUP($BJ$27,$BI$28:$BK$29,3,FALSE)</f>
        <v>-0fy</v>
      </c>
      <c r="CQ27" s="25"/>
      <c r="CS27">
        <v>10</v>
      </c>
      <c r="CT27" s="73" t="s">
        <v>417</v>
      </c>
      <c r="CU27" s="74" t="s">
        <v>417</v>
      </c>
      <c r="CZ27" s="26"/>
      <c r="DB27">
        <v>10</v>
      </c>
      <c r="DF27" t="s">
        <v>542</v>
      </c>
    </row>
    <row r="28" spans="2:111">
      <c r="B28" s="25" t="s">
        <v>711</v>
      </c>
      <c r="C28" t="str">
        <f t="shared" si="3"/>
        <v/>
      </c>
      <c r="D28" s="26" t="str">
        <f t="shared" si="3"/>
        <v/>
      </c>
      <c r="G28" s="41"/>
      <c r="I28" s="38">
        <v>45680</v>
      </c>
      <c r="J28">
        <v>28.45</v>
      </c>
      <c r="K28" s="26">
        <v>106320</v>
      </c>
      <c r="N28" s="25"/>
      <c r="O28" s="1" t="e">
        <f ca="1">_xll.BDH(BB_TICKER,O24,$O$15,$O$16,"Fill=P","Days=A",BDH_OVERRIDES,BDH_OVERRIDES_DATA,"cols=2;rows=1827")</f>
        <v>#NAME?</v>
      </c>
      <c r="P28">
        <v>-4.1548999999999996</v>
      </c>
      <c r="R28" s="1" t="e">
        <f ca="1">_xll.BDH($O$19,$O$24,$O$15,$O$16,"Fill=P","Days=A",BDH_OVERRIDES,BDH_OVERRIDES_DATA,"cols=2;rows=1827")</f>
        <v>#NAME?</v>
      </c>
      <c r="S28">
        <v>0.30370000000000003</v>
      </c>
      <c r="U28" s="1" t="e">
        <f ca="1">_xll.BDH($V$27,$O$24,$O$15,$O$16,"Fill=P","Days=A",BDH_OVERRIDES,BDH_OVERRIDES_DATA,"cols=2;rows=1827")</f>
        <v>#NAME?</v>
      </c>
      <c r="V28">
        <v>1.7938000000000001</v>
      </c>
      <c r="W28" s="26"/>
      <c r="AD28" s="16" t="str">
        <f>Tearsheet!$J51</f>
        <v>Dividends per Share</v>
      </c>
      <c r="AE28" s="16" t="str">
        <f>Tearsheet!$L51</f>
        <v>EQY_DPS</v>
      </c>
      <c r="AF28" s="16"/>
      <c r="AG28" s="16"/>
      <c r="AH28" s="16" t="e">
        <f ca="1">_xll.BDH(BB_TICKER,$AE28,"-8fy","","Per=fy","Dir=H","Dates=H",BDH_OVERRIDES,BDH_OVERRIDES_DATA,"cols=9;rows=1")</f>
        <v>#NAME?</v>
      </c>
      <c r="AI28" s="16">
        <v>0</v>
      </c>
      <c r="AJ28" s="16">
        <v>1</v>
      </c>
      <c r="AK28" s="16">
        <v>0.25</v>
      </c>
      <c r="AL28" s="16">
        <v>0.5</v>
      </c>
      <c r="AM28" s="16">
        <v>0.7</v>
      </c>
      <c r="AN28" s="16">
        <v>1.5</v>
      </c>
      <c r="AO28" s="16">
        <v>1.7</v>
      </c>
      <c r="AP28" s="16">
        <v>0.93</v>
      </c>
      <c r="AQ28" s="35">
        <f t="shared" si="4"/>
        <v>0.30049470405023282</v>
      </c>
      <c r="AT28" s="84">
        <v>13</v>
      </c>
      <c r="AU28" t="s">
        <v>122</v>
      </c>
      <c r="AV28" t="s">
        <v>123</v>
      </c>
      <c r="AW28" t="s">
        <v>124</v>
      </c>
      <c r="AX28" t="s">
        <v>456</v>
      </c>
      <c r="AY28" t="s">
        <v>457</v>
      </c>
      <c r="AZ28" t="s">
        <v>458</v>
      </c>
      <c r="BA28" t="s">
        <v>459</v>
      </c>
      <c r="BC28" s="26"/>
      <c r="BI28">
        <v>1</v>
      </c>
      <c r="BJ28" s="97" t="s">
        <v>535</v>
      </c>
      <c r="BK28" s="45" t="s">
        <v>537</v>
      </c>
      <c r="CQ28" s="25"/>
      <c r="CS28">
        <v>11</v>
      </c>
      <c r="CT28" s="73" t="s">
        <v>418</v>
      </c>
      <c r="CU28" s="74" t="s">
        <v>418</v>
      </c>
      <c r="CZ28" s="26"/>
      <c r="DB28">
        <v>11</v>
      </c>
      <c r="DF28" s="99" t="s">
        <v>544</v>
      </c>
      <c r="DG28" s="99" t="str">
        <f>IF(BB_SELECT_CURRENCY="","",BB_SELECT_CURRENCY)</f>
        <v>USD</v>
      </c>
    </row>
    <row r="29" spans="2:111">
      <c r="B29" s="25" t="s">
        <v>712</v>
      </c>
      <c r="C29" t="str">
        <f t="shared" si="3"/>
        <v/>
      </c>
      <c r="D29" s="26" t="str">
        <f t="shared" si="3"/>
        <v/>
      </c>
      <c r="G29" s="41"/>
      <c r="I29" s="38">
        <v>45681</v>
      </c>
      <c r="J29">
        <v>28.45</v>
      </c>
      <c r="K29" s="26">
        <v>78364</v>
      </c>
      <c r="N29" s="25"/>
      <c r="O29" s="1">
        <v>44380</v>
      </c>
      <c r="P29">
        <v>-4.1548999999999996</v>
      </c>
      <c r="R29" s="1">
        <v>44380</v>
      </c>
      <c r="S29">
        <v>0.30370000000000003</v>
      </c>
      <c r="U29" s="1">
        <v>44380</v>
      </c>
      <c r="V29">
        <v>1.7938000000000001</v>
      </c>
      <c r="W29" s="26"/>
      <c r="AD29" s="16" t="str">
        <f>Tearsheet!$J52</f>
        <v>Shares for Fully Diluted EPS</v>
      </c>
      <c r="AE29" s="16" t="str">
        <f>Tearsheet!$L52</f>
        <v>IS_SH_FOR_FULLY_DILUTED_EPS</v>
      </c>
      <c r="AF29" s="16"/>
      <c r="AG29" s="16"/>
      <c r="AH29" s="16" t="e">
        <f ca="1">_xll.BDH(BB_TICKER,$AE29,"-8fy","","Per=fy","Dir=H","Dates=H",BDH_OVERRIDES,BDH_OVERRIDES_DATA,"cols=9;rows=1")</f>
        <v>#NAME?</v>
      </c>
      <c r="AI29" s="16">
        <v>500</v>
      </c>
      <c r="AJ29" s="16">
        <v>500</v>
      </c>
      <c r="AK29" s="16">
        <v>500</v>
      </c>
      <c r="AL29" s="16">
        <v>500</v>
      </c>
      <c r="AM29" s="16">
        <v>500</v>
      </c>
      <c r="AN29" s="16">
        <v>500</v>
      </c>
      <c r="AO29" s="16">
        <v>500</v>
      </c>
      <c r="AP29" s="16">
        <v>500</v>
      </c>
      <c r="AQ29" s="35">
        <f t="shared" si="4"/>
        <v>0</v>
      </c>
      <c r="AT29" s="84">
        <v>14</v>
      </c>
      <c r="AU29" t="s">
        <v>125</v>
      </c>
      <c r="AV29" t="s">
        <v>126</v>
      </c>
      <c r="AW29" t="s">
        <v>127</v>
      </c>
      <c r="AX29" t="s">
        <v>460</v>
      </c>
      <c r="AY29" t="s">
        <v>461</v>
      </c>
      <c r="AZ29" t="s">
        <v>462</v>
      </c>
      <c r="BA29" t="s">
        <v>463</v>
      </c>
      <c r="BC29" s="26"/>
      <c r="BI29">
        <v>2</v>
      </c>
      <c r="BJ29" s="97" t="s">
        <v>536</v>
      </c>
      <c r="BK29" s="45" t="s">
        <v>62</v>
      </c>
      <c r="BL29" s="1"/>
      <c r="CQ29" s="25"/>
      <c r="CS29">
        <v>12</v>
      </c>
      <c r="CT29" s="71" t="s">
        <v>419</v>
      </c>
      <c r="CU29" s="72" t="s">
        <v>419</v>
      </c>
      <c r="CZ29" s="26"/>
      <c r="DB29">
        <v>12</v>
      </c>
      <c r="DF29" s="99" t="s">
        <v>547</v>
      </c>
      <c r="DG29" s="99" t="str">
        <f>IF(BB_CONSBASIS=1,"P","C")</f>
        <v>C</v>
      </c>
    </row>
    <row r="30" spans="2:111">
      <c r="B30" s="25" t="s">
        <v>713</v>
      </c>
      <c r="C30" t="str">
        <f t="shared" si="3"/>
        <v/>
      </c>
      <c r="D30" s="26" t="str">
        <f t="shared" si="3"/>
        <v/>
      </c>
      <c r="G30" s="41"/>
      <c r="I30" s="38">
        <v>45682</v>
      </c>
      <c r="J30">
        <v>28.45</v>
      </c>
      <c r="K30" s="26">
        <v>78364</v>
      </c>
      <c r="N30" s="25"/>
      <c r="O30" s="1">
        <v>44381</v>
      </c>
      <c r="P30">
        <v>-4.1548999999999996</v>
      </c>
      <c r="R30" s="1">
        <v>44381</v>
      </c>
      <c r="S30">
        <v>0.30370000000000003</v>
      </c>
      <c r="U30" s="1">
        <v>44381</v>
      </c>
      <c r="V30">
        <v>1.7938000000000001</v>
      </c>
      <c r="W30" s="26"/>
      <c r="AD30" s="16" t="str">
        <f>Tearsheet!$J53</f>
        <v>Book Value per Share</v>
      </c>
      <c r="AE30" s="16" t="str">
        <f>Tearsheet!$L53</f>
        <v>BOOK_VAL_PER_SH</v>
      </c>
      <c r="AF30" s="16"/>
      <c r="AG30" s="16"/>
      <c r="AH30" s="16" t="e">
        <f ca="1">_xll.BDH(BB_TICKER,$AE30,"-8fy","","Per=fy","Dir=H","Dates=H",BDH_OVERRIDES,BDH_OVERRIDES_DATA,"cols=9;rows=1")</f>
        <v>#NAME?</v>
      </c>
      <c r="AI30" s="16">
        <v>33.597999999999999</v>
      </c>
      <c r="AJ30" s="16">
        <v>27.728000000000002</v>
      </c>
      <c r="AK30" s="16">
        <v>25.878</v>
      </c>
      <c r="AL30" s="16">
        <v>26.885999999999999</v>
      </c>
      <c r="AM30" s="16">
        <v>28.736000000000001</v>
      </c>
      <c r="AN30" s="16">
        <v>32.963999999999999</v>
      </c>
      <c r="AO30" s="16">
        <v>35.673999999999999</v>
      </c>
      <c r="AP30" s="16">
        <v>37.268000000000001</v>
      </c>
      <c r="AQ30" s="35">
        <f t="shared" si="4"/>
        <v>7.5675001111835671E-2</v>
      </c>
      <c r="AT30" s="84">
        <v>15</v>
      </c>
      <c r="AU30" t="s">
        <v>130</v>
      </c>
      <c r="AV30" t="s">
        <v>131</v>
      </c>
      <c r="AW30" t="s">
        <v>121</v>
      </c>
      <c r="AX30" t="s">
        <v>464</v>
      </c>
      <c r="AY30" t="s">
        <v>465</v>
      </c>
      <c r="AZ30" t="s">
        <v>466</v>
      </c>
      <c r="BA30" t="s">
        <v>467</v>
      </c>
      <c r="BC30" s="26"/>
      <c r="BL30" s="1"/>
      <c r="CQ30" s="25"/>
      <c r="CZ30" s="26"/>
      <c r="DB30">
        <v>13</v>
      </c>
    </row>
    <row r="31" spans="2:111">
      <c r="B31" s="25" t="s">
        <v>714</v>
      </c>
      <c r="C31" t="str">
        <f t="shared" si="3"/>
        <v/>
      </c>
      <c r="D31" s="26" t="str">
        <f t="shared" si="3"/>
        <v/>
      </c>
      <c r="G31" s="41"/>
      <c r="I31" s="38">
        <v>45683</v>
      </c>
      <c r="J31">
        <v>28.45</v>
      </c>
      <c r="K31" s="26">
        <v>78364</v>
      </c>
      <c r="N31" s="25"/>
      <c r="O31" s="1">
        <v>44382</v>
      </c>
      <c r="P31">
        <v>-3.3803000000000001</v>
      </c>
      <c r="R31" s="1">
        <v>44382</v>
      </c>
      <c r="S31">
        <v>0.37980000000000003</v>
      </c>
      <c r="U31" s="1">
        <v>44382</v>
      </c>
      <c r="V31">
        <v>1.7938000000000001</v>
      </c>
      <c r="W31" s="26"/>
      <c r="AD31" s="16" t="str">
        <f>Tearsheet!$J54</f>
        <v>Cash &amp; Near Cash</v>
      </c>
      <c r="AE31" s="16" t="str">
        <f>Tearsheet!$L54</f>
        <v>BS_CASH_NEAR_CASH_ITEM</v>
      </c>
      <c r="AF31" s="16"/>
      <c r="AG31" s="16"/>
      <c r="AH31" s="16" t="e">
        <f ca="1">_xll.BDH(BB_TICKER,$AE31,"-8fy","","Per=fy","Dir=H","Dates=H",BDH_OVERRIDES,BDH_OVERRIDES_DATA,"cols=9;rows=1")</f>
        <v>#NAME?</v>
      </c>
      <c r="AI31" s="16">
        <v>2997</v>
      </c>
      <c r="AJ31" s="16">
        <v>1913</v>
      </c>
      <c r="AK31" s="16">
        <v>1714</v>
      </c>
      <c r="AL31" s="16">
        <v>2002</v>
      </c>
      <c r="AM31" s="16">
        <v>1439</v>
      </c>
      <c r="AN31" s="16">
        <v>1731</v>
      </c>
      <c r="AO31" s="16">
        <v>2542</v>
      </c>
      <c r="AP31" s="16">
        <v>2805</v>
      </c>
      <c r="AQ31" s="35">
        <f t="shared" si="4"/>
        <v>0.10353067446566211</v>
      </c>
      <c r="AT31" s="84">
        <v>16</v>
      </c>
      <c r="AU31" t="s">
        <v>132</v>
      </c>
      <c r="AV31" t="s">
        <v>128</v>
      </c>
      <c r="AW31" t="s">
        <v>129</v>
      </c>
      <c r="AX31" t="s">
        <v>468</v>
      </c>
      <c r="AY31" t="s">
        <v>469</v>
      </c>
      <c r="AZ31" t="s">
        <v>470</v>
      </c>
      <c r="BA31" t="s">
        <v>471</v>
      </c>
      <c r="BC31" s="26"/>
      <c r="BL31" s="1"/>
      <c r="CQ31" s="25"/>
      <c r="CZ31" s="26"/>
      <c r="DB31">
        <v>14</v>
      </c>
      <c r="DF31" t="s">
        <v>553</v>
      </c>
    </row>
    <row r="32" spans="2:111">
      <c r="B32" s="25" t="s">
        <v>715</v>
      </c>
      <c r="C32" t="str">
        <f t="shared" si="3"/>
        <v/>
      </c>
      <c r="D32" s="26" t="str">
        <f t="shared" si="3"/>
        <v/>
      </c>
      <c r="G32" s="41"/>
      <c r="I32" s="38">
        <v>45684</v>
      </c>
      <c r="J32">
        <v>28.1</v>
      </c>
      <c r="K32" s="26">
        <v>100007</v>
      </c>
      <c r="N32" s="25"/>
      <c r="O32" s="1">
        <v>44383</v>
      </c>
      <c r="P32">
        <v>-5.7042000000000002</v>
      </c>
      <c r="R32" s="1">
        <v>44383</v>
      </c>
      <c r="S32">
        <v>-0.58530000000000004</v>
      </c>
      <c r="U32" s="1">
        <v>44383</v>
      </c>
      <c r="V32">
        <v>0.72909999999999997</v>
      </c>
      <c r="W32" s="26"/>
      <c r="AD32" s="16" t="str">
        <f>Tearsheet!$J55</f>
        <v>Total Assets</v>
      </c>
      <c r="AE32" s="16" t="str">
        <f>Tearsheet!$L55</f>
        <v>BS_TOT_ASSET</v>
      </c>
      <c r="AF32" s="16"/>
      <c r="AG32" s="16"/>
      <c r="AH32" s="16" t="e">
        <f ca="1">_xll.BDH(BB_TICKER,$AE32,"-8fy","","Per=fy","Dir=H","Dates=H",BDH_OVERRIDES,BDH_OVERRIDES_DATA,"cols=9;rows=1")</f>
        <v>#NAME?</v>
      </c>
      <c r="AI32" s="16">
        <v>46384</v>
      </c>
      <c r="AJ32" s="16">
        <v>45183</v>
      </c>
      <c r="AK32" s="16">
        <v>42767</v>
      </c>
      <c r="AL32" s="16">
        <v>55121</v>
      </c>
      <c r="AM32" s="16">
        <v>58256</v>
      </c>
      <c r="AN32" s="16">
        <v>61699</v>
      </c>
      <c r="AO32" s="16">
        <v>65547</v>
      </c>
      <c r="AP32" s="16">
        <v>68202</v>
      </c>
      <c r="AQ32" s="35">
        <f t="shared" si="4"/>
        <v>9.7836497430733749E-2</v>
      </c>
      <c r="AT32" s="84">
        <v>17</v>
      </c>
      <c r="AU32" t="s">
        <v>14</v>
      </c>
      <c r="AV32" t="s">
        <v>14</v>
      </c>
      <c r="AW32" t="s">
        <v>112</v>
      </c>
      <c r="AX32" t="s">
        <v>472</v>
      </c>
      <c r="AY32" t="s">
        <v>473</v>
      </c>
      <c r="AZ32" t="s">
        <v>474</v>
      </c>
      <c r="BA32" t="s">
        <v>475</v>
      </c>
      <c r="BC32" s="26"/>
      <c r="BL32" s="101"/>
      <c r="CQ32" s="25"/>
      <c r="CZ32" s="26"/>
      <c r="DB32">
        <v>15</v>
      </c>
      <c r="DF32" t="s">
        <v>552</v>
      </c>
      <c r="DG32" t="s">
        <v>551</v>
      </c>
    </row>
    <row r="33" spans="2:111">
      <c r="B33" s="25" t="s">
        <v>716</v>
      </c>
      <c r="C33" t="str">
        <f t="shared" si="3"/>
        <v/>
      </c>
      <c r="D33" s="26" t="str">
        <f t="shared" si="3"/>
        <v/>
      </c>
      <c r="G33" s="41"/>
      <c r="I33" s="38">
        <v>45685</v>
      </c>
      <c r="J33">
        <v>27.95</v>
      </c>
      <c r="K33" s="26">
        <v>86564</v>
      </c>
      <c r="N33" s="25"/>
      <c r="O33" s="1">
        <v>44384</v>
      </c>
      <c r="P33">
        <v>-3.8028</v>
      </c>
      <c r="R33" s="1">
        <v>44384</v>
      </c>
      <c r="S33">
        <v>0.57679999999999998</v>
      </c>
      <c r="U33" s="1">
        <v>44384</v>
      </c>
      <c r="V33">
        <v>1.2615000000000001</v>
      </c>
      <c r="W33" s="26"/>
      <c r="AD33" s="16" t="str">
        <f>Tearsheet!$J56</f>
        <v>Working Cap</v>
      </c>
      <c r="AE33" s="16" t="str">
        <f>Tearsheet!$L56</f>
        <v>WORKING_CAPITAL</v>
      </c>
      <c r="AF33" s="16"/>
      <c r="AG33" s="16"/>
      <c r="AH33" s="16" t="e">
        <f ca="1">_xll.BDH(BB_TICKER,$AE33,"-8fy","","Per=fy","Dir=H","Dates=H",BDH_OVERRIDES,BDH_OVERRIDES_DATA,"cols=9;rows=1")</f>
        <v>#NAME?</v>
      </c>
      <c r="AI33" s="16">
        <v>4165</v>
      </c>
      <c r="AJ33" s="16">
        <v>200</v>
      </c>
      <c r="AK33" s="16">
        <v>-1058</v>
      </c>
      <c r="AL33" s="16">
        <v>-3617</v>
      </c>
      <c r="AM33" s="16">
        <v>-3526</v>
      </c>
      <c r="AN33" s="16">
        <v>-1268</v>
      </c>
      <c r="AO33" s="16">
        <v>-456</v>
      </c>
      <c r="AP33" s="16">
        <v>-1472</v>
      </c>
      <c r="AQ33" s="35">
        <f t="shared" si="4"/>
        <v>6.8278353688437932E-2</v>
      </c>
      <c r="AT33" s="84">
        <v>18</v>
      </c>
      <c r="AU33" t="s">
        <v>21</v>
      </c>
      <c r="AV33" t="s">
        <v>21</v>
      </c>
      <c r="AW33" t="s">
        <v>111</v>
      </c>
      <c r="AX33" t="s">
        <v>476</v>
      </c>
      <c r="AY33" t="s">
        <v>477</v>
      </c>
      <c r="AZ33" t="s">
        <v>478</v>
      </c>
      <c r="BA33" t="s">
        <v>479</v>
      </c>
      <c r="BC33" s="26"/>
      <c r="BL33" s="1"/>
      <c r="CQ33" s="25"/>
      <c r="CZ33" s="26"/>
      <c r="DB33">
        <v>16</v>
      </c>
      <c r="DF33" s="99" t="str">
        <f>LEFT(Tearsheet!$K$8,1)</f>
        <v>C</v>
      </c>
      <c r="DG33" s="99" t="str">
        <f>LEFT(Tearsheet!$K$8,1)</f>
        <v>C</v>
      </c>
    </row>
    <row r="34" spans="2:111">
      <c r="B34" s="25" t="s">
        <v>717</v>
      </c>
      <c r="C34" t="str">
        <f t="shared" si="3"/>
        <v/>
      </c>
      <c r="D34" s="26" t="str">
        <f t="shared" si="3"/>
        <v/>
      </c>
      <c r="G34" s="41"/>
      <c r="I34" s="38">
        <v>45686</v>
      </c>
      <c r="J34">
        <v>29.85</v>
      </c>
      <c r="K34" s="26">
        <v>249716</v>
      </c>
      <c r="N34" s="25"/>
      <c r="O34" s="1">
        <v>44385</v>
      </c>
      <c r="P34">
        <v>-5.5633999999999997</v>
      </c>
      <c r="R34" s="1">
        <v>44385</v>
      </c>
      <c r="S34">
        <v>-1.1669</v>
      </c>
      <c r="U34" s="1">
        <v>44385</v>
      </c>
      <c r="V34">
        <v>1.2615000000000001</v>
      </c>
      <c r="W34" s="26"/>
      <c r="AD34" s="16" t="str">
        <f>Tearsheet!$J57</f>
        <v>LT Debt</v>
      </c>
      <c r="AE34" s="16" t="str">
        <f>Tearsheet!$L57</f>
        <v>BS_LT_BORROW</v>
      </c>
      <c r="AF34" s="16"/>
      <c r="AG34" s="16"/>
      <c r="AH34" s="16" t="e">
        <f ca="1">_xll.BDH(BB_TICKER,$AE34,"-8fy","","Per=fy","Dir=H","Dates=H",BDH_OVERRIDES,BDH_OVERRIDES_DATA,"cols=9;rows=1")</f>
        <v>#NAME?</v>
      </c>
      <c r="AI34" s="16">
        <v>7782</v>
      </c>
      <c r="AJ34" s="16">
        <v>8570</v>
      </c>
      <c r="AK34" s="16">
        <v>8235</v>
      </c>
      <c r="AL34" s="16">
        <v>14610</v>
      </c>
      <c r="AM34" s="16">
        <v>15137</v>
      </c>
      <c r="AN34" s="16">
        <v>16216</v>
      </c>
      <c r="AO34" s="16">
        <v>17729</v>
      </c>
      <c r="AP34" s="16">
        <v>18520</v>
      </c>
      <c r="AQ34" s="35">
        <f t="shared" si="4"/>
        <v>0.17596792343957879</v>
      </c>
      <c r="AT34" s="84">
        <v>19</v>
      </c>
      <c r="AU34" t="s">
        <v>135</v>
      </c>
      <c r="AV34" t="s">
        <v>136</v>
      </c>
      <c r="AW34" t="s">
        <v>137</v>
      </c>
      <c r="AX34" t="s">
        <v>480</v>
      </c>
      <c r="AY34" t="s">
        <v>481</v>
      </c>
      <c r="AZ34" t="s">
        <v>482</v>
      </c>
      <c r="BA34" t="s">
        <v>483</v>
      </c>
      <c r="BC34" s="26"/>
      <c r="BK34" s="95"/>
      <c r="BL34" s="1"/>
      <c r="CQ34" s="25"/>
      <c r="CZ34" s="26"/>
      <c r="DB34">
        <v>17</v>
      </c>
      <c r="DF34" s="99" t="s">
        <v>547</v>
      </c>
      <c r="DG34" s="99" t="s">
        <v>546</v>
      </c>
    </row>
    <row r="35" spans="2:111">
      <c r="B35" s="25"/>
      <c r="C35" t="str">
        <f t="shared" si="3"/>
        <v/>
      </c>
      <c r="D35" s="26" t="str">
        <f t="shared" si="3"/>
        <v/>
      </c>
      <c r="G35" s="41"/>
      <c r="I35" s="38">
        <v>45687</v>
      </c>
      <c r="J35">
        <v>30.3</v>
      </c>
      <c r="K35" s="26">
        <v>124342</v>
      </c>
      <c r="N35" s="25"/>
      <c r="O35" s="1">
        <v>44386</v>
      </c>
      <c r="P35">
        <v>-3.9437000000000002</v>
      </c>
      <c r="R35" s="1">
        <v>44386</v>
      </c>
      <c r="S35">
        <v>0.54620000000000002</v>
      </c>
      <c r="U35" s="1">
        <v>44386</v>
      </c>
      <c r="V35">
        <v>2.1741000000000001</v>
      </c>
      <c r="W35" s="26"/>
      <c r="AD35" s="16" t="str">
        <f>Tearsheet!$J58</f>
        <v>Cash Flow-Oper Activities</v>
      </c>
      <c r="AE35" s="16" t="str">
        <f>Tearsheet!$L58</f>
        <v>CF_CASH_FROM_OPER</v>
      </c>
      <c r="AF35" s="16"/>
      <c r="AG35" s="16"/>
      <c r="AH35" s="16" t="e">
        <f ca="1">_xll.BDH(BB_TICKER,$AE35,"-8fy","","Per=fy","Dir=H","Dates=H",BDH_OVERRIDES,BDH_OVERRIDES_DATA,"cols=9;rows=1")</f>
        <v>#NAME?</v>
      </c>
      <c r="AI35" s="16">
        <v>382</v>
      </c>
      <c r="AJ35" s="16">
        <v>1088</v>
      </c>
      <c r="AK35" s="16">
        <v>1987</v>
      </c>
      <c r="AL35" s="16">
        <v>1534</v>
      </c>
      <c r="AM35" s="16">
        <v>-661</v>
      </c>
      <c r="AN35" s="16">
        <v>2583</v>
      </c>
      <c r="AO35" s="16">
        <v>2341</v>
      </c>
      <c r="AP35" s="16">
        <v>901</v>
      </c>
      <c r="AQ35" s="35">
        <f t="shared" si="4"/>
        <v>-0.14629979683885685</v>
      </c>
      <c r="AT35" s="84">
        <v>20</v>
      </c>
      <c r="AU35" t="s">
        <v>138</v>
      </c>
      <c r="AV35" t="s">
        <v>139</v>
      </c>
      <c r="AW35" t="s">
        <v>134</v>
      </c>
      <c r="AX35" t="s">
        <v>484</v>
      </c>
      <c r="AY35" t="s">
        <v>485</v>
      </c>
      <c r="AZ35" t="s">
        <v>486</v>
      </c>
      <c r="BA35" t="s">
        <v>487</v>
      </c>
      <c r="BC35" s="26"/>
      <c r="BK35" s="95"/>
      <c r="BL35" s="1"/>
      <c r="CQ35" s="25"/>
      <c r="CZ35" s="26"/>
      <c r="DB35">
        <v>18</v>
      </c>
    </row>
    <row r="36" spans="2:111">
      <c r="B36" s="25"/>
      <c r="C36" t="str">
        <f t="shared" si="3"/>
        <v/>
      </c>
      <c r="D36" s="26" t="str">
        <f t="shared" si="3"/>
        <v/>
      </c>
      <c r="G36" s="41"/>
      <c r="I36" s="38">
        <v>45688</v>
      </c>
      <c r="J36">
        <v>29.9</v>
      </c>
      <c r="K36" s="26">
        <v>94221</v>
      </c>
      <c r="N36" s="25"/>
      <c r="O36" s="1">
        <v>44387</v>
      </c>
      <c r="P36">
        <v>-3.9437000000000002</v>
      </c>
      <c r="R36" s="1">
        <v>44387</v>
      </c>
      <c r="S36">
        <v>0.54620000000000002</v>
      </c>
      <c r="U36" s="1">
        <v>44387</v>
      </c>
      <c r="V36">
        <v>2.1741000000000001</v>
      </c>
      <c r="W36" s="26"/>
      <c r="AD36" s="16" t="str">
        <f>Tearsheet!$J59</f>
        <v>Capital Expenditures</v>
      </c>
      <c r="AE36" s="16" t="str">
        <f>Tearsheet!$L59</f>
        <v>CF_CAP_EXPEND_PRPTY_ADD</v>
      </c>
      <c r="AF36" s="16"/>
      <c r="AG36" s="16"/>
      <c r="AH36" s="16" t="e">
        <f ca="1">_xll.BDH(BB_TICKER,$AE36,"-8fy","","Per=fy","Dir=H","Dates=H",BDH_OVERRIDES,BDH_OVERRIDES_DATA,"cols=9;rows=1")</f>
        <v>#NAME?</v>
      </c>
      <c r="AI36" s="16">
        <v>-935</v>
      </c>
      <c r="AJ36" s="16">
        <v>-997</v>
      </c>
      <c r="AK36" s="16">
        <v>-995</v>
      </c>
      <c r="AL36" s="16">
        <v>-1131</v>
      </c>
      <c r="AM36" s="16">
        <v>-1305</v>
      </c>
      <c r="AN36" s="16">
        <v>-1522</v>
      </c>
      <c r="AO36" s="16">
        <v>-1763</v>
      </c>
      <c r="AP36" s="16">
        <v>-1576</v>
      </c>
      <c r="AQ36" s="35">
        <f t="shared" si="4"/>
        <v>9.6343450467939462E-2</v>
      </c>
      <c r="AT36" s="84">
        <v>21</v>
      </c>
      <c r="AU36" t="s">
        <v>140</v>
      </c>
      <c r="AV36" t="s">
        <v>141</v>
      </c>
      <c r="AW36" t="s">
        <v>142</v>
      </c>
      <c r="AX36" t="s">
        <v>488</v>
      </c>
      <c r="AY36" t="s">
        <v>489</v>
      </c>
      <c r="AZ36" t="s">
        <v>490</v>
      </c>
      <c r="BA36" t="s">
        <v>491</v>
      </c>
      <c r="BC36" s="26"/>
      <c r="BK36" s="95"/>
      <c r="BL36" s="1"/>
      <c r="CQ36" s="25"/>
      <c r="CZ36" s="26"/>
      <c r="DB36">
        <v>19</v>
      </c>
    </row>
    <row r="37" spans="2:111">
      <c r="B37" s="25"/>
      <c r="C37" t="str">
        <f t="shared" si="3"/>
        <v/>
      </c>
      <c r="D37" s="26" t="str">
        <f t="shared" si="3"/>
        <v/>
      </c>
      <c r="G37" s="41"/>
      <c r="I37" s="38">
        <v>45689</v>
      </c>
      <c r="J37">
        <v>29.9</v>
      </c>
      <c r="K37" s="26">
        <v>94221</v>
      </c>
      <c r="N37" s="25"/>
      <c r="O37" s="1">
        <v>44388</v>
      </c>
      <c r="P37">
        <v>-3.9437000000000002</v>
      </c>
      <c r="R37" s="1">
        <v>44388</v>
      </c>
      <c r="S37">
        <v>0.54620000000000002</v>
      </c>
      <c r="U37" s="1">
        <v>44388</v>
      </c>
      <c r="V37">
        <v>2.1741000000000001</v>
      </c>
      <c r="W37" s="26"/>
      <c r="AD37" s="16" t="str">
        <f>Tearsheet!$J60</f>
        <v>Free Cash Flow</v>
      </c>
      <c r="AE37" s="16" t="str">
        <f>Tearsheet!$L60</f>
        <v>CF_FREE_CASH_FLOW</v>
      </c>
      <c r="AF37" s="16"/>
      <c r="AG37" s="16"/>
      <c r="AH37" s="16" t="e">
        <f ca="1">_xll.BDH(BB_TICKER,$AE37,"-8fy","","Per=fy","Dir=H","Dates=H",BDH_OVERRIDES,BDH_OVERRIDES_DATA,"cols=9;rows=1")</f>
        <v>#NAME?</v>
      </c>
      <c r="AI37" s="16">
        <v>-553</v>
      </c>
      <c r="AJ37" s="16">
        <v>91</v>
      </c>
      <c r="AK37" s="16">
        <v>992</v>
      </c>
      <c r="AL37" s="16">
        <v>403</v>
      </c>
      <c r="AM37" s="16">
        <v>-1966</v>
      </c>
      <c r="AN37" s="16">
        <v>1061</v>
      </c>
      <c r="AO37" s="16">
        <v>578</v>
      </c>
      <c r="AP37" s="16">
        <v>-675</v>
      </c>
      <c r="AQ37" s="35">
        <f t="shared" si="4"/>
        <v>-1.9258879247184049</v>
      </c>
      <c r="AT37" s="84">
        <v>22</v>
      </c>
      <c r="AU37" t="s">
        <v>426</v>
      </c>
      <c r="AV37" t="s">
        <v>427</v>
      </c>
      <c r="AW37" t="s">
        <v>435</v>
      </c>
      <c r="AX37" t="s">
        <v>492</v>
      </c>
      <c r="AY37" t="s">
        <v>493</v>
      </c>
      <c r="AZ37" t="s">
        <v>494</v>
      </c>
      <c r="BA37" t="s">
        <v>495</v>
      </c>
      <c r="BC37" s="26"/>
      <c r="BK37" s="95"/>
      <c r="BL37" s="1"/>
      <c r="CQ37" s="25"/>
      <c r="CZ37" s="26"/>
      <c r="DB37">
        <v>20</v>
      </c>
    </row>
    <row r="38" spans="2:111">
      <c r="B38" s="25"/>
      <c r="C38" t="str">
        <f t="shared" si="3"/>
        <v/>
      </c>
      <c r="D38" s="26" t="str">
        <f t="shared" si="3"/>
        <v/>
      </c>
      <c r="G38" s="41"/>
      <c r="I38" s="38">
        <v>45690</v>
      </c>
      <c r="J38">
        <v>29.9</v>
      </c>
      <c r="K38" s="26">
        <v>94221</v>
      </c>
      <c r="N38" s="25"/>
      <c r="O38" s="1">
        <v>44389</v>
      </c>
      <c r="P38">
        <v>-4.2253999999999996</v>
      </c>
      <c r="R38" s="1">
        <v>44389</v>
      </c>
      <c r="S38">
        <v>1.2036</v>
      </c>
      <c r="U38" s="1">
        <v>44389</v>
      </c>
      <c r="V38">
        <v>1.2043999999999999</v>
      </c>
      <c r="W38" s="26"/>
      <c r="AD38" s="15" t="str">
        <f>Tearsheet!$J62</f>
        <v>Gross Margin</v>
      </c>
      <c r="AE38" s="15" t="str">
        <f>Tearsheet!$L62</f>
        <v>GROSS_MARGIN</v>
      </c>
      <c r="AF38" s="15"/>
      <c r="AG38" s="15"/>
      <c r="AH38" s="15" t="e">
        <f ca="1">_xll.BDH(BB_TICKER,$AE38,"-8fy","","Per=fy","Dir=H","Dates=H",BDH_OVERRIDES,BDH_OVERRIDES_DATA,"cols=9;rows=1")</f>
        <v>#NAME?</v>
      </c>
      <c r="AI38" s="15">
        <v>19.211600000000001</v>
      </c>
      <c r="AJ38" s="15">
        <v>19.6387</v>
      </c>
      <c r="AK38" s="15">
        <v>15.318899999999999</v>
      </c>
      <c r="AL38" s="15">
        <v>18.082999999999998</v>
      </c>
      <c r="AM38" s="15">
        <v>16.990200000000002</v>
      </c>
      <c r="AN38" s="15">
        <v>19.7133</v>
      </c>
      <c r="AO38" s="15">
        <v>21.275300000000001</v>
      </c>
      <c r="AP38" s="15">
        <v>19.116499999999998</v>
      </c>
      <c r="AT38" s="84">
        <v>23</v>
      </c>
      <c r="AU38" t="s">
        <v>436</v>
      </c>
      <c r="AV38" t="s">
        <v>437</v>
      </c>
      <c r="AW38" t="s">
        <v>438</v>
      </c>
      <c r="AX38" t="s">
        <v>496</v>
      </c>
      <c r="AY38" t="s">
        <v>497</v>
      </c>
      <c r="AZ38" t="s">
        <v>498</v>
      </c>
      <c r="BA38" t="s">
        <v>499</v>
      </c>
      <c r="BC38" s="26"/>
      <c r="BK38" s="95"/>
      <c r="BL38" s="1"/>
      <c r="CQ38" s="25"/>
      <c r="CZ38" s="26"/>
      <c r="DB38">
        <v>21</v>
      </c>
    </row>
    <row r="39" spans="2:111">
      <c r="B39" s="25"/>
      <c r="C39" t="str">
        <f t="shared" si="3"/>
        <v/>
      </c>
      <c r="D39" s="26" t="str">
        <f t="shared" si="3"/>
        <v/>
      </c>
      <c r="G39" s="41"/>
      <c r="I39" s="38">
        <v>45691</v>
      </c>
      <c r="J39">
        <v>29.5</v>
      </c>
      <c r="K39" s="26">
        <v>200899</v>
      </c>
      <c r="N39" s="25"/>
      <c r="O39" s="1">
        <v>44390</v>
      </c>
      <c r="P39">
        <v>-3.3803000000000001</v>
      </c>
      <c r="R39" s="1">
        <v>44390</v>
      </c>
      <c r="S39">
        <v>1.1980999999999999</v>
      </c>
      <c r="U39" s="1">
        <v>44390</v>
      </c>
      <c r="V39">
        <v>1.3754999999999999</v>
      </c>
      <c r="W39" s="26"/>
      <c r="AD39" s="15" t="str">
        <f>Tearsheet!$J63</f>
        <v>EBITDA Margin</v>
      </c>
      <c r="AE39" s="15" t="str">
        <f>Tearsheet!$L63</f>
        <v>EBITDA_MARGIN</v>
      </c>
      <c r="AF39" s="15"/>
      <c r="AG39" s="15"/>
      <c r="AH39" s="15" t="e">
        <f ca="1">_xll.BDH(BB_TICKER,$AE39,"-8fy","","Per=fy","Dir=H","Dates=H",BDH_OVERRIDES,BDH_OVERRIDES_DATA,"cols=9;rows=1")</f>
        <v>#NAME?</v>
      </c>
      <c r="AI39" s="15">
        <v>13.136900000000001</v>
      </c>
      <c r="AJ39" s="15">
        <v>15.1816</v>
      </c>
      <c r="AK39" s="15">
        <v>11.160299999999999</v>
      </c>
      <c r="AL39" s="15">
        <v>10.199199999999999</v>
      </c>
      <c r="AM39" s="15">
        <v>11.2706</v>
      </c>
      <c r="AN39" s="15">
        <v>14.132099999999999</v>
      </c>
      <c r="AO39" s="15">
        <v>15.1328</v>
      </c>
      <c r="AP39" s="15">
        <v>12.651199999999999</v>
      </c>
      <c r="AT39" s="84">
        <v>24</v>
      </c>
      <c r="AU39" t="s">
        <v>439</v>
      </c>
      <c r="AV39" t="s">
        <v>123</v>
      </c>
      <c r="AW39" t="s">
        <v>124</v>
      </c>
      <c r="AX39" t="s">
        <v>500</v>
      </c>
      <c r="AY39" t="s">
        <v>501</v>
      </c>
      <c r="AZ39" t="s">
        <v>502</v>
      </c>
      <c r="BA39" t="s">
        <v>503</v>
      </c>
      <c r="BC39" s="26"/>
      <c r="BK39" s="95"/>
      <c r="BL39" s="1"/>
      <c r="CQ39" s="25"/>
      <c r="CZ39" s="26"/>
      <c r="DB39">
        <v>22</v>
      </c>
    </row>
    <row r="40" spans="2:111" ht="15" thickBot="1">
      <c r="B40" s="27"/>
      <c r="C40" s="28" t="str">
        <f t="shared" si="3"/>
        <v/>
      </c>
      <c r="D40" s="29" t="str">
        <f t="shared" si="3"/>
        <v/>
      </c>
      <c r="G40" s="41"/>
      <c r="I40" s="38">
        <v>45692</v>
      </c>
      <c r="J40">
        <v>29.85</v>
      </c>
      <c r="K40" s="26">
        <v>81371</v>
      </c>
      <c r="N40" s="25"/>
      <c r="O40" s="1">
        <v>44391</v>
      </c>
      <c r="P40">
        <v>-3.8028</v>
      </c>
      <c r="R40" s="1">
        <v>44391</v>
      </c>
      <c r="S40">
        <v>1.1938</v>
      </c>
      <c r="U40" s="1">
        <v>44391</v>
      </c>
      <c r="V40">
        <v>2.8395000000000001</v>
      </c>
      <c r="W40" s="26"/>
      <c r="AD40" s="15" t="str">
        <f>Tearsheet!$J64</f>
        <v>EBIT Margin</v>
      </c>
      <c r="AE40" s="15" t="str">
        <f>Tearsheet!$L64</f>
        <v>EBIT_MARGIN</v>
      </c>
      <c r="AF40" s="15"/>
      <c r="AG40" s="15"/>
      <c r="AH40" s="15" t="e">
        <f ca="1">_xll.BDH(BB_TICKER,$AE40,"-8fy","","Per=fy","Dir=H","Dates=H",BDH_OVERRIDES,BDH_OVERRIDES_DATA,"cols=9;rows=1")</f>
        <v>#NAME?</v>
      </c>
      <c r="AI40" s="15">
        <v>5.8356000000000003</v>
      </c>
      <c r="AJ40" s="15">
        <v>6.9960000000000004</v>
      </c>
      <c r="AK40" s="15">
        <v>0.35870000000000002</v>
      </c>
      <c r="AL40" s="15">
        <v>1.2867</v>
      </c>
      <c r="AM40" s="15">
        <v>3.8774999999999999</v>
      </c>
      <c r="AN40" s="15">
        <v>8.0282</v>
      </c>
      <c r="AO40" s="15">
        <v>8.8660999999999994</v>
      </c>
      <c r="AP40" s="15">
        <v>5.5072999999999999</v>
      </c>
      <c r="AT40" s="25"/>
      <c r="BC40" s="26"/>
      <c r="BL40" s="1"/>
      <c r="BM40" s="96"/>
      <c r="CQ40" s="25"/>
      <c r="CZ40" s="26"/>
      <c r="DB40">
        <v>23</v>
      </c>
    </row>
    <row r="41" spans="2:111">
      <c r="G41" s="41"/>
      <c r="I41" s="38">
        <v>45693</v>
      </c>
      <c r="J41">
        <v>29.6</v>
      </c>
      <c r="K41" s="26">
        <v>68543</v>
      </c>
      <c r="N41" s="25"/>
      <c r="O41" s="1">
        <v>44392</v>
      </c>
      <c r="P41">
        <v>-2.7465000000000002</v>
      </c>
      <c r="R41" s="1">
        <v>44392</v>
      </c>
      <c r="S41">
        <v>0.17269999999999999</v>
      </c>
      <c r="U41" s="1">
        <v>44392</v>
      </c>
      <c r="V41">
        <v>2.0028999999999999</v>
      </c>
      <c r="W41" s="26"/>
      <c r="AD41" s="15" t="str">
        <f>Tearsheet!$J65</f>
        <v>Profit Margin</v>
      </c>
      <c r="AE41" s="15" t="str">
        <f>Tearsheet!$L65</f>
        <v>PROF_MARGIN</v>
      </c>
      <c r="AF41" s="15"/>
      <c r="AG41" s="15"/>
      <c r="AH41" s="15" t="e">
        <f ca="1">_xll.BDH(BB_TICKER,$AE41,"-8fy","","Per=fy","Dir=H","Dates=H",BDH_OVERRIDES,BDH_OVERRIDES_DATA,"cols=9;rows=1")</f>
        <v>#NAME?</v>
      </c>
      <c r="AI41" s="15">
        <v>5.3612000000000002</v>
      </c>
      <c r="AJ41" s="15">
        <v>5.6429</v>
      </c>
      <c r="AK41" s="15">
        <v>-0.44729999999999998</v>
      </c>
      <c r="AL41" s="15">
        <v>1.4924999999999999</v>
      </c>
      <c r="AM41" s="15">
        <v>2.8288000000000002</v>
      </c>
      <c r="AN41" s="15">
        <v>5.2290999999999999</v>
      </c>
      <c r="AO41" s="15">
        <v>5.9065000000000003</v>
      </c>
      <c r="AP41" s="15">
        <v>3.5118</v>
      </c>
      <c r="AT41" s="25"/>
      <c r="BC41" s="26"/>
      <c r="BL41" s="1"/>
      <c r="CQ41" s="25"/>
      <c r="CZ41" s="26"/>
      <c r="DB41">
        <v>24</v>
      </c>
    </row>
    <row r="42" spans="2:111">
      <c r="G42" s="41"/>
      <c r="I42" s="38">
        <v>45694</v>
      </c>
      <c r="J42">
        <v>30.5</v>
      </c>
      <c r="K42" s="26">
        <v>132702</v>
      </c>
      <c r="N42" s="25"/>
      <c r="O42" s="1">
        <v>44393</v>
      </c>
      <c r="P42">
        <v>-6.3380000000000001</v>
      </c>
      <c r="R42" s="1">
        <v>44393</v>
      </c>
      <c r="S42">
        <v>-0.39989999999999998</v>
      </c>
      <c r="U42" s="1">
        <v>44393</v>
      </c>
      <c r="V42">
        <v>2.0979999999999999</v>
      </c>
      <c r="W42" s="26"/>
      <c r="AD42" s="15" t="str">
        <f>Tearsheet!$J66</f>
        <v>Return on Assets</v>
      </c>
      <c r="AE42" s="15" t="str">
        <f>Tearsheet!$L66</f>
        <v>RETURN_ON_ASSET</v>
      </c>
      <c r="AF42" s="15"/>
      <c r="AG42" s="15"/>
      <c r="AH42" s="15" t="e">
        <f ca="1">_xll.BDH(BB_TICKER,$AE42,"-8fy","","Per=fy","Dir=H","Dates=H",BDH_OVERRIDES,BDH_OVERRIDES_DATA,"cols=9;rows=1")</f>
        <v>#NAME?</v>
      </c>
      <c r="AI42" s="15">
        <v>2.9906999999999999</v>
      </c>
      <c r="AJ42" s="15">
        <v>3.3155999999999999</v>
      </c>
      <c r="AK42" s="15">
        <v>-0.22969999999999999</v>
      </c>
      <c r="AL42" s="15">
        <v>0.93369999999999997</v>
      </c>
      <c r="AM42" s="15">
        <v>2.0127999999999999</v>
      </c>
      <c r="AN42" s="15">
        <v>4.0865</v>
      </c>
      <c r="AO42" s="15">
        <v>4.4071999999999996</v>
      </c>
      <c r="AP42" s="15">
        <v>2.3132999999999999</v>
      </c>
      <c r="AT42" s="25"/>
      <c r="BC42" s="26"/>
      <c r="BL42" s="1"/>
      <c r="CQ42" s="25"/>
      <c r="CZ42" s="26"/>
      <c r="DB42">
        <v>25</v>
      </c>
    </row>
    <row r="43" spans="2:111" ht="15" thickBot="1">
      <c r="G43" s="41"/>
      <c r="I43" s="38">
        <v>45695</v>
      </c>
      <c r="J43">
        <v>31.15</v>
      </c>
      <c r="K43" s="26">
        <v>207751</v>
      </c>
      <c r="N43" s="25"/>
      <c r="O43" s="1">
        <v>44394</v>
      </c>
      <c r="P43">
        <v>-6.3380000000000001</v>
      </c>
      <c r="R43" s="1">
        <v>44394</v>
      </c>
      <c r="S43">
        <v>-0.39989999999999998</v>
      </c>
      <c r="U43" s="1">
        <v>44394</v>
      </c>
      <c r="V43">
        <v>2.0979999999999999</v>
      </c>
      <c r="W43" s="26"/>
      <c r="AD43" s="15" t="str">
        <f>Tearsheet!$J67</f>
        <v>Return on Com Eqty</v>
      </c>
      <c r="AE43" s="15" t="str">
        <f>Tearsheet!$L67</f>
        <v>RETURN_COM_EQY</v>
      </c>
      <c r="AF43" s="15"/>
      <c r="AG43" s="15"/>
      <c r="AH43" s="15" t="e">
        <f ca="1">_xll.BDH(BB_TICKER,$AE43,"-8fy","","Per=fy","Dir=H","Dates=H",BDH_OVERRIDES,BDH_OVERRIDES_DATA,"cols=9;rows=1")</f>
        <v>#NAME?</v>
      </c>
      <c r="AI43" s="15">
        <v>9.7539999999999996</v>
      </c>
      <c r="AJ43" s="15">
        <v>9.9011999999999993</v>
      </c>
      <c r="AK43" s="15">
        <v>-0.75360000000000005</v>
      </c>
      <c r="AL43" s="15">
        <v>3.4645000000000001</v>
      </c>
      <c r="AM43" s="15">
        <v>8.2053999999999991</v>
      </c>
      <c r="AN43" s="15">
        <v>15.889799999999999</v>
      </c>
      <c r="AO43" s="15">
        <v>16.340800000000002</v>
      </c>
      <c r="AP43" s="15">
        <v>8.4834999999999994</v>
      </c>
      <c r="AT43" s="27"/>
      <c r="AU43" s="28"/>
      <c r="AV43" s="28"/>
      <c r="AW43" s="28"/>
      <c r="AX43" s="28"/>
      <c r="AY43" s="28"/>
      <c r="AZ43" s="28"/>
      <c r="BA43" s="28"/>
      <c r="BB43" s="28"/>
      <c r="BC43" s="29"/>
      <c r="BL43" s="1"/>
      <c r="CQ43" s="25"/>
      <c r="CZ43" s="26"/>
      <c r="DB43">
        <v>26</v>
      </c>
    </row>
    <row r="44" spans="2:111">
      <c r="G44" s="41"/>
      <c r="I44" s="38">
        <v>45696</v>
      </c>
      <c r="J44">
        <v>31.15</v>
      </c>
      <c r="K44" s="26">
        <v>207751</v>
      </c>
      <c r="N44" s="25"/>
      <c r="O44" s="1">
        <v>44395</v>
      </c>
      <c r="P44">
        <v>-6.3380000000000001</v>
      </c>
      <c r="R44" s="1">
        <v>44395</v>
      </c>
      <c r="S44">
        <v>-0.39989999999999998</v>
      </c>
      <c r="U44" s="1">
        <v>44395</v>
      </c>
      <c r="V44">
        <v>2.0979999999999999</v>
      </c>
      <c r="W44" s="26"/>
      <c r="AD44" s="15" t="str">
        <f>Tearsheet!$J68</f>
        <v>Asset Turnover</v>
      </c>
      <c r="AE44" s="15" t="str">
        <f>Tearsheet!$L68</f>
        <v>ASSET_TURNOVER</v>
      </c>
      <c r="AF44" s="15"/>
      <c r="AG44" s="15"/>
      <c r="AH44" s="15" t="e">
        <f ca="1">_xll.BDH(BB_TICKER,$AE44,"-8fy","","Per=fy","Dir=H","Dates=H",BDH_OVERRIDES,BDH_OVERRIDES_DATA,"cols=9;rows=1")</f>
        <v>#NAME?</v>
      </c>
      <c r="AI44" s="15">
        <v>0.55779999999999996</v>
      </c>
      <c r="AJ44" s="15">
        <v>0.58760000000000001</v>
      </c>
      <c r="AK44" s="15">
        <v>0.51349999999999996</v>
      </c>
      <c r="AL44" s="15">
        <v>0.62560000000000004</v>
      </c>
      <c r="AM44" s="15">
        <v>0.71150000000000002</v>
      </c>
      <c r="AN44" s="15">
        <v>0.78149999999999997</v>
      </c>
      <c r="AO44" s="15">
        <v>0.74619999999999997</v>
      </c>
      <c r="AP44" s="15">
        <v>0.65869999999999995</v>
      </c>
      <c r="BL44" s="1"/>
      <c r="CQ44" s="25"/>
      <c r="CZ44" s="26"/>
      <c r="DB44">
        <v>27</v>
      </c>
    </row>
    <row r="45" spans="2:111">
      <c r="G45" s="41"/>
      <c r="I45" s="38">
        <v>45697</v>
      </c>
      <c r="J45">
        <v>31.15</v>
      </c>
      <c r="K45" s="26">
        <v>207751</v>
      </c>
      <c r="N45" s="25"/>
      <c r="O45" s="1">
        <v>44396</v>
      </c>
      <c r="P45">
        <v>-10.2113</v>
      </c>
      <c r="R45" s="1">
        <v>44396</v>
      </c>
      <c r="S45">
        <v>-3.0091999999999999</v>
      </c>
      <c r="U45" s="1">
        <v>44396</v>
      </c>
      <c r="V45">
        <v>0.88119999999999998</v>
      </c>
      <c r="W45" s="26"/>
      <c r="AD45" s="15" t="str">
        <f>Tearsheet!$J69</f>
        <v>Assets/Equity</v>
      </c>
      <c r="AE45" s="15" t="str">
        <f>Tearsheet!$L69</f>
        <v>ASSET_TO_EQY</v>
      </c>
      <c r="AF45" s="15"/>
      <c r="AG45" s="15"/>
      <c r="AH45" s="15" t="e">
        <f ca="1">_xll.BDH(BB_TICKER,$AE45,"-8fy","","Per=fy","Dir=H","Dates=H",BDH_OVERRIDES,BDH_OVERRIDES_DATA,"cols=9;rows=1")</f>
        <v>#NAME?</v>
      </c>
      <c r="AI45" s="15">
        <v>2.7608000000000001</v>
      </c>
      <c r="AJ45" s="15">
        <v>3.1968000000000001</v>
      </c>
      <c r="AK45" s="15">
        <v>3.2475999999999998</v>
      </c>
      <c r="AL45" s="15">
        <v>4.0994000000000002</v>
      </c>
      <c r="AM45" s="15">
        <v>4.0529000000000002</v>
      </c>
      <c r="AN45" s="15">
        <v>3.7421000000000002</v>
      </c>
      <c r="AO45" s="15">
        <v>3.6735000000000002</v>
      </c>
      <c r="AP45" s="15">
        <v>3.6595</v>
      </c>
      <c r="BL45" s="1"/>
      <c r="CQ45" s="25"/>
      <c r="CZ45" s="26"/>
      <c r="DB45">
        <v>28</v>
      </c>
    </row>
    <row r="46" spans="2:111">
      <c r="G46" s="41"/>
      <c r="I46" s="38">
        <v>45698</v>
      </c>
      <c r="J46">
        <v>31.4</v>
      </c>
      <c r="K46" s="26">
        <v>86821</v>
      </c>
      <c r="N46" s="25"/>
      <c r="O46" s="1">
        <v>44397</v>
      </c>
      <c r="P46">
        <v>-10.281700000000001</v>
      </c>
      <c r="R46" s="1">
        <v>44397</v>
      </c>
      <c r="S46">
        <v>-2.4767000000000001</v>
      </c>
      <c r="U46" s="1">
        <v>44397</v>
      </c>
      <c r="V46">
        <v>1.8698999999999999</v>
      </c>
      <c r="W46" s="26"/>
      <c r="AD46" s="15" t="str">
        <f>Tearsheet!$J70</f>
        <v>Net Inc per 1000 Employees</v>
      </c>
      <c r="AE46" s="15" t="str">
        <f>Tearsheet!$L70</f>
        <v>NET_INC_PER_EMPL</v>
      </c>
      <c r="AF46" s="15"/>
      <c r="AG46" s="15"/>
      <c r="AH46" s="15" t="e">
        <f ca="1">_xll.BDH(BB_TICKER,$AE46,"-8fy","","Per=fy","Dir=H","Dates=H",BDH_OVERRIDES,BDH_OVERRIDES_DATA,"cols=9;rows=1")</f>
        <v>#NAME?</v>
      </c>
      <c r="AI46" s="15">
        <v>17.173200000000001</v>
      </c>
      <c r="AJ46" s="15">
        <v>18.289200000000001</v>
      </c>
      <c r="AK46" s="15">
        <v>-1.2232000000000001</v>
      </c>
      <c r="AL46" s="15">
        <v>4.7</v>
      </c>
      <c r="AM46" s="15">
        <v>11.3695</v>
      </c>
      <c r="AN46" s="15">
        <v>23.653500000000001</v>
      </c>
      <c r="AO46" s="15">
        <v>26.567900000000002</v>
      </c>
      <c r="AP46" s="15">
        <v>14.3969</v>
      </c>
      <c r="BL46" s="1"/>
      <c r="CQ46" s="25"/>
      <c r="CZ46" s="26"/>
      <c r="DB46">
        <v>29</v>
      </c>
    </row>
    <row r="47" spans="2:111" ht="15" thickBot="1">
      <c r="G47" s="41"/>
      <c r="I47" s="38">
        <v>45699</v>
      </c>
      <c r="J47">
        <v>31.75</v>
      </c>
      <c r="K47" s="26">
        <v>76004</v>
      </c>
      <c r="N47" s="25"/>
      <c r="O47" s="1">
        <v>44398</v>
      </c>
      <c r="P47">
        <v>-8.0985999999999994</v>
      </c>
      <c r="R47" s="1">
        <v>44398</v>
      </c>
      <c r="S47">
        <v>-1.155</v>
      </c>
      <c r="U47" s="1">
        <v>44398</v>
      </c>
      <c r="V47">
        <v>2.4401999999999999</v>
      </c>
      <c r="W47" s="26"/>
      <c r="AD47" s="15" t="str">
        <f>Tearsheet!$J71</f>
        <v>Days Sales Out (DSO)</v>
      </c>
      <c r="AE47" s="15" t="str">
        <f>Tearsheet!$L71</f>
        <v>ACCT_RCV_DAYS</v>
      </c>
      <c r="AF47" s="15"/>
      <c r="AG47" s="15"/>
      <c r="AH47" s="15" t="e">
        <f ca="1">_xll.BDH(BB_TICKER,$AE47,"-8fy","","Per=fy","Dir=H","Dates=H",BDH_OVERRIDES,BDH_OVERRIDES_DATA,"cols=9;rows=1")</f>
        <v>#NAME?</v>
      </c>
      <c r="AI47" s="15">
        <v>73.022499999999994</v>
      </c>
      <c r="AJ47" s="15">
        <v>69.6798</v>
      </c>
      <c r="AK47" s="15">
        <v>82.082599999999999</v>
      </c>
      <c r="AL47" s="15">
        <v>67.963700000000003</v>
      </c>
      <c r="AM47" s="15">
        <v>67.633799999999994</v>
      </c>
      <c r="AN47" s="15">
        <v>69.523799999999994</v>
      </c>
      <c r="AO47" s="15">
        <v>74.926199999999994</v>
      </c>
      <c r="AP47" s="15">
        <v>84.731099999999998</v>
      </c>
      <c r="BL47" s="1"/>
      <c r="CQ47" s="27"/>
      <c r="CR47" s="28"/>
      <c r="CS47" s="28"/>
      <c r="CT47" s="28"/>
      <c r="CU47" s="28"/>
      <c r="CV47" s="28"/>
      <c r="CW47" s="28"/>
      <c r="CX47" s="28"/>
      <c r="CY47" s="28"/>
      <c r="CZ47" s="29"/>
      <c r="DB47">
        <v>30</v>
      </c>
    </row>
    <row r="48" spans="2:111">
      <c r="G48" s="41"/>
      <c r="I48" s="38">
        <v>45700</v>
      </c>
      <c r="J48">
        <v>31.8</v>
      </c>
      <c r="K48" s="26">
        <v>107000</v>
      </c>
      <c r="N48" s="25"/>
      <c r="O48" s="1">
        <v>44399</v>
      </c>
      <c r="P48">
        <v>-8.1690000000000005</v>
      </c>
      <c r="R48" s="1">
        <v>44399</v>
      </c>
      <c r="S48">
        <v>-0.56510000000000005</v>
      </c>
      <c r="U48" s="1">
        <v>44399</v>
      </c>
      <c r="V48">
        <v>3.6951000000000001</v>
      </c>
      <c r="W48" s="26"/>
      <c r="AD48" s="15" t="str">
        <f>Tearsheet!$J72</f>
        <v>Acc Pay Turn Days (DPO)</v>
      </c>
      <c r="AE48" s="15" t="str">
        <f>Tearsheet!$L72</f>
        <v>ACCOUNTS_PAYABLE_TURNOVER_DAYS</v>
      </c>
      <c r="AF48" s="15"/>
      <c r="AG48" s="15"/>
      <c r="AH48" s="15" t="e">
        <f ca="1">_xll.BDH(BB_TICKER,$AE48,"-8fy","","Per=fy","Dir=H","Dates=H",BDH_OVERRIDES,BDH_OVERRIDES_DATA,"cols=9;rows=1")</f>
        <v>#NAME?</v>
      </c>
      <c r="AI48" s="15">
        <v>59.131900000000002</v>
      </c>
      <c r="AJ48" s="15">
        <v>45.677500000000002</v>
      </c>
      <c r="AK48" s="15">
        <v>51.835000000000001</v>
      </c>
      <c r="AL48" s="15">
        <v>48.831000000000003</v>
      </c>
      <c r="AM48" s="15">
        <v>51.495600000000003</v>
      </c>
      <c r="AN48" s="15">
        <v>53.6006</v>
      </c>
      <c r="AO48" s="15">
        <v>54.424199999999999</v>
      </c>
      <c r="AP48" s="15">
        <v>56.250999999999998</v>
      </c>
      <c r="BL48" s="1"/>
      <c r="DB48">
        <v>31</v>
      </c>
    </row>
    <row r="49" spans="7:106">
      <c r="G49" s="41"/>
      <c r="I49" s="38">
        <v>45701</v>
      </c>
      <c r="J49">
        <v>33.450000000000003</v>
      </c>
      <c r="K49" s="26">
        <v>284684</v>
      </c>
      <c r="N49" s="25"/>
      <c r="O49" s="1">
        <v>44400</v>
      </c>
      <c r="P49">
        <v>-5.4225000000000003</v>
      </c>
      <c r="R49" s="1">
        <v>44400</v>
      </c>
      <c r="S49">
        <v>0.42670000000000002</v>
      </c>
      <c r="U49" s="1">
        <v>44400</v>
      </c>
      <c r="V49">
        <v>5.0068999999999999</v>
      </c>
      <c r="W49" s="26"/>
      <c r="AD49" s="15" t="str">
        <f>Tearsheet!$J73</f>
        <v>Current Ratio</v>
      </c>
      <c r="AE49" s="15" t="str">
        <f>Tearsheet!$L73</f>
        <v>CUR_RATIO</v>
      </c>
      <c r="AF49" s="15"/>
      <c r="AG49" s="15"/>
      <c r="AH49" s="15" t="e">
        <f ca="1">_xll.BDH(BB_TICKER,$AE49,"-8fy","","Per=fy","Dir=H","Dates=H",BDH_OVERRIDES,BDH_OVERRIDES_DATA,"cols=9;rows=1")</f>
        <v>#NAME?</v>
      </c>
      <c r="AI49" s="15">
        <v>1.2544999999999999</v>
      </c>
      <c r="AJ49" s="15">
        <v>1.0121</v>
      </c>
      <c r="AK49" s="15">
        <v>0.93149999999999999</v>
      </c>
      <c r="AL49" s="15">
        <v>0.81779999999999997</v>
      </c>
      <c r="AM49" s="15">
        <v>0.84419999999999995</v>
      </c>
      <c r="AN49" s="15">
        <v>0.94330000000000003</v>
      </c>
      <c r="AO49" s="15">
        <v>0.98040000000000005</v>
      </c>
      <c r="AP49" s="15">
        <v>0.94030000000000002</v>
      </c>
      <c r="BL49" s="1"/>
      <c r="DB49">
        <v>32</v>
      </c>
    </row>
    <row r="50" spans="7:106">
      <c r="G50" s="41"/>
      <c r="I50" s="38">
        <v>45702</v>
      </c>
      <c r="J50">
        <v>33.799999999999997</v>
      </c>
      <c r="K50" s="26">
        <v>235941</v>
      </c>
      <c r="N50" s="25"/>
      <c r="O50" s="1">
        <v>44401</v>
      </c>
      <c r="P50">
        <v>-5.4225000000000003</v>
      </c>
      <c r="R50" s="1">
        <v>44401</v>
      </c>
      <c r="S50">
        <v>0.42670000000000002</v>
      </c>
      <c r="U50" s="1">
        <v>44401</v>
      </c>
      <c r="V50">
        <v>5.0068999999999999</v>
      </c>
      <c r="W50" s="26"/>
      <c r="AD50" s="15" t="str">
        <f>Tearsheet!$J74</f>
        <v>Quick Ratio</v>
      </c>
      <c r="AE50" s="15" t="str">
        <f>Tearsheet!$L74</f>
        <v>QUICK_RATIO</v>
      </c>
      <c r="AF50" s="15"/>
      <c r="AG50" s="15"/>
      <c r="AH50" s="15" t="e">
        <f ca="1">_xll.BDH(BB_TICKER,$AE50,"-8fy","","Per=fy","Dir=H","Dates=H",BDH_OVERRIDES,BDH_OVERRIDES_DATA,"cols=9;rows=1")</f>
        <v>#NAME?</v>
      </c>
      <c r="AI50" s="15">
        <v>0.495</v>
      </c>
      <c r="AJ50" s="15">
        <v>0.6472</v>
      </c>
      <c r="AK50" s="15">
        <v>0.59109999999999996</v>
      </c>
      <c r="AL50" s="15">
        <v>0.47089999999999999</v>
      </c>
      <c r="AM50" s="15">
        <v>0.46920000000000001</v>
      </c>
      <c r="AN50" s="15">
        <v>0.54310000000000003</v>
      </c>
      <c r="AO50" s="15">
        <v>0.57620000000000005</v>
      </c>
      <c r="AP50" s="15">
        <v>0.56820000000000004</v>
      </c>
      <c r="BL50" s="1"/>
      <c r="DB50">
        <v>33</v>
      </c>
    </row>
    <row r="51" spans="7:106">
      <c r="G51" s="41"/>
      <c r="I51" s="38">
        <v>45703</v>
      </c>
      <c r="J51">
        <v>33.799999999999997</v>
      </c>
      <c r="K51" s="26">
        <v>235941</v>
      </c>
      <c r="N51" s="25"/>
      <c r="O51" s="1">
        <v>44402</v>
      </c>
      <c r="P51">
        <v>-5.4225000000000003</v>
      </c>
      <c r="R51" s="1">
        <v>44402</v>
      </c>
      <c r="S51">
        <v>0.42670000000000002</v>
      </c>
      <c r="U51" s="1">
        <v>44402</v>
      </c>
      <c r="V51">
        <v>5.0068999999999999</v>
      </c>
      <c r="W51" s="26"/>
      <c r="AD51" s="15" t="str">
        <f>Tearsheet!$J75</f>
        <v>Total Debts/Total Capital</v>
      </c>
      <c r="AE51" s="15" t="str">
        <f>Tearsheet!$L75</f>
        <v>TOT_DEBT_TO_TOT_CAP</v>
      </c>
      <c r="AF51" s="15"/>
      <c r="AG51" s="15"/>
      <c r="AH51" s="15" t="e">
        <f ca="1">_xll.BDH(BB_TICKER,$AE51,"-8fy","","Per=fy","Dir=H","Dates=H",BDH_OVERRIDES,BDH_OVERRIDES_DATA,"cols=9;rows=1")</f>
        <v>#NAME?</v>
      </c>
      <c r="AI51" s="15">
        <v>46.780099999999997</v>
      </c>
      <c r="AJ51" s="15">
        <v>55.930399999999999</v>
      </c>
      <c r="AK51" s="15">
        <v>55.129600000000003</v>
      </c>
      <c r="AL51" s="15">
        <v>62.779200000000003</v>
      </c>
      <c r="AM51" s="15">
        <v>64.305899999999994</v>
      </c>
      <c r="AN51" s="15">
        <v>61.185499999999998</v>
      </c>
      <c r="AO51" s="15">
        <v>61.387099999999997</v>
      </c>
      <c r="AP51" s="15">
        <v>60.718699999999998</v>
      </c>
      <c r="BL51" s="1"/>
      <c r="DB51">
        <v>34</v>
      </c>
    </row>
    <row r="52" spans="7:106">
      <c r="G52" s="41"/>
      <c r="I52" s="38">
        <v>45704</v>
      </c>
      <c r="J52">
        <v>33.799999999999997</v>
      </c>
      <c r="K52" s="26">
        <v>235941</v>
      </c>
      <c r="N52" s="25"/>
      <c r="O52" s="1">
        <v>44403</v>
      </c>
      <c r="P52">
        <v>-4.5069999999999997</v>
      </c>
      <c r="R52" s="1">
        <v>44403</v>
      </c>
      <c r="S52">
        <v>0.1043</v>
      </c>
      <c r="U52" s="1">
        <v>44403</v>
      </c>
      <c r="V52">
        <v>5.4633000000000003</v>
      </c>
      <c r="W52" s="26"/>
      <c r="AD52" s="15" t="str">
        <f>Tearsheet!$J76</f>
        <v>Total Debt/Total Equity</v>
      </c>
      <c r="AE52" s="15" t="str">
        <f>Tearsheet!$L76</f>
        <v>TOT_DEBT_TO_TOT_EQY</v>
      </c>
      <c r="AF52" s="15"/>
      <c r="AG52" s="15"/>
      <c r="AH52" s="15" t="e">
        <f ca="1">_xll.BDH(BB_TICKER,$AE52,"-8fy","","Per=fy","Dir=H","Dates=H",BDH_OVERRIDES,BDH_OVERRIDES_DATA,"cols=9;rows=1")</f>
        <v>#NAME?</v>
      </c>
      <c r="AI52" s="15">
        <v>87.899500000000003</v>
      </c>
      <c r="AJ52" s="15">
        <v>126.91379999999999</v>
      </c>
      <c r="AK52" s="15">
        <v>122.8643</v>
      </c>
      <c r="AL52" s="15">
        <v>168.66730000000001</v>
      </c>
      <c r="AM52" s="15">
        <v>180.15860000000001</v>
      </c>
      <c r="AN52" s="15">
        <v>157.63589999999999</v>
      </c>
      <c r="AO52" s="15">
        <v>158.9811</v>
      </c>
      <c r="AP52" s="15">
        <v>154.57419999999999</v>
      </c>
      <c r="BL52" s="1"/>
      <c r="DB52">
        <v>35</v>
      </c>
    </row>
    <row r="53" spans="7:106">
      <c r="G53" s="41"/>
      <c r="I53" s="38">
        <v>45705</v>
      </c>
      <c r="J53">
        <v>34.75</v>
      </c>
      <c r="K53" s="26">
        <v>322353</v>
      </c>
      <c r="N53" s="25"/>
      <c r="O53" s="1">
        <v>44404</v>
      </c>
      <c r="P53">
        <v>-4.8592000000000004</v>
      </c>
      <c r="R53" s="1">
        <v>44404</v>
      </c>
      <c r="S53">
        <v>-0.53569999999999995</v>
      </c>
      <c r="U53" s="1">
        <v>44404</v>
      </c>
      <c r="V53">
        <v>5.1020000000000003</v>
      </c>
      <c r="W53" s="26"/>
      <c r="BL53" s="1"/>
      <c r="DB53">
        <v>36</v>
      </c>
    </row>
    <row r="54" spans="7:106">
      <c r="G54" s="41"/>
      <c r="I54" s="38">
        <v>45706</v>
      </c>
      <c r="J54">
        <v>35.75</v>
      </c>
      <c r="K54" s="26">
        <v>347308</v>
      </c>
      <c r="N54" s="25"/>
      <c r="O54" s="1">
        <v>44405</v>
      </c>
      <c r="P54">
        <v>-7.7465000000000002</v>
      </c>
      <c r="R54" s="1">
        <v>44405</v>
      </c>
      <c r="S54">
        <v>-0.20730000000000001</v>
      </c>
      <c r="U54" s="1">
        <v>44405</v>
      </c>
      <c r="V54">
        <v>4.1323999999999996</v>
      </c>
      <c r="W54" s="26"/>
      <c r="BL54" s="1"/>
      <c r="DB54">
        <v>37</v>
      </c>
    </row>
    <row r="55" spans="7:106">
      <c r="G55" s="41"/>
      <c r="I55" s="38">
        <v>45707</v>
      </c>
      <c r="J55">
        <v>34.450000000000003</v>
      </c>
      <c r="K55" s="26">
        <v>259959</v>
      </c>
      <c r="N55" s="25"/>
      <c r="O55" s="1">
        <v>44406</v>
      </c>
      <c r="P55">
        <v>-5.3521000000000001</v>
      </c>
      <c r="R55" s="1">
        <v>44406</v>
      </c>
      <c r="S55">
        <v>0.24199999999999999</v>
      </c>
      <c r="U55" s="1">
        <v>44406</v>
      </c>
      <c r="V55">
        <v>4.7027000000000001</v>
      </c>
      <c r="W55" s="26"/>
      <c r="BL55" s="1"/>
      <c r="DB55">
        <v>38</v>
      </c>
    </row>
    <row r="56" spans="7:106">
      <c r="G56" s="41"/>
      <c r="I56" s="38">
        <v>45708</v>
      </c>
      <c r="J56">
        <v>34.450000000000003</v>
      </c>
      <c r="K56" s="26">
        <v>166042</v>
      </c>
      <c r="N56" s="25"/>
      <c r="O56" s="1">
        <v>44407</v>
      </c>
      <c r="P56">
        <v>-6.8310000000000004</v>
      </c>
      <c r="R56" s="1">
        <v>44407</v>
      </c>
      <c r="S56">
        <v>-0.37380000000000002</v>
      </c>
      <c r="U56" s="1">
        <v>44407</v>
      </c>
      <c r="V56">
        <v>5.2731000000000003</v>
      </c>
      <c r="W56" s="26"/>
      <c r="BL56" s="1"/>
      <c r="DB56">
        <v>39</v>
      </c>
    </row>
    <row r="57" spans="7:106">
      <c r="G57" s="41"/>
      <c r="I57" s="38">
        <v>45709</v>
      </c>
      <c r="J57">
        <v>34.5</v>
      </c>
      <c r="K57" s="26">
        <v>71516</v>
      </c>
      <c r="N57" s="25"/>
      <c r="O57" s="1">
        <v>44408</v>
      </c>
      <c r="P57">
        <v>-6.8310000000000004</v>
      </c>
      <c r="R57" s="1">
        <v>44408</v>
      </c>
      <c r="S57">
        <v>-0.37380000000000002</v>
      </c>
      <c r="U57" s="1">
        <v>44408</v>
      </c>
      <c r="V57">
        <v>5.2731000000000003</v>
      </c>
      <c r="W57" s="26"/>
      <c r="BL57" s="1"/>
      <c r="DB57">
        <v>40</v>
      </c>
    </row>
    <row r="58" spans="7:106">
      <c r="G58" s="41"/>
      <c r="I58" s="38">
        <v>45710</v>
      </c>
      <c r="J58">
        <v>34.5</v>
      </c>
      <c r="K58" s="26">
        <v>71516</v>
      </c>
      <c r="N58" s="25"/>
      <c r="O58" s="1">
        <v>44409</v>
      </c>
      <c r="P58">
        <v>-6.8310000000000004</v>
      </c>
      <c r="R58" s="1">
        <v>44409</v>
      </c>
      <c r="S58">
        <v>-0.37380000000000002</v>
      </c>
      <c r="U58" s="1">
        <v>44409</v>
      </c>
      <c r="V58">
        <v>5.2731000000000003</v>
      </c>
      <c r="W58" s="26"/>
      <c r="BL58" s="1"/>
      <c r="DB58">
        <v>41</v>
      </c>
    </row>
    <row r="59" spans="7:106">
      <c r="G59" s="41"/>
      <c r="I59" s="38">
        <v>45711</v>
      </c>
      <c r="J59">
        <v>34.5</v>
      </c>
      <c r="K59" s="26">
        <v>71516</v>
      </c>
      <c r="N59" s="25"/>
      <c r="O59" s="1">
        <v>44410</v>
      </c>
      <c r="P59">
        <v>-5.5633999999999997</v>
      </c>
      <c r="R59" s="1">
        <v>44410</v>
      </c>
      <c r="S59">
        <v>-0.21779999999999999</v>
      </c>
      <c r="U59" s="1">
        <v>44410</v>
      </c>
      <c r="V59">
        <v>5.4252000000000002</v>
      </c>
      <c r="W59" s="26"/>
      <c r="BL59" s="1"/>
      <c r="DB59">
        <v>42</v>
      </c>
    </row>
    <row r="60" spans="7:106">
      <c r="G60" s="41"/>
      <c r="I60" s="38">
        <v>45712</v>
      </c>
      <c r="J60">
        <v>34.65</v>
      </c>
      <c r="K60" s="26">
        <v>142389</v>
      </c>
      <c r="N60" s="25"/>
      <c r="O60" s="1">
        <v>44411</v>
      </c>
      <c r="P60">
        <v>-5.7042000000000002</v>
      </c>
      <c r="R60" s="1">
        <v>44411</v>
      </c>
      <c r="S60">
        <v>-0.30530000000000002</v>
      </c>
      <c r="U60" s="1">
        <v>44411</v>
      </c>
      <c r="V60">
        <v>6.9462000000000002</v>
      </c>
      <c r="W60" s="26"/>
      <c r="BL60" s="1"/>
      <c r="DB60">
        <v>43</v>
      </c>
    </row>
    <row r="61" spans="7:106">
      <c r="G61" s="41"/>
      <c r="I61" s="38">
        <v>45713</v>
      </c>
      <c r="J61">
        <v>36</v>
      </c>
      <c r="K61" s="26">
        <v>237425</v>
      </c>
      <c r="N61" s="25"/>
      <c r="O61" s="1">
        <v>44412</v>
      </c>
      <c r="P61">
        <v>-5</v>
      </c>
      <c r="R61" s="1">
        <v>44412</v>
      </c>
      <c r="S61">
        <v>0.57310000000000005</v>
      </c>
      <c r="U61" s="1">
        <v>44412</v>
      </c>
      <c r="V61">
        <v>5.8815</v>
      </c>
      <c r="W61" s="26"/>
      <c r="BL61" s="1"/>
      <c r="DB61">
        <v>44</v>
      </c>
    </row>
    <row r="62" spans="7:106">
      <c r="G62" s="41"/>
      <c r="I62" s="38">
        <v>45714</v>
      </c>
      <c r="J62">
        <v>36.85</v>
      </c>
      <c r="K62" s="26">
        <v>420944</v>
      </c>
      <c r="N62" s="25"/>
      <c r="O62" s="1">
        <v>44413</v>
      </c>
      <c r="P62">
        <v>-5.2816999999999998</v>
      </c>
      <c r="R62" s="1">
        <v>44413</v>
      </c>
      <c r="S62">
        <v>0.90980000000000005</v>
      </c>
      <c r="U62" s="1">
        <v>44413</v>
      </c>
      <c r="V62">
        <v>6.0145999999999997</v>
      </c>
      <c r="W62" s="26"/>
      <c r="BL62" s="1"/>
      <c r="DB62">
        <v>45</v>
      </c>
    </row>
    <row r="63" spans="7:106">
      <c r="G63" s="41"/>
      <c r="I63" s="38">
        <v>45715</v>
      </c>
      <c r="J63">
        <v>36.049999999999997</v>
      </c>
      <c r="K63" s="26">
        <v>215037</v>
      </c>
      <c r="N63" s="25"/>
      <c r="O63" s="1">
        <v>44414</v>
      </c>
      <c r="P63">
        <v>-4.3662000000000001</v>
      </c>
      <c r="R63" s="1">
        <v>44414</v>
      </c>
      <c r="S63">
        <v>1.0174000000000001</v>
      </c>
      <c r="U63" s="1">
        <v>44414</v>
      </c>
      <c r="V63">
        <v>5.6913999999999998</v>
      </c>
      <c r="W63" s="26"/>
      <c r="BL63" s="1"/>
      <c r="DB63">
        <v>46</v>
      </c>
    </row>
    <row r="64" spans="7:106">
      <c r="G64" s="41"/>
      <c r="I64" s="38">
        <v>45716</v>
      </c>
      <c r="J64">
        <v>36.299999999999997</v>
      </c>
      <c r="K64" s="26">
        <v>177406</v>
      </c>
      <c r="N64" s="25"/>
      <c r="O64" s="1">
        <v>44415</v>
      </c>
      <c r="P64">
        <v>-4.3662000000000001</v>
      </c>
      <c r="R64" s="1">
        <v>44415</v>
      </c>
      <c r="S64">
        <v>1.0174000000000001</v>
      </c>
      <c r="U64" s="1">
        <v>44415</v>
      </c>
      <c r="V64">
        <v>5.6913999999999998</v>
      </c>
      <c r="W64" s="26"/>
      <c r="BL64" s="1"/>
      <c r="DB64">
        <v>47</v>
      </c>
    </row>
    <row r="65" spans="7:106">
      <c r="G65" s="41"/>
      <c r="I65" s="38">
        <v>45717</v>
      </c>
      <c r="J65">
        <v>36.299999999999997</v>
      </c>
      <c r="K65" s="26">
        <v>177406</v>
      </c>
      <c r="N65" s="25"/>
      <c r="O65" s="1">
        <v>44416</v>
      </c>
      <c r="P65">
        <v>-4.3662000000000001</v>
      </c>
      <c r="R65" s="1">
        <v>44416</v>
      </c>
      <c r="S65">
        <v>1.0174000000000001</v>
      </c>
      <c r="U65" s="1">
        <v>44416</v>
      </c>
      <c r="V65">
        <v>5.6913999999999998</v>
      </c>
      <c r="W65" s="26"/>
      <c r="BL65" s="1"/>
      <c r="DB65">
        <v>48</v>
      </c>
    </row>
    <row r="66" spans="7:106">
      <c r="G66" s="41"/>
      <c r="I66" s="38">
        <v>45718</v>
      </c>
      <c r="J66">
        <v>36.299999999999997</v>
      </c>
      <c r="K66" s="26">
        <v>177406</v>
      </c>
      <c r="N66" s="25"/>
      <c r="O66" s="1">
        <v>44417</v>
      </c>
      <c r="P66">
        <v>-6.6196999999999999</v>
      </c>
      <c r="R66" s="1">
        <v>44417</v>
      </c>
      <c r="S66">
        <v>0.91459999999999997</v>
      </c>
      <c r="U66" s="1">
        <v>44417</v>
      </c>
      <c r="V66">
        <v>5.4633000000000003</v>
      </c>
      <c r="W66" s="26"/>
      <c r="BL66" s="1"/>
      <c r="DB66">
        <v>49</v>
      </c>
    </row>
    <row r="67" spans="7:106">
      <c r="G67" s="41"/>
      <c r="I67" s="38">
        <v>45719</v>
      </c>
      <c r="J67">
        <v>37.049999999999997</v>
      </c>
      <c r="K67" s="26">
        <v>277777</v>
      </c>
      <c r="N67" s="25"/>
      <c r="O67" s="1">
        <v>44418</v>
      </c>
      <c r="P67">
        <v>-6.1268000000000002</v>
      </c>
      <c r="R67" s="1">
        <v>44418</v>
      </c>
      <c r="S67">
        <v>1.0767</v>
      </c>
      <c r="U67" s="1">
        <v>44418</v>
      </c>
      <c r="V67">
        <v>5.7294</v>
      </c>
      <c r="W67" s="26"/>
      <c r="BL67" s="1"/>
      <c r="DB67">
        <v>50</v>
      </c>
    </row>
    <row r="68" spans="7:106">
      <c r="G68" s="41"/>
      <c r="I68" s="38">
        <v>45720</v>
      </c>
      <c r="J68">
        <v>35.15</v>
      </c>
      <c r="K68" s="26">
        <v>234973</v>
      </c>
      <c r="N68" s="25"/>
      <c r="O68" s="1">
        <v>44419</v>
      </c>
      <c r="P68">
        <v>-4.6478999999999999</v>
      </c>
      <c r="R68" s="1">
        <v>44419</v>
      </c>
      <c r="S68">
        <v>1.4317</v>
      </c>
      <c r="U68" s="1">
        <v>44419</v>
      </c>
      <c r="V68">
        <v>6.2046999999999999</v>
      </c>
      <c r="W68" s="26"/>
      <c r="BL68" s="1"/>
      <c r="DB68">
        <v>51</v>
      </c>
    </row>
    <row r="69" spans="7:106">
      <c r="G69" s="41"/>
      <c r="I69" s="38">
        <v>45721</v>
      </c>
      <c r="J69">
        <v>36.9</v>
      </c>
      <c r="K69" s="26">
        <v>693813</v>
      </c>
      <c r="N69" s="25"/>
      <c r="O69" s="1">
        <v>44420</v>
      </c>
      <c r="P69">
        <v>-4.4366000000000003</v>
      </c>
      <c r="R69" s="1">
        <v>44420</v>
      </c>
      <c r="S69">
        <v>2.1457999999999999</v>
      </c>
      <c r="U69" s="1">
        <v>44420</v>
      </c>
      <c r="V69">
        <v>7.2123999999999997</v>
      </c>
      <c r="W69" s="26"/>
      <c r="BL69" s="1"/>
      <c r="DB69">
        <v>52</v>
      </c>
    </row>
    <row r="70" spans="7:106">
      <c r="G70" s="41"/>
      <c r="I70" s="38">
        <v>45722</v>
      </c>
      <c r="J70">
        <v>38.299999999999997</v>
      </c>
      <c r="K70" s="26">
        <v>583329</v>
      </c>
      <c r="N70" s="25"/>
      <c r="O70" s="1">
        <v>44421</v>
      </c>
      <c r="P70">
        <v>-5.2816999999999998</v>
      </c>
      <c r="R70" s="1">
        <v>44421</v>
      </c>
      <c r="S70">
        <v>2.4016999999999999</v>
      </c>
      <c r="U70" s="1">
        <v>44421</v>
      </c>
      <c r="V70">
        <v>7.3644999999999996</v>
      </c>
      <c r="W70" s="26"/>
      <c r="BL70" s="1"/>
      <c r="DB70">
        <v>53</v>
      </c>
    </row>
    <row r="71" spans="7:106">
      <c r="G71" s="41"/>
      <c r="I71" s="38">
        <v>45723</v>
      </c>
      <c r="J71">
        <v>38.200000000000003</v>
      </c>
      <c r="K71" s="26">
        <v>330679</v>
      </c>
      <c r="N71" s="25"/>
      <c r="O71" s="1">
        <v>44422</v>
      </c>
      <c r="P71">
        <v>-5.2816999999999998</v>
      </c>
      <c r="R71" s="1">
        <v>44422</v>
      </c>
      <c r="S71">
        <v>2.4016999999999999</v>
      </c>
      <c r="U71" s="1">
        <v>44422</v>
      </c>
      <c r="V71">
        <v>7.3644999999999996</v>
      </c>
      <c r="W71" s="26"/>
      <c r="BL71" s="1"/>
      <c r="DB71">
        <v>54</v>
      </c>
    </row>
    <row r="72" spans="7:106">
      <c r="G72" s="41"/>
      <c r="I72" s="38">
        <v>45724</v>
      </c>
      <c r="J72">
        <v>38.200000000000003</v>
      </c>
      <c r="K72" s="26">
        <v>330679</v>
      </c>
      <c r="N72" s="25"/>
      <c r="O72" s="1">
        <v>44423</v>
      </c>
      <c r="P72">
        <v>-5.2816999999999998</v>
      </c>
      <c r="R72" s="1">
        <v>44423</v>
      </c>
      <c r="S72">
        <v>2.4016999999999999</v>
      </c>
      <c r="U72" s="1">
        <v>44423</v>
      </c>
      <c r="V72">
        <v>7.3644999999999996</v>
      </c>
      <c r="W72" s="26"/>
      <c r="BL72" s="1"/>
      <c r="DB72">
        <v>55</v>
      </c>
    </row>
    <row r="73" spans="7:106">
      <c r="G73" s="41"/>
      <c r="I73" s="38">
        <v>45725</v>
      </c>
      <c r="J73">
        <v>38.200000000000003</v>
      </c>
      <c r="K73" s="26">
        <v>330679</v>
      </c>
      <c r="N73" s="25"/>
      <c r="O73" s="1">
        <v>44424</v>
      </c>
      <c r="P73">
        <v>-6.7606000000000002</v>
      </c>
      <c r="R73" s="1">
        <v>44424</v>
      </c>
      <c r="S73">
        <v>2.0703</v>
      </c>
      <c r="U73" s="1">
        <v>44424</v>
      </c>
      <c r="V73">
        <v>7.0033000000000003</v>
      </c>
      <c r="W73" s="26"/>
      <c r="BL73" s="1"/>
      <c r="DB73">
        <v>56</v>
      </c>
    </row>
    <row r="74" spans="7:106">
      <c r="G74" s="41"/>
      <c r="I74" s="38">
        <v>45726</v>
      </c>
      <c r="J74">
        <v>37.1</v>
      </c>
      <c r="K74" s="26">
        <v>482546</v>
      </c>
      <c r="N74" s="25"/>
      <c r="O74" s="1">
        <v>44425</v>
      </c>
      <c r="P74">
        <v>-8.0985999999999994</v>
      </c>
      <c r="R74" s="1">
        <v>44425</v>
      </c>
      <c r="S74">
        <v>2.0461</v>
      </c>
      <c r="U74" s="1">
        <v>44425</v>
      </c>
      <c r="V74">
        <v>6.4898999999999996</v>
      </c>
      <c r="W74" s="26"/>
      <c r="BL74" s="1"/>
      <c r="DB74">
        <v>57</v>
      </c>
    </row>
    <row r="75" spans="7:106">
      <c r="G75" s="41"/>
      <c r="I75" s="38">
        <v>45727</v>
      </c>
      <c r="J75">
        <v>34.1</v>
      </c>
      <c r="K75" s="26">
        <v>609796</v>
      </c>
      <c r="N75" s="25"/>
      <c r="O75" s="1">
        <v>44426</v>
      </c>
      <c r="P75">
        <v>-9.4366000000000003</v>
      </c>
      <c r="R75" s="1">
        <v>44426</v>
      </c>
      <c r="S75">
        <v>2.3281999999999998</v>
      </c>
      <c r="U75" s="1">
        <v>44426</v>
      </c>
      <c r="V75">
        <v>4.8548</v>
      </c>
      <c r="W75" s="26"/>
      <c r="BL75" s="1"/>
      <c r="DB75">
        <v>58</v>
      </c>
    </row>
    <row r="76" spans="7:106">
      <c r="G76" s="41"/>
      <c r="I76" s="38">
        <v>45728</v>
      </c>
      <c r="J76">
        <v>34.4</v>
      </c>
      <c r="K76" s="26">
        <v>425674</v>
      </c>
      <c r="N76" s="25"/>
      <c r="O76" s="1">
        <v>44427</v>
      </c>
      <c r="P76">
        <v>-13.098599999999999</v>
      </c>
      <c r="R76" s="1">
        <v>44427</v>
      </c>
      <c r="S76">
        <v>1.0452999999999999</v>
      </c>
      <c r="U76" s="1">
        <v>44427</v>
      </c>
      <c r="V76">
        <v>8.8855000000000004</v>
      </c>
      <c r="W76" s="26"/>
      <c r="BL76" s="1"/>
      <c r="DB76">
        <v>59</v>
      </c>
    </row>
    <row r="77" spans="7:106">
      <c r="G77" s="41"/>
      <c r="I77" s="38">
        <v>45729</v>
      </c>
      <c r="J77">
        <v>33.5</v>
      </c>
      <c r="K77" s="26">
        <v>555486</v>
      </c>
      <c r="N77" s="25"/>
      <c r="O77" s="1">
        <v>44428</v>
      </c>
      <c r="P77">
        <v>-13.098599999999999</v>
      </c>
      <c r="R77" s="1">
        <v>44428</v>
      </c>
      <c r="S77">
        <v>1.3160000000000001</v>
      </c>
      <c r="U77" s="1">
        <v>44428</v>
      </c>
      <c r="V77">
        <v>10.691700000000001</v>
      </c>
      <c r="W77" s="26"/>
      <c r="AU77" t="s">
        <v>165</v>
      </c>
      <c r="AV77" t="s">
        <v>166</v>
      </c>
      <c r="BL77" s="1"/>
      <c r="DB77">
        <v>60</v>
      </c>
    </row>
    <row r="78" spans="7:106">
      <c r="G78" s="41"/>
      <c r="I78" s="38">
        <v>45730</v>
      </c>
      <c r="J78">
        <v>34.75</v>
      </c>
      <c r="K78" s="26">
        <v>302183</v>
      </c>
      <c r="N78" s="25"/>
      <c r="O78" s="1">
        <v>44429</v>
      </c>
      <c r="P78">
        <v>-13.098599999999999</v>
      </c>
      <c r="R78" s="1">
        <v>44429</v>
      </c>
      <c r="S78">
        <v>1.3160000000000001</v>
      </c>
      <c r="U78" s="1">
        <v>44429</v>
      </c>
      <c r="V78">
        <v>10.691700000000001</v>
      </c>
      <c r="W78" s="26"/>
      <c r="AU78" t="s">
        <v>167</v>
      </c>
      <c r="AV78" t="str">
        <f>AV81&amp;$AV$77&amp;"Y"</f>
        <v>1FY</v>
      </c>
      <c r="AW78" t="str">
        <f>AW81&amp;$AV$77&amp;"Y"</f>
        <v>2FY</v>
      </c>
      <c r="AX78" t="str">
        <f>AX81&amp;$AV$77&amp;"Y"</f>
        <v>3FY</v>
      </c>
      <c r="AY78" t="str">
        <f>AY81&amp;$AV$77&amp;"Y"</f>
        <v>4FY</v>
      </c>
      <c r="BL78" s="1"/>
      <c r="DB78">
        <v>61</v>
      </c>
    </row>
    <row r="79" spans="7:106">
      <c r="G79" s="41"/>
      <c r="I79" s="38">
        <v>45731</v>
      </c>
      <c r="J79">
        <v>34.75</v>
      </c>
      <c r="K79" s="26">
        <v>302183</v>
      </c>
      <c r="N79" s="25"/>
      <c r="O79" s="1">
        <v>44430</v>
      </c>
      <c r="P79">
        <v>-13.098599999999999</v>
      </c>
      <c r="R79" s="1">
        <v>44430</v>
      </c>
      <c r="S79">
        <v>1.3160000000000001</v>
      </c>
      <c r="U79" s="1">
        <v>44430</v>
      </c>
      <c r="V79">
        <v>10.691700000000001</v>
      </c>
      <c r="W79" s="26"/>
      <c r="AU79" t="s">
        <v>168</v>
      </c>
      <c r="AV79" t="str">
        <f t="shared" ref="AV79:BC79" si="5">AV81&amp;$AV$77&amp;"S"</f>
        <v>1FS</v>
      </c>
      <c r="AW79" t="str">
        <f>AW81&amp;$AV$77&amp;"S"</f>
        <v>2FS</v>
      </c>
      <c r="AX79" t="str">
        <f t="shared" si="5"/>
        <v>3FS</v>
      </c>
      <c r="AY79" t="str">
        <f t="shared" si="5"/>
        <v>4FS</v>
      </c>
      <c r="AZ79" t="str">
        <f t="shared" si="5"/>
        <v>5FS</v>
      </c>
      <c r="BA79" t="str">
        <f t="shared" si="5"/>
        <v>6FS</v>
      </c>
      <c r="BB79" t="str">
        <f t="shared" si="5"/>
        <v>7FS</v>
      </c>
      <c r="BC79" t="str">
        <f t="shared" si="5"/>
        <v>8FS</v>
      </c>
      <c r="BL79" s="1"/>
      <c r="DB79">
        <v>62</v>
      </c>
    </row>
    <row r="80" spans="7:106">
      <c r="G80" s="41"/>
      <c r="I80" s="38">
        <v>45732</v>
      </c>
      <c r="J80">
        <v>34.75</v>
      </c>
      <c r="K80" s="26">
        <v>302183</v>
      </c>
      <c r="N80" s="25"/>
      <c r="O80" s="1">
        <v>44431</v>
      </c>
      <c r="P80">
        <v>-12.8169</v>
      </c>
      <c r="R80" s="1">
        <v>44431</v>
      </c>
      <c r="S80">
        <v>1.6028</v>
      </c>
      <c r="U80" s="1">
        <v>44431</v>
      </c>
      <c r="V80">
        <v>11.3001</v>
      </c>
      <c r="W80" s="26"/>
      <c r="AU80" t="s">
        <v>144</v>
      </c>
      <c r="AV80" t="str">
        <f t="shared" ref="AV80:BK80" si="6">AV81&amp;$AV$77&amp;"Q"</f>
        <v>1FQ</v>
      </c>
      <c r="AW80" t="str">
        <f t="shared" si="6"/>
        <v>2FQ</v>
      </c>
      <c r="AX80" t="str">
        <f t="shared" si="6"/>
        <v>3FQ</v>
      </c>
      <c r="AY80" t="str">
        <f t="shared" si="6"/>
        <v>4FQ</v>
      </c>
      <c r="AZ80" t="str">
        <f t="shared" si="6"/>
        <v>5FQ</v>
      </c>
      <c r="BA80" t="str">
        <f t="shared" si="6"/>
        <v>6FQ</v>
      </c>
      <c r="BB80" t="str">
        <f t="shared" si="6"/>
        <v>7FQ</v>
      </c>
      <c r="BC80" t="str">
        <f t="shared" si="6"/>
        <v>8FQ</v>
      </c>
      <c r="BD80" t="str">
        <f t="shared" si="6"/>
        <v>9FQ</v>
      </c>
      <c r="BE80" t="str">
        <f t="shared" si="6"/>
        <v>10FQ</v>
      </c>
      <c r="BF80" t="str">
        <f t="shared" si="6"/>
        <v>11FQ</v>
      </c>
      <c r="BG80" t="str">
        <f t="shared" si="6"/>
        <v>12FQ</v>
      </c>
      <c r="BH80" t="str">
        <f t="shared" si="6"/>
        <v>13FQ</v>
      </c>
      <c r="BI80" t="str">
        <f t="shared" si="6"/>
        <v>14FQ</v>
      </c>
      <c r="BJ80" t="str">
        <f t="shared" si="6"/>
        <v>15FQ</v>
      </c>
      <c r="BK80" t="str">
        <f t="shared" si="6"/>
        <v>16FQ</v>
      </c>
      <c r="BL80" s="1"/>
      <c r="DB80">
        <v>63</v>
      </c>
    </row>
    <row r="81" spans="7:106">
      <c r="G81" s="41"/>
      <c r="I81" s="38">
        <v>45733</v>
      </c>
      <c r="J81">
        <v>34.75</v>
      </c>
      <c r="K81" s="26">
        <v>157256</v>
      </c>
      <c r="N81" s="25"/>
      <c r="O81" s="1">
        <v>44432</v>
      </c>
      <c r="P81">
        <v>-11.690099999999999</v>
      </c>
      <c r="R81" s="1">
        <v>44432</v>
      </c>
      <c r="S81">
        <v>1.9429000000000001</v>
      </c>
      <c r="U81" s="1">
        <v>44432</v>
      </c>
      <c r="V81">
        <v>12.783099999999999</v>
      </c>
      <c r="W81" s="26"/>
      <c r="AU81" t="s">
        <v>169</v>
      </c>
      <c r="AV81">
        <v>1</v>
      </c>
      <c r="AW81">
        <v>2</v>
      </c>
      <c r="AX81">
        <v>3</v>
      </c>
      <c r="AY81">
        <v>4</v>
      </c>
      <c r="AZ81">
        <v>5</v>
      </c>
      <c r="BA81">
        <v>6</v>
      </c>
      <c r="BB81">
        <v>7</v>
      </c>
      <c r="BC81">
        <v>8</v>
      </c>
      <c r="BD81">
        <v>9</v>
      </c>
      <c r="BE81">
        <v>10</v>
      </c>
      <c r="BF81">
        <v>11</v>
      </c>
      <c r="BG81">
        <v>12</v>
      </c>
      <c r="BH81">
        <v>13</v>
      </c>
      <c r="BI81">
        <v>14</v>
      </c>
      <c r="BJ81">
        <v>15</v>
      </c>
      <c r="BK81">
        <v>16</v>
      </c>
      <c r="BL81" s="1"/>
      <c r="DB81">
        <v>64</v>
      </c>
    </row>
    <row r="82" spans="7:106">
      <c r="G82" s="41"/>
      <c r="I82" s="38">
        <v>45734</v>
      </c>
      <c r="J82">
        <v>35.6</v>
      </c>
      <c r="K82" s="26">
        <v>181927</v>
      </c>
      <c r="N82" s="25"/>
      <c r="O82" s="1">
        <v>44433</v>
      </c>
      <c r="P82">
        <v>-11.549300000000001</v>
      </c>
      <c r="R82" s="1">
        <v>44433</v>
      </c>
      <c r="S82">
        <v>1.6532</v>
      </c>
      <c r="U82" s="1">
        <v>44433</v>
      </c>
      <c r="V82">
        <v>12.840199999999999</v>
      </c>
      <c r="W82" s="26"/>
      <c r="AU82" t="s">
        <v>170</v>
      </c>
      <c r="AV82" t="e">
        <f ca="1">AW82-1</f>
        <v>#NAME?</v>
      </c>
      <c r="AW82" t="e">
        <f ca="1">AX82-1</f>
        <v>#NAME?</v>
      </c>
      <c r="AX82" t="e">
        <f ca="1">AY82-1</f>
        <v>#NAME?</v>
      </c>
      <c r="AY82" t="e">
        <f ca="1">AZ82-1</f>
        <v>#NAME?</v>
      </c>
      <c r="AZ82" t="e">
        <f ca="1">BA82-1</f>
        <v>#NAME?</v>
      </c>
      <c r="BA82" t="e">
        <f ca="1">YEAR(_xll.BTODAY(TRUE))</f>
        <v>#NAME?</v>
      </c>
      <c r="BB82" t="e">
        <f ca="1">BA82+1</f>
        <v>#NAME?</v>
      </c>
      <c r="BC82" t="e">
        <f ca="1">BB82+1</f>
        <v>#NAME?</v>
      </c>
      <c r="BD82" t="e">
        <f ca="1">BC82+1</f>
        <v>#NAME?</v>
      </c>
      <c r="BL82" s="1"/>
      <c r="DB82">
        <v>65</v>
      </c>
    </row>
    <row r="83" spans="7:106">
      <c r="G83" s="41"/>
      <c r="I83" s="38">
        <v>45735</v>
      </c>
      <c r="J83">
        <v>33.4</v>
      </c>
      <c r="K83" s="26">
        <v>1189207</v>
      </c>
      <c r="N83" s="25"/>
      <c r="O83" s="1">
        <v>44434</v>
      </c>
      <c r="P83">
        <v>-9.8591999999999995</v>
      </c>
      <c r="R83" s="1">
        <v>44434</v>
      </c>
      <c r="S83">
        <v>1.2236</v>
      </c>
      <c r="U83" s="1">
        <v>44434</v>
      </c>
      <c r="V83">
        <v>12.555</v>
      </c>
      <c r="W83" s="26"/>
      <c r="BL83" s="1"/>
      <c r="DB83">
        <v>66</v>
      </c>
    </row>
    <row r="84" spans="7:106">
      <c r="G84" s="41"/>
      <c r="I84" s="38">
        <v>45736</v>
      </c>
      <c r="J84">
        <v>32.65</v>
      </c>
      <c r="K84" s="26">
        <v>796916</v>
      </c>
      <c r="N84" s="25"/>
      <c r="O84" s="1">
        <v>44435</v>
      </c>
      <c r="P84">
        <v>-9.7182999999999993</v>
      </c>
      <c r="R84" s="1">
        <v>44435</v>
      </c>
      <c r="S84">
        <v>1.5961000000000001</v>
      </c>
      <c r="U84" s="1">
        <v>44435</v>
      </c>
      <c r="V84">
        <v>12.2127</v>
      </c>
      <c r="W84" s="26"/>
      <c r="BL84" s="1"/>
      <c r="DB84">
        <v>67</v>
      </c>
    </row>
    <row r="85" spans="7:106">
      <c r="G85" s="41"/>
      <c r="I85" s="38">
        <v>45737</v>
      </c>
      <c r="J85">
        <v>32.1</v>
      </c>
      <c r="K85" s="26">
        <v>799720</v>
      </c>
      <c r="N85" s="25"/>
      <c r="O85" s="1">
        <v>44436</v>
      </c>
      <c r="P85">
        <v>-9.7182999999999993</v>
      </c>
      <c r="R85" s="1">
        <v>44436</v>
      </c>
      <c r="S85">
        <v>1.5961000000000001</v>
      </c>
      <c r="U85" s="1">
        <v>44436</v>
      </c>
      <c r="V85">
        <v>12.2127</v>
      </c>
      <c r="W85" s="26"/>
      <c r="BL85" s="1"/>
      <c r="DB85">
        <v>68</v>
      </c>
    </row>
    <row r="86" spans="7:106">
      <c r="G86" s="41"/>
      <c r="I86" s="38">
        <v>45738</v>
      </c>
      <c r="J86">
        <v>32.1</v>
      </c>
      <c r="K86" s="26">
        <v>799720</v>
      </c>
      <c r="N86" s="25"/>
      <c r="O86" s="1">
        <v>44437</v>
      </c>
      <c r="P86">
        <v>-9.7182999999999993</v>
      </c>
      <c r="R86" s="1">
        <v>44437</v>
      </c>
      <c r="S86">
        <v>1.5961000000000001</v>
      </c>
      <c r="U86" s="1">
        <v>44437</v>
      </c>
      <c r="V86">
        <v>12.2127</v>
      </c>
      <c r="W86" s="26"/>
      <c r="BL86" s="1"/>
      <c r="DB86">
        <v>69</v>
      </c>
    </row>
    <row r="87" spans="7:106">
      <c r="G87" s="41"/>
      <c r="I87" s="38">
        <v>45739</v>
      </c>
      <c r="J87">
        <v>32.1</v>
      </c>
      <c r="K87" s="26">
        <v>799720</v>
      </c>
      <c r="N87" s="25"/>
      <c r="O87" s="1">
        <v>44438</v>
      </c>
      <c r="P87">
        <v>-11.6197</v>
      </c>
      <c r="R87" s="1">
        <v>44438</v>
      </c>
      <c r="S87">
        <v>1.8240000000000001</v>
      </c>
      <c r="U87" s="1">
        <v>44438</v>
      </c>
      <c r="V87">
        <v>12.421900000000001</v>
      </c>
      <c r="W87" s="26"/>
      <c r="BL87" s="1"/>
      <c r="DB87">
        <v>70</v>
      </c>
    </row>
    <row r="88" spans="7:106">
      <c r="G88" s="41"/>
      <c r="I88" s="38">
        <v>45740</v>
      </c>
      <c r="J88">
        <v>32.549999999999997</v>
      </c>
      <c r="K88" s="26">
        <v>458540</v>
      </c>
      <c r="N88" s="25"/>
      <c r="O88" s="1">
        <v>44439</v>
      </c>
      <c r="P88">
        <v>-11.9718</v>
      </c>
      <c r="R88" s="1">
        <v>44439</v>
      </c>
      <c r="S88">
        <v>1.4894000000000001</v>
      </c>
      <c r="U88" s="1">
        <v>44439</v>
      </c>
      <c r="V88">
        <v>12.2127</v>
      </c>
      <c r="W88" s="26"/>
      <c r="BL88" s="1"/>
      <c r="DB88">
        <v>71</v>
      </c>
    </row>
    <row r="89" spans="7:106">
      <c r="G89" s="41"/>
      <c r="I89" s="38">
        <v>45741</v>
      </c>
      <c r="J89">
        <v>33.15</v>
      </c>
      <c r="K89" s="26">
        <v>308091</v>
      </c>
      <c r="N89" s="25"/>
      <c r="O89" s="1">
        <v>44440</v>
      </c>
      <c r="P89">
        <v>-12.4648</v>
      </c>
      <c r="R89" s="1">
        <v>44440</v>
      </c>
      <c r="S89">
        <v>1.4200999999999999</v>
      </c>
      <c r="U89" s="1">
        <v>44440</v>
      </c>
      <c r="V89">
        <v>12.2508</v>
      </c>
      <c r="W89" s="26"/>
      <c r="BL89" s="1"/>
      <c r="DB89">
        <v>72</v>
      </c>
    </row>
    <row r="90" spans="7:106">
      <c r="G90" s="41"/>
      <c r="I90" s="38">
        <v>45742</v>
      </c>
      <c r="J90">
        <v>32.700000000000003</v>
      </c>
      <c r="K90" s="26">
        <v>252609</v>
      </c>
      <c r="N90" s="25"/>
      <c r="O90" s="1">
        <v>44441</v>
      </c>
      <c r="P90">
        <v>-11.6197</v>
      </c>
      <c r="R90" s="1">
        <v>44441</v>
      </c>
      <c r="S90">
        <v>1.5246</v>
      </c>
      <c r="U90" s="1">
        <v>44441</v>
      </c>
      <c r="V90">
        <v>13.182399999999999</v>
      </c>
      <c r="W90" s="26"/>
      <c r="BL90" s="1"/>
      <c r="DB90">
        <v>73</v>
      </c>
    </row>
    <row r="91" spans="7:106">
      <c r="G91" s="41"/>
      <c r="I91" s="38">
        <v>45743</v>
      </c>
      <c r="J91">
        <v>32.799999999999997</v>
      </c>
      <c r="K91" s="26">
        <v>165412</v>
      </c>
      <c r="N91" s="25"/>
      <c r="O91" s="1">
        <v>44442</v>
      </c>
      <c r="P91">
        <v>-10.633800000000001</v>
      </c>
      <c r="R91" s="1">
        <v>44442</v>
      </c>
      <c r="S91">
        <v>1.1439999999999999</v>
      </c>
      <c r="U91" s="1">
        <v>44442</v>
      </c>
      <c r="V91">
        <v>12.9733</v>
      </c>
      <c r="W91" s="26"/>
      <c r="BL91" s="1"/>
      <c r="DB91">
        <v>74</v>
      </c>
    </row>
    <row r="92" spans="7:106">
      <c r="G92" s="41"/>
      <c r="I92" s="38">
        <v>45744</v>
      </c>
      <c r="J92">
        <v>32.049999999999997</v>
      </c>
      <c r="K92" s="26">
        <v>155976</v>
      </c>
      <c r="N92" s="25"/>
      <c r="O92" s="1">
        <v>44443</v>
      </c>
      <c r="P92">
        <v>-10.633800000000001</v>
      </c>
      <c r="R92" s="1">
        <v>44443</v>
      </c>
      <c r="S92">
        <v>1.1439999999999999</v>
      </c>
      <c r="U92" s="1">
        <v>44443</v>
      </c>
      <c r="V92">
        <v>12.9733</v>
      </c>
      <c r="W92" s="26"/>
      <c r="BL92" s="1"/>
      <c r="DB92">
        <v>75</v>
      </c>
    </row>
    <row r="93" spans="7:106">
      <c r="G93" s="41"/>
      <c r="I93" s="38">
        <v>45745</v>
      </c>
      <c r="J93">
        <v>32.049999999999997</v>
      </c>
      <c r="K93" s="26">
        <v>155976</v>
      </c>
      <c r="N93" s="25"/>
      <c r="O93" s="1">
        <v>44444</v>
      </c>
      <c r="P93">
        <v>-10.633800000000001</v>
      </c>
      <c r="R93" s="1">
        <v>44444</v>
      </c>
      <c r="S93">
        <v>1.1439999999999999</v>
      </c>
      <c r="U93" s="1">
        <v>44444</v>
      </c>
      <c r="V93">
        <v>12.9733</v>
      </c>
      <c r="W93" s="26"/>
      <c r="BL93" s="1"/>
      <c r="DB93">
        <v>76</v>
      </c>
    </row>
    <row r="94" spans="7:106">
      <c r="G94" s="41"/>
      <c r="I94" s="38">
        <v>45746</v>
      </c>
      <c r="J94">
        <v>32.049999999999997</v>
      </c>
      <c r="K94" s="26">
        <v>155976</v>
      </c>
      <c r="N94" s="25"/>
      <c r="O94" s="1">
        <v>44445</v>
      </c>
      <c r="P94">
        <v>-10.5634</v>
      </c>
      <c r="R94" s="1">
        <v>44445</v>
      </c>
      <c r="S94">
        <v>2.1112000000000002</v>
      </c>
      <c r="U94" s="1">
        <v>44445</v>
      </c>
      <c r="V94">
        <v>12.9733</v>
      </c>
      <c r="W94" s="26"/>
      <c r="BL94" s="1"/>
      <c r="DB94">
        <v>77</v>
      </c>
    </row>
    <row r="95" spans="7:106">
      <c r="G95" s="41"/>
      <c r="I95" s="38">
        <v>45747</v>
      </c>
      <c r="J95">
        <v>31.1</v>
      </c>
      <c r="K95" s="26">
        <v>304035</v>
      </c>
      <c r="N95" s="25"/>
      <c r="O95" s="1">
        <v>44446</v>
      </c>
      <c r="P95">
        <v>-11.1972</v>
      </c>
      <c r="R95" s="1">
        <v>44446</v>
      </c>
      <c r="S95">
        <v>1.5406</v>
      </c>
      <c r="U95" s="1">
        <v>44446</v>
      </c>
      <c r="V95">
        <v>11.9466</v>
      </c>
      <c r="W95" s="26"/>
      <c r="BL95" s="1"/>
      <c r="DB95">
        <v>78</v>
      </c>
    </row>
    <row r="96" spans="7:106">
      <c r="G96" s="41"/>
      <c r="I96" s="38">
        <v>45748</v>
      </c>
      <c r="J96">
        <v>31.8</v>
      </c>
      <c r="K96" s="26">
        <v>205842</v>
      </c>
      <c r="N96" s="25"/>
      <c r="O96" s="1">
        <v>44447</v>
      </c>
      <c r="P96">
        <v>-14.4366</v>
      </c>
      <c r="R96" s="1">
        <v>44447</v>
      </c>
      <c r="S96">
        <v>4.8500000000000001E-2</v>
      </c>
      <c r="U96" s="1">
        <v>44447</v>
      </c>
      <c r="V96">
        <v>11.5663</v>
      </c>
      <c r="W96" s="26"/>
      <c r="BL96" s="1"/>
      <c r="DB96">
        <v>79</v>
      </c>
    </row>
    <row r="97" spans="7:106">
      <c r="G97" s="41"/>
      <c r="I97" s="38">
        <v>45749</v>
      </c>
      <c r="J97">
        <v>31.65</v>
      </c>
      <c r="K97" s="26">
        <v>147528</v>
      </c>
      <c r="N97" s="25"/>
      <c r="O97" s="1">
        <v>44448</v>
      </c>
      <c r="P97">
        <v>-14.366199999999999</v>
      </c>
      <c r="R97" s="1">
        <v>44448</v>
      </c>
      <c r="S97">
        <v>0.13100000000000001</v>
      </c>
      <c r="U97" s="1">
        <v>44448</v>
      </c>
      <c r="V97">
        <v>11.414199999999999</v>
      </c>
      <c r="W97" s="26"/>
      <c r="BL97" s="1"/>
      <c r="DB97">
        <v>80</v>
      </c>
    </row>
    <row r="98" spans="7:106">
      <c r="G98" s="41"/>
      <c r="I98" s="38">
        <v>45750</v>
      </c>
      <c r="J98">
        <v>30.15</v>
      </c>
      <c r="K98" s="26">
        <v>379386</v>
      </c>
      <c r="N98" s="25"/>
      <c r="O98" s="1">
        <v>44449</v>
      </c>
      <c r="P98">
        <v>-14.014099999999999</v>
      </c>
      <c r="R98" s="1">
        <v>44449</v>
      </c>
      <c r="S98">
        <v>4.5499999999999999E-2</v>
      </c>
      <c r="U98" s="1">
        <v>44449</v>
      </c>
      <c r="V98">
        <v>10.064299999999999</v>
      </c>
      <c r="W98" s="26"/>
      <c r="BL98" s="1"/>
      <c r="DB98">
        <v>81</v>
      </c>
    </row>
    <row r="99" spans="7:106">
      <c r="G99" s="41"/>
      <c r="I99" s="38">
        <v>45751</v>
      </c>
      <c r="J99">
        <v>28.4</v>
      </c>
      <c r="K99" s="26">
        <v>365109</v>
      </c>
      <c r="N99" s="25"/>
      <c r="O99" s="1">
        <v>44450</v>
      </c>
      <c r="P99">
        <v>-14.014099999999999</v>
      </c>
      <c r="R99" s="1">
        <v>44450</v>
      </c>
      <c r="S99">
        <v>4.5499999999999999E-2</v>
      </c>
      <c r="U99" s="1">
        <v>44450</v>
      </c>
      <c r="V99">
        <v>10.064299999999999</v>
      </c>
      <c r="W99" s="26"/>
      <c r="BL99" s="1"/>
      <c r="DB99">
        <v>82</v>
      </c>
    </row>
    <row r="100" spans="7:106">
      <c r="G100" s="41"/>
      <c r="I100" s="38">
        <v>45752</v>
      </c>
      <c r="J100">
        <v>28.4</v>
      </c>
      <c r="K100" s="26">
        <v>365109</v>
      </c>
      <c r="N100" s="25"/>
      <c r="O100" s="1">
        <v>44451</v>
      </c>
      <c r="P100">
        <v>-14.014099999999999</v>
      </c>
      <c r="R100" s="1">
        <v>44451</v>
      </c>
      <c r="S100">
        <v>4.5499999999999999E-2</v>
      </c>
      <c r="U100" s="1">
        <v>44451</v>
      </c>
      <c r="V100">
        <v>10.064299999999999</v>
      </c>
      <c r="W100" s="26"/>
      <c r="BL100" s="1"/>
      <c r="DB100">
        <v>83</v>
      </c>
    </row>
    <row r="101" spans="7:106">
      <c r="G101" s="41"/>
      <c r="I101" s="38">
        <v>45753</v>
      </c>
      <c r="J101">
        <v>28.4</v>
      </c>
      <c r="K101" s="26">
        <v>365109</v>
      </c>
      <c r="N101" s="25"/>
      <c r="O101" s="1">
        <v>44452</v>
      </c>
      <c r="P101">
        <v>-13.8028</v>
      </c>
      <c r="R101" s="1">
        <v>44452</v>
      </c>
      <c r="S101">
        <v>0.63260000000000005</v>
      </c>
      <c r="U101" s="1">
        <v>44452</v>
      </c>
      <c r="V101">
        <v>10.4636</v>
      </c>
      <c r="W101" s="26"/>
      <c r="BL101" s="1"/>
      <c r="DB101">
        <v>84</v>
      </c>
    </row>
    <row r="102" spans="7:106">
      <c r="G102" s="41"/>
      <c r="I102" s="38">
        <v>45754</v>
      </c>
      <c r="J102">
        <v>27.22</v>
      </c>
      <c r="K102" s="26">
        <v>442155</v>
      </c>
      <c r="N102" s="25"/>
      <c r="O102" s="1">
        <v>44453</v>
      </c>
      <c r="P102">
        <v>-15.1408</v>
      </c>
      <c r="R102" s="1">
        <v>44453</v>
      </c>
      <c r="S102">
        <v>0.77090000000000003</v>
      </c>
      <c r="U102" s="1">
        <v>44453</v>
      </c>
      <c r="V102">
        <v>10.026300000000001</v>
      </c>
      <c r="W102" s="26"/>
      <c r="BL102" s="1"/>
      <c r="DB102">
        <v>85</v>
      </c>
    </row>
    <row r="103" spans="7:106">
      <c r="G103" s="41"/>
      <c r="I103" s="38">
        <v>45755</v>
      </c>
      <c r="J103">
        <v>27.42</v>
      </c>
      <c r="K103" s="26">
        <v>546794</v>
      </c>
      <c r="N103" s="25"/>
      <c r="O103" s="1">
        <v>44454</v>
      </c>
      <c r="P103">
        <v>-15.5634</v>
      </c>
      <c r="R103" s="1">
        <v>44454</v>
      </c>
      <c r="S103">
        <v>8.5199999999999998E-2</v>
      </c>
      <c r="U103" s="1">
        <v>44454</v>
      </c>
      <c r="V103">
        <v>9.4368999999999996</v>
      </c>
      <c r="W103" s="26"/>
      <c r="BL103" s="1"/>
      <c r="DB103">
        <v>86</v>
      </c>
    </row>
    <row r="104" spans="7:106">
      <c r="G104" s="41"/>
      <c r="I104" s="38">
        <v>45756</v>
      </c>
      <c r="J104">
        <v>25.28</v>
      </c>
      <c r="K104" s="26">
        <v>682820</v>
      </c>
      <c r="N104" s="25"/>
      <c r="O104" s="1">
        <v>44455</v>
      </c>
      <c r="P104">
        <v>-15.9155</v>
      </c>
      <c r="R104" s="1">
        <v>44455</v>
      </c>
      <c r="S104">
        <v>0.31430000000000002</v>
      </c>
      <c r="U104" s="1">
        <v>44455</v>
      </c>
      <c r="V104">
        <v>8.9995999999999992</v>
      </c>
      <c r="W104" s="26"/>
      <c r="BL104" s="1"/>
      <c r="DB104">
        <v>87</v>
      </c>
    </row>
    <row r="105" spans="7:106">
      <c r="G105" s="41"/>
      <c r="I105" s="38">
        <v>45757</v>
      </c>
      <c r="J105">
        <v>25.8</v>
      </c>
      <c r="K105" s="26">
        <v>655056</v>
      </c>
      <c r="N105" s="25"/>
      <c r="O105" s="1">
        <v>44456</v>
      </c>
      <c r="P105">
        <v>-16.690100000000001</v>
      </c>
      <c r="R105" s="1">
        <v>44456</v>
      </c>
      <c r="S105">
        <v>-0.72130000000000005</v>
      </c>
      <c r="U105" s="1">
        <v>44456</v>
      </c>
      <c r="V105">
        <v>8.0869999999999997</v>
      </c>
      <c r="W105" s="26"/>
      <c r="BL105" s="1"/>
      <c r="DB105">
        <v>88</v>
      </c>
    </row>
    <row r="106" spans="7:106">
      <c r="G106" s="41"/>
      <c r="I106" s="38">
        <v>45758</v>
      </c>
      <c r="J106">
        <v>25.9</v>
      </c>
      <c r="K106" s="26">
        <v>357561</v>
      </c>
      <c r="N106" s="25"/>
      <c r="O106" s="1">
        <v>44457</v>
      </c>
      <c r="P106">
        <v>-16.690100000000001</v>
      </c>
      <c r="R106" s="1">
        <v>44457</v>
      </c>
      <c r="S106">
        <v>-0.72130000000000005</v>
      </c>
      <c r="U106" s="1">
        <v>44457</v>
      </c>
      <c r="V106">
        <v>8.0869999999999997</v>
      </c>
      <c r="W106" s="26"/>
      <c r="BL106" s="1"/>
      <c r="DB106">
        <v>89</v>
      </c>
    </row>
    <row r="107" spans="7:106">
      <c r="G107" s="41"/>
      <c r="I107" s="38">
        <v>45759</v>
      </c>
      <c r="J107">
        <v>25.9</v>
      </c>
      <c r="K107" s="26">
        <v>357561</v>
      </c>
      <c r="N107" s="25"/>
      <c r="O107" s="1">
        <v>44458</v>
      </c>
      <c r="P107">
        <v>-16.690100000000001</v>
      </c>
      <c r="R107" s="1">
        <v>44458</v>
      </c>
      <c r="S107">
        <v>-0.72130000000000005</v>
      </c>
      <c r="U107" s="1">
        <v>44458</v>
      </c>
      <c r="V107">
        <v>8.0869999999999997</v>
      </c>
      <c r="W107" s="26"/>
      <c r="BL107" s="1"/>
      <c r="DB107">
        <v>90</v>
      </c>
    </row>
    <row r="108" spans="7:106">
      <c r="G108" s="41"/>
      <c r="I108" s="38">
        <v>45760</v>
      </c>
      <c r="J108">
        <v>25.9</v>
      </c>
      <c r="K108" s="26">
        <v>357561</v>
      </c>
      <c r="N108" s="25"/>
      <c r="O108" s="1">
        <v>44459</v>
      </c>
      <c r="P108">
        <v>-19.2958</v>
      </c>
      <c r="R108" s="1">
        <v>44459</v>
      </c>
      <c r="S108">
        <v>-3.0165000000000002</v>
      </c>
      <c r="U108" s="1">
        <v>44459</v>
      </c>
      <c r="V108">
        <v>6.2618</v>
      </c>
      <c r="W108" s="26"/>
      <c r="BL108" s="1"/>
    </row>
    <row r="109" spans="7:106">
      <c r="G109" s="41"/>
      <c r="I109" s="38">
        <v>45761</v>
      </c>
      <c r="J109">
        <v>26.84</v>
      </c>
      <c r="K109" s="26">
        <v>239560</v>
      </c>
      <c r="N109" s="25"/>
      <c r="O109" s="1">
        <v>44460</v>
      </c>
      <c r="P109">
        <v>-20.070399999999999</v>
      </c>
      <c r="R109" s="1">
        <v>44460</v>
      </c>
      <c r="S109">
        <v>-1.6291</v>
      </c>
      <c r="U109" s="1">
        <v>44460</v>
      </c>
      <c r="V109">
        <v>5.0640000000000001</v>
      </c>
      <c r="W109" s="26"/>
      <c r="BL109" s="1"/>
    </row>
    <row r="110" spans="7:106">
      <c r="G110" s="41"/>
      <c r="I110" s="38">
        <v>45762</v>
      </c>
      <c r="J110">
        <v>27.3</v>
      </c>
      <c r="K110" s="26">
        <v>207585</v>
      </c>
      <c r="N110" s="25"/>
      <c r="O110" s="1">
        <v>44461</v>
      </c>
      <c r="P110">
        <v>-18.521100000000001</v>
      </c>
      <c r="R110" s="1">
        <v>44461</v>
      </c>
      <c r="S110">
        <v>-0.61509999999999998</v>
      </c>
      <c r="U110" s="1">
        <v>44461</v>
      </c>
      <c r="V110">
        <v>5.5583</v>
      </c>
      <c r="W110" s="26"/>
      <c r="BL110" s="1"/>
    </row>
    <row r="111" spans="7:106">
      <c r="G111" s="41"/>
      <c r="I111" s="38">
        <v>45763</v>
      </c>
      <c r="J111">
        <v>26.64</v>
      </c>
      <c r="K111" s="26">
        <v>207219</v>
      </c>
      <c r="N111" s="25"/>
      <c r="O111" s="1">
        <v>44462</v>
      </c>
      <c r="P111">
        <v>-18.521100000000001</v>
      </c>
      <c r="R111" s="1">
        <v>44462</v>
      </c>
      <c r="S111">
        <v>0.26440000000000002</v>
      </c>
      <c r="U111" s="1">
        <v>44462</v>
      </c>
      <c r="V111">
        <v>7.7827999999999999</v>
      </c>
      <c r="W111" s="26"/>
      <c r="BL111" s="1"/>
    </row>
    <row r="112" spans="7:106">
      <c r="G112" s="41"/>
      <c r="I112" s="38">
        <v>45764</v>
      </c>
      <c r="J112">
        <v>26.26</v>
      </c>
      <c r="K112" s="26">
        <v>236391</v>
      </c>
      <c r="N112" s="25"/>
      <c r="O112" s="1">
        <v>44463</v>
      </c>
      <c r="P112">
        <v>-19.507000000000001</v>
      </c>
      <c r="R112" s="1">
        <v>44463</v>
      </c>
      <c r="S112">
        <v>-0.45479999999999998</v>
      </c>
      <c r="U112" s="1">
        <v>44463</v>
      </c>
      <c r="V112">
        <v>7.8587999999999996</v>
      </c>
      <c r="W112" s="26"/>
      <c r="BL112" s="1"/>
    </row>
    <row r="113" spans="7:64">
      <c r="G113" s="41"/>
      <c r="I113" s="38">
        <v>45765</v>
      </c>
      <c r="J113">
        <v>26.26</v>
      </c>
      <c r="K113" s="26">
        <v>236391</v>
      </c>
      <c r="N113" s="25"/>
      <c r="O113" s="1">
        <v>44464</v>
      </c>
      <c r="P113">
        <v>-19.507000000000001</v>
      </c>
      <c r="R113" s="1">
        <v>44464</v>
      </c>
      <c r="S113">
        <v>-0.45479999999999998</v>
      </c>
      <c r="U113" s="1">
        <v>44464</v>
      </c>
      <c r="V113">
        <v>7.8587999999999996</v>
      </c>
      <c r="W113" s="26"/>
      <c r="BL113" s="1"/>
    </row>
    <row r="114" spans="7:64">
      <c r="G114" s="41"/>
      <c r="I114" s="38">
        <v>45766</v>
      </c>
      <c r="J114">
        <v>26.26</v>
      </c>
      <c r="K114" s="26">
        <v>236391</v>
      </c>
      <c r="N114" s="25"/>
      <c r="O114" s="1">
        <v>44465</v>
      </c>
      <c r="P114">
        <v>-19.507000000000001</v>
      </c>
      <c r="R114" s="1">
        <v>44465</v>
      </c>
      <c r="S114">
        <v>-0.45479999999999998</v>
      </c>
      <c r="U114" s="1">
        <v>44465</v>
      </c>
      <c r="V114">
        <v>7.8587999999999996</v>
      </c>
      <c r="W114" s="26"/>
      <c r="BL114" s="1"/>
    </row>
    <row r="115" spans="7:64">
      <c r="G115" s="41"/>
      <c r="I115" s="38">
        <v>45767</v>
      </c>
      <c r="J115">
        <v>26.26</v>
      </c>
      <c r="K115" s="26">
        <v>236391</v>
      </c>
      <c r="N115" s="25"/>
      <c r="O115" s="1">
        <v>44466</v>
      </c>
      <c r="P115">
        <v>-19.014099999999999</v>
      </c>
      <c r="R115" s="1">
        <v>44466</v>
      </c>
      <c r="S115">
        <v>-0.18479999999999999</v>
      </c>
      <c r="U115" s="1">
        <v>44466</v>
      </c>
      <c r="V115">
        <v>6.8891999999999998</v>
      </c>
      <c r="W115" s="26"/>
      <c r="BL115" s="1"/>
    </row>
    <row r="116" spans="7:64">
      <c r="G116" s="41"/>
      <c r="I116" s="38">
        <v>45768</v>
      </c>
      <c r="J116">
        <v>26.26</v>
      </c>
      <c r="K116" s="26">
        <v>236391</v>
      </c>
      <c r="N116" s="25"/>
      <c r="O116" s="1">
        <v>44467</v>
      </c>
      <c r="P116">
        <v>-20.422499999999999</v>
      </c>
      <c r="R116" s="1">
        <v>44467</v>
      </c>
      <c r="S116">
        <v>-2.2698</v>
      </c>
      <c r="U116" s="1">
        <v>44467</v>
      </c>
      <c r="V116">
        <v>5.5583</v>
      </c>
      <c r="W116" s="26"/>
      <c r="BL116" s="1"/>
    </row>
    <row r="117" spans="7:64">
      <c r="G117" s="41"/>
      <c r="I117" s="38">
        <v>45769</v>
      </c>
      <c r="J117">
        <v>26.52</v>
      </c>
      <c r="K117" s="26">
        <v>190298</v>
      </c>
      <c r="N117" s="25"/>
      <c r="O117" s="1">
        <v>44468</v>
      </c>
      <c r="P117">
        <v>-21.0563</v>
      </c>
      <c r="R117" s="1">
        <v>44468</v>
      </c>
      <c r="S117">
        <v>-1.5218</v>
      </c>
      <c r="U117" s="1">
        <v>44468</v>
      </c>
      <c r="V117">
        <v>5.4823000000000004</v>
      </c>
      <c r="W117" s="26"/>
      <c r="BL117" s="1"/>
    </row>
    <row r="118" spans="7:64">
      <c r="G118" s="41"/>
      <c r="I118" s="38">
        <v>45770</v>
      </c>
      <c r="J118">
        <v>27.38</v>
      </c>
      <c r="K118" s="26">
        <v>306811</v>
      </c>
      <c r="N118" s="25"/>
      <c r="O118" s="1">
        <v>44469</v>
      </c>
      <c r="P118">
        <v>-21.831</v>
      </c>
      <c r="R118" s="1">
        <v>44469</v>
      </c>
      <c r="S118">
        <v>-2.1920999999999999</v>
      </c>
      <c r="U118" s="1">
        <v>44469</v>
      </c>
      <c r="V118">
        <v>3.4859</v>
      </c>
      <c r="W118" s="26"/>
      <c r="BL118" s="1"/>
    </row>
    <row r="119" spans="7:64">
      <c r="G119" s="41"/>
      <c r="I119" s="38">
        <v>45771</v>
      </c>
      <c r="J119">
        <v>27.78</v>
      </c>
      <c r="K119" s="26">
        <v>280307</v>
      </c>
      <c r="N119" s="25"/>
      <c r="O119" s="1">
        <v>44470</v>
      </c>
      <c r="P119">
        <v>-21.619700000000002</v>
      </c>
      <c r="R119" s="1">
        <v>44470</v>
      </c>
      <c r="S119">
        <v>-2.8601999999999999</v>
      </c>
      <c r="U119" s="1">
        <v>44470</v>
      </c>
      <c r="V119">
        <v>4.8357999999999999</v>
      </c>
      <c r="W119" s="26"/>
      <c r="BL119" s="1"/>
    </row>
    <row r="120" spans="7:64">
      <c r="G120" s="41"/>
      <c r="I120" s="38">
        <v>45772</v>
      </c>
      <c r="J120">
        <v>27.96</v>
      </c>
      <c r="K120" s="26">
        <v>301456</v>
      </c>
      <c r="N120" s="25"/>
      <c r="O120" s="1">
        <v>44471</v>
      </c>
      <c r="P120">
        <v>-21.619700000000002</v>
      </c>
      <c r="R120" s="1">
        <v>44471</v>
      </c>
      <c r="S120">
        <v>-2.8601999999999999</v>
      </c>
      <c r="U120" s="1">
        <v>44471</v>
      </c>
      <c r="V120">
        <v>4.8357999999999999</v>
      </c>
      <c r="W120" s="26"/>
      <c r="BL120" s="1"/>
    </row>
    <row r="121" spans="7:64">
      <c r="G121" s="41"/>
      <c r="I121" s="38">
        <v>45773</v>
      </c>
      <c r="J121">
        <v>27.96</v>
      </c>
      <c r="K121" s="26">
        <v>301456</v>
      </c>
      <c r="N121" s="25"/>
      <c r="O121" s="1">
        <v>44472</v>
      </c>
      <c r="P121">
        <v>-21.619700000000002</v>
      </c>
      <c r="R121" s="1">
        <v>44472</v>
      </c>
      <c r="S121">
        <v>-2.8601999999999999</v>
      </c>
      <c r="U121" s="1">
        <v>44472</v>
      </c>
      <c r="V121">
        <v>4.8357999999999999</v>
      </c>
      <c r="W121" s="26"/>
      <c r="BL121" s="1"/>
    </row>
    <row r="122" spans="7:64">
      <c r="G122" s="41"/>
      <c r="I122" s="38">
        <v>45774</v>
      </c>
      <c r="J122">
        <v>27.96</v>
      </c>
      <c r="K122" s="26">
        <v>301456</v>
      </c>
      <c r="N122" s="25"/>
      <c r="O122" s="1">
        <v>44473</v>
      </c>
      <c r="P122">
        <v>-22.5352</v>
      </c>
      <c r="R122" s="1">
        <v>44473</v>
      </c>
      <c r="S122">
        <v>-3.6286</v>
      </c>
      <c r="U122" s="1">
        <v>44473</v>
      </c>
      <c r="V122">
        <v>3.8090999999999999</v>
      </c>
      <c r="W122" s="26"/>
      <c r="BL122" s="1"/>
    </row>
    <row r="123" spans="7:64">
      <c r="G123" s="41"/>
      <c r="I123" s="38">
        <v>45775</v>
      </c>
      <c r="J123">
        <v>30.02</v>
      </c>
      <c r="K123" s="26">
        <v>582626</v>
      </c>
      <c r="N123" s="25"/>
      <c r="O123" s="1">
        <v>44474</v>
      </c>
      <c r="P123">
        <v>-22.1127</v>
      </c>
      <c r="R123" s="1">
        <v>44474</v>
      </c>
      <c r="S123">
        <v>-2.6162999999999998</v>
      </c>
      <c r="U123" s="1">
        <v>44474</v>
      </c>
      <c r="V123">
        <v>4.6897000000000002</v>
      </c>
      <c r="W123" s="26"/>
      <c r="BL123" s="1"/>
    </row>
    <row r="124" spans="7:64">
      <c r="G124" s="41"/>
      <c r="I124" s="38">
        <v>45776</v>
      </c>
      <c r="J124">
        <v>28.94</v>
      </c>
      <c r="K124" s="26">
        <v>432462</v>
      </c>
      <c r="N124" s="25"/>
      <c r="O124" s="1">
        <v>44475</v>
      </c>
      <c r="P124">
        <v>-23.028199999999998</v>
      </c>
      <c r="R124" s="1">
        <v>44475</v>
      </c>
      <c r="S124">
        <v>-4.0338000000000003</v>
      </c>
      <c r="U124" s="1">
        <v>44475</v>
      </c>
      <c r="V124">
        <v>3.254</v>
      </c>
      <c r="W124" s="26"/>
      <c r="BL124" s="1"/>
    </row>
    <row r="125" spans="7:64">
      <c r="G125" s="41"/>
      <c r="I125" s="38">
        <v>45777</v>
      </c>
      <c r="J125">
        <v>28.9</v>
      </c>
      <c r="K125" s="26">
        <v>210657</v>
      </c>
      <c r="N125" s="25"/>
      <c r="O125" s="1">
        <v>44476</v>
      </c>
      <c r="P125">
        <v>-22.253499999999999</v>
      </c>
      <c r="R125" s="1">
        <v>44476</v>
      </c>
      <c r="S125">
        <v>-2.2551000000000001</v>
      </c>
      <c r="U125" s="1">
        <v>44476</v>
      </c>
      <c r="V125">
        <v>5.3213999999999997</v>
      </c>
      <c r="W125" s="26"/>
      <c r="BL125" s="1"/>
    </row>
    <row r="126" spans="7:64">
      <c r="G126" s="41"/>
      <c r="I126" s="38">
        <v>45778</v>
      </c>
      <c r="J126">
        <v>28.9</v>
      </c>
      <c r="K126" s="26">
        <v>210657</v>
      </c>
      <c r="N126" s="25"/>
      <c r="O126" s="1">
        <v>44477</v>
      </c>
      <c r="P126">
        <v>-22.1831</v>
      </c>
      <c r="R126" s="1">
        <v>44477</v>
      </c>
      <c r="S126">
        <v>-2.5417000000000001</v>
      </c>
      <c r="U126" s="1">
        <v>44477</v>
      </c>
      <c r="V126">
        <v>5.4363000000000001</v>
      </c>
      <c r="W126" s="26"/>
      <c r="BL126" s="1"/>
    </row>
    <row r="127" spans="7:64">
      <c r="G127" s="41"/>
      <c r="I127" s="38">
        <v>45779</v>
      </c>
      <c r="J127">
        <v>29.28</v>
      </c>
      <c r="K127" s="26">
        <v>327739</v>
      </c>
      <c r="N127" s="25"/>
      <c r="O127" s="1">
        <v>44478</v>
      </c>
      <c r="P127">
        <v>-22.1831</v>
      </c>
      <c r="R127" s="1">
        <v>44478</v>
      </c>
      <c r="S127">
        <v>-2.5417000000000001</v>
      </c>
      <c r="U127" s="1">
        <v>44478</v>
      </c>
      <c r="V127">
        <v>5.4363000000000001</v>
      </c>
      <c r="W127" s="26"/>
      <c r="BL127" s="1"/>
    </row>
    <row r="128" spans="7:64">
      <c r="G128" s="41"/>
      <c r="I128" s="38">
        <v>45780</v>
      </c>
      <c r="J128">
        <v>29.28</v>
      </c>
      <c r="K128" s="26">
        <v>327739</v>
      </c>
      <c r="N128" s="25"/>
      <c r="O128" s="1">
        <v>44479</v>
      </c>
      <c r="P128">
        <v>-22.1831</v>
      </c>
      <c r="R128" s="1">
        <v>44479</v>
      </c>
      <c r="S128">
        <v>-2.5417000000000001</v>
      </c>
      <c r="U128" s="1">
        <v>44479</v>
      </c>
      <c r="V128">
        <v>5.4363000000000001</v>
      </c>
      <c r="W128" s="26"/>
      <c r="BL128" s="1"/>
    </row>
    <row r="129" spans="7:64">
      <c r="G129" s="41"/>
      <c r="I129" s="38">
        <v>45781</v>
      </c>
      <c r="J129">
        <v>29.28</v>
      </c>
      <c r="K129" s="26">
        <v>327739</v>
      </c>
      <c r="N129" s="25"/>
      <c r="O129" s="1">
        <v>44480</v>
      </c>
      <c r="P129">
        <v>-22.8169</v>
      </c>
      <c r="R129" s="1">
        <v>44480</v>
      </c>
      <c r="S129">
        <v>-2.5865</v>
      </c>
      <c r="U129" s="1">
        <v>44480</v>
      </c>
      <c r="V129">
        <v>5.1490999999999998</v>
      </c>
      <c r="W129" s="26"/>
      <c r="BL129" s="1"/>
    </row>
    <row r="130" spans="7:64">
      <c r="G130" s="41"/>
      <c r="I130" s="38">
        <v>45782</v>
      </c>
      <c r="J130">
        <v>29.32</v>
      </c>
      <c r="K130" s="26">
        <v>230735</v>
      </c>
      <c r="N130" s="25"/>
      <c r="O130" s="1">
        <v>44481</v>
      </c>
      <c r="P130">
        <v>-23.309899999999999</v>
      </c>
      <c r="R130" s="1">
        <v>44481</v>
      </c>
      <c r="S130">
        <v>-2.9215</v>
      </c>
      <c r="U130" s="1">
        <v>44481</v>
      </c>
      <c r="V130">
        <v>3.9049</v>
      </c>
      <c r="W130" s="26"/>
      <c r="BL130" s="1"/>
    </row>
    <row r="131" spans="7:64">
      <c r="G131" s="41"/>
      <c r="I131" s="38">
        <v>45783</v>
      </c>
      <c r="J131">
        <v>28.6</v>
      </c>
      <c r="K131" s="26">
        <v>383690</v>
      </c>
      <c r="N131" s="25"/>
      <c r="O131" s="1">
        <v>44482</v>
      </c>
      <c r="P131">
        <v>-23.661999999999999</v>
      </c>
      <c r="R131" s="1">
        <v>44482</v>
      </c>
      <c r="S131">
        <v>-2.2645</v>
      </c>
      <c r="U131" s="1">
        <v>44482</v>
      </c>
      <c r="V131">
        <v>4.5556999999999999</v>
      </c>
      <c r="W131" s="26"/>
      <c r="BL131" s="1"/>
    </row>
    <row r="132" spans="7:64">
      <c r="G132" s="41"/>
      <c r="I132" s="38">
        <v>45784</v>
      </c>
      <c r="J132">
        <v>28.36</v>
      </c>
      <c r="K132" s="26">
        <v>228427</v>
      </c>
      <c r="N132" s="25"/>
      <c r="O132" s="1">
        <v>44483</v>
      </c>
      <c r="P132">
        <v>-23.802800000000001</v>
      </c>
      <c r="R132" s="1">
        <v>44483</v>
      </c>
      <c r="S132">
        <v>-0.8972</v>
      </c>
      <c r="U132" s="1">
        <v>44483</v>
      </c>
      <c r="V132">
        <v>6.5274000000000001</v>
      </c>
      <c r="W132" s="26"/>
      <c r="BL132" s="1"/>
    </row>
    <row r="133" spans="7:64">
      <c r="G133" s="41"/>
      <c r="I133" s="38">
        <v>45785</v>
      </c>
      <c r="J133">
        <v>29.26</v>
      </c>
      <c r="K133" s="26">
        <v>207110</v>
      </c>
      <c r="N133" s="25"/>
      <c r="O133" s="1">
        <v>44484</v>
      </c>
      <c r="P133">
        <v>-21.831</v>
      </c>
      <c r="R133" s="1">
        <v>44484</v>
      </c>
      <c r="S133">
        <v>-9.8400000000000001E-2</v>
      </c>
      <c r="U133" s="1">
        <v>44484</v>
      </c>
      <c r="V133">
        <v>5.7617000000000003</v>
      </c>
      <c r="W133" s="26"/>
      <c r="BL133" s="1"/>
    </row>
    <row r="134" spans="7:64">
      <c r="G134" s="41"/>
      <c r="I134" s="38">
        <v>45786</v>
      </c>
      <c r="J134">
        <v>29.88</v>
      </c>
      <c r="K134" s="26">
        <v>490920</v>
      </c>
      <c r="N134" s="25"/>
      <c r="O134" s="1">
        <v>44485</v>
      </c>
      <c r="P134">
        <v>-21.831</v>
      </c>
      <c r="R134" s="1">
        <v>44485</v>
      </c>
      <c r="S134">
        <v>-9.8400000000000001E-2</v>
      </c>
      <c r="U134" s="1">
        <v>44485</v>
      </c>
      <c r="V134">
        <v>5.7617000000000003</v>
      </c>
      <c r="W134" s="26"/>
      <c r="BL134" s="1"/>
    </row>
    <row r="135" spans="7:64">
      <c r="G135" s="41"/>
      <c r="I135" s="38">
        <v>45787</v>
      </c>
      <c r="J135">
        <v>29.88</v>
      </c>
      <c r="K135" s="26">
        <v>490920</v>
      </c>
      <c r="N135" s="25"/>
      <c r="O135" s="1">
        <v>44486</v>
      </c>
      <c r="P135">
        <v>-21.831</v>
      </c>
      <c r="R135" s="1">
        <v>44486</v>
      </c>
      <c r="S135">
        <v>-9.8400000000000001E-2</v>
      </c>
      <c r="U135" s="1">
        <v>44486</v>
      </c>
      <c r="V135">
        <v>5.7617000000000003</v>
      </c>
      <c r="W135" s="26"/>
      <c r="BL135" s="1"/>
    </row>
    <row r="136" spans="7:64">
      <c r="G136" s="41"/>
      <c r="I136" s="38">
        <v>45788</v>
      </c>
      <c r="J136">
        <v>29.88</v>
      </c>
      <c r="K136" s="26">
        <v>490920</v>
      </c>
      <c r="N136" s="25"/>
      <c r="O136" s="1">
        <v>44487</v>
      </c>
      <c r="P136">
        <v>-22.8873</v>
      </c>
      <c r="R136" s="1">
        <v>44487</v>
      </c>
      <c r="S136">
        <v>-0.82189999999999996</v>
      </c>
      <c r="U136" s="1">
        <v>44487</v>
      </c>
      <c r="V136">
        <v>5.6467999999999998</v>
      </c>
      <c r="W136" s="26"/>
      <c r="BL136" s="1"/>
    </row>
    <row r="137" spans="7:64">
      <c r="G137" s="41"/>
      <c r="I137" s="38">
        <v>45789</v>
      </c>
      <c r="J137">
        <v>31.3</v>
      </c>
      <c r="K137" s="26">
        <v>519300</v>
      </c>
      <c r="N137" s="25"/>
      <c r="O137" s="1">
        <v>44488</v>
      </c>
      <c r="P137">
        <v>-22.394400000000001</v>
      </c>
      <c r="R137" s="1">
        <v>44488</v>
      </c>
      <c r="S137">
        <v>-0.55679999999999996</v>
      </c>
      <c r="U137" s="1">
        <v>44488</v>
      </c>
      <c r="V137">
        <v>6.6996000000000002</v>
      </c>
      <c r="W137" s="26"/>
      <c r="BL137" s="1"/>
    </row>
    <row r="138" spans="7:64">
      <c r="G138" s="41"/>
      <c r="I138" s="38">
        <v>45790</v>
      </c>
      <c r="J138">
        <v>31.98</v>
      </c>
      <c r="K138" s="26">
        <v>390691</v>
      </c>
      <c r="N138" s="25"/>
      <c r="O138" s="1">
        <v>44489</v>
      </c>
      <c r="P138">
        <v>-22.4648</v>
      </c>
      <c r="R138" s="1">
        <v>44489</v>
      </c>
      <c r="S138">
        <v>-0.51139999999999997</v>
      </c>
      <c r="U138" s="1">
        <v>44489</v>
      </c>
      <c r="V138">
        <v>7.5801999999999996</v>
      </c>
      <c r="W138" s="26"/>
      <c r="BL138" s="1"/>
    </row>
    <row r="139" spans="7:64">
      <c r="G139" s="41"/>
      <c r="I139" s="38">
        <v>45791</v>
      </c>
      <c r="J139">
        <v>31.94</v>
      </c>
      <c r="K139" s="26">
        <v>324115</v>
      </c>
      <c r="N139" s="25"/>
      <c r="O139" s="1">
        <v>44490</v>
      </c>
      <c r="P139">
        <v>-22.5352</v>
      </c>
      <c r="R139" s="1">
        <v>44490</v>
      </c>
      <c r="S139">
        <v>-0.83409999999999995</v>
      </c>
      <c r="U139" s="1">
        <v>44490</v>
      </c>
      <c r="V139">
        <v>6.6039000000000003</v>
      </c>
      <c r="W139" s="26"/>
      <c r="BL139" s="1"/>
    </row>
    <row r="140" spans="7:64">
      <c r="G140" s="41"/>
      <c r="I140" s="38">
        <v>45792</v>
      </c>
      <c r="J140">
        <v>30.34</v>
      </c>
      <c r="K140" s="26">
        <v>471786</v>
      </c>
      <c r="N140" s="25"/>
      <c r="O140" s="1">
        <v>44491</v>
      </c>
      <c r="P140">
        <v>-22.1831</v>
      </c>
      <c r="R140" s="1">
        <v>44491</v>
      </c>
      <c r="S140">
        <v>-0.38279999999999997</v>
      </c>
      <c r="U140" s="1">
        <v>44491</v>
      </c>
      <c r="V140">
        <v>5.4936999999999996</v>
      </c>
      <c r="W140" s="26"/>
      <c r="BL140" s="1"/>
    </row>
    <row r="141" spans="7:64">
      <c r="G141" s="41"/>
      <c r="I141" s="38">
        <v>45793</v>
      </c>
      <c r="J141">
        <v>30.08</v>
      </c>
      <c r="K141" s="26">
        <v>293092</v>
      </c>
      <c r="N141" s="25"/>
      <c r="O141" s="1">
        <v>44492</v>
      </c>
      <c r="P141">
        <v>-22.1831</v>
      </c>
      <c r="R141" s="1">
        <v>44492</v>
      </c>
      <c r="S141">
        <v>-0.38279999999999997</v>
      </c>
      <c r="U141" s="1">
        <v>44492</v>
      </c>
      <c r="V141">
        <v>5.4936999999999996</v>
      </c>
      <c r="W141" s="26"/>
      <c r="BL141" s="1"/>
    </row>
    <row r="142" spans="7:64">
      <c r="G142" s="41"/>
      <c r="I142" s="38">
        <v>45794</v>
      </c>
      <c r="J142">
        <v>30.08</v>
      </c>
      <c r="K142" s="26">
        <v>293092</v>
      </c>
      <c r="N142" s="25"/>
      <c r="O142" s="1">
        <v>44493</v>
      </c>
      <c r="P142">
        <v>-22.1831</v>
      </c>
      <c r="R142" s="1">
        <v>44493</v>
      </c>
      <c r="S142">
        <v>-0.38279999999999997</v>
      </c>
      <c r="U142" s="1">
        <v>44493</v>
      </c>
      <c r="V142">
        <v>5.4936999999999996</v>
      </c>
      <c r="W142" s="26"/>
      <c r="BL142" s="1"/>
    </row>
    <row r="143" spans="7:64">
      <c r="G143" s="41"/>
      <c r="I143" s="38">
        <v>45795</v>
      </c>
      <c r="J143">
        <v>30.08</v>
      </c>
      <c r="K143" s="26">
        <v>293092</v>
      </c>
      <c r="N143" s="25"/>
      <c r="O143" s="1">
        <v>44494</v>
      </c>
      <c r="P143">
        <v>-21.0563</v>
      </c>
      <c r="R143" s="1">
        <v>44494</v>
      </c>
      <c r="S143">
        <v>-2.23E-2</v>
      </c>
      <c r="U143" s="1">
        <v>44494</v>
      </c>
      <c r="V143">
        <v>5.5510999999999999</v>
      </c>
      <c r="W143" s="26"/>
      <c r="BL143" s="1"/>
    </row>
    <row r="144" spans="7:64">
      <c r="G144" s="41"/>
      <c r="I144" s="38">
        <v>45796</v>
      </c>
      <c r="J144">
        <v>30.68</v>
      </c>
      <c r="K144" s="26">
        <v>241249</v>
      </c>
      <c r="N144" s="25"/>
      <c r="O144" s="1">
        <v>44495</v>
      </c>
      <c r="P144">
        <v>-20.915500000000002</v>
      </c>
      <c r="R144" s="1">
        <v>44495</v>
      </c>
      <c r="S144">
        <v>0.98929999999999996</v>
      </c>
      <c r="U144" s="1">
        <v>44495</v>
      </c>
      <c r="V144">
        <v>6.8335999999999997</v>
      </c>
      <c r="W144" s="26"/>
      <c r="BL144" s="1"/>
    </row>
    <row r="145" spans="7:64">
      <c r="G145" s="41"/>
      <c r="I145" s="38">
        <v>45797</v>
      </c>
      <c r="J145">
        <v>30.86</v>
      </c>
      <c r="K145" s="26">
        <v>270337</v>
      </c>
      <c r="N145" s="25"/>
      <c r="O145" s="1">
        <v>44496</v>
      </c>
      <c r="P145">
        <v>-21.478899999999999</v>
      </c>
      <c r="R145" s="1">
        <v>44496</v>
      </c>
      <c r="S145">
        <v>0.66080000000000005</v>
      </c>
      <c r="U145" s="1">
        <v>44496</v>
      </c>
      <c r="V145">
        <v>7.5419</v>
      </c>
      <c r="W145" s="26"/>
      <c r="BL145" s="1"/>
    </row>
    <row r="146" spans="7:64">
      <c r="G146" s="41"/>
      <c r="I146" s="38">
        <v>45798</v>
      </c>
      <c r="J146">
        <v>30.62</v>
      </c>
      <c r="K146" s="26">
        <v>121860</v>
      </c>
      <c r="N146" s="25"/>
      <c r="O146" s="1">
        <v>44497</v>
      </c>
      <c r="P146">
        <v>-22.394400000000001</v>
      </c>
      <c r="R146" s="1">
        <v>44497</v>
      </c>
      <c r="S146">
        <v>0.6</v>
      </c>
      <c r="U146" s="1">
        <v>44497</v>
      </c>
      <c r="V146">
        <v>7.6567999999999996</v>
      </c>
      <c r="W146" s="26"/>
      <c r="BL146" s="1"/>
    </row>
    <row r="147" spans="7:64">
      <c r="G147" s="41"/>
      <c r="I147" s="38">
        <v>45799</v>
      </c>
      <c r="J147">
        <v>30.16</v>
      </c>
      <c r="K147" s="26">
        <v>130532</v>
      </c>
      <c r="N147" s="25"/>
      <c r="O147" s="1">
        <v>44498</v>
      </c>
      <c r="P147">
        <v>-21.478899999999999</v>
      </c>
      <c r="R147" s="1">
        <v>44498</v>
      </c>
      <c r="S147">
        <v>0.55159999999999998</v>
      </c>
      <c r="U147" s="1">
        <v>44498</v>
      </c>
      <c r="V147">
        <v>7.1398999999999999</v>
      </c>
      <c r="W147" s="26"/>
      <c r="BL147" s="1"/>
    </row>
    <row r="148" spans="7:64">
      <c r="G148" s="41"/>
      <c r="I148" s="38">
        <v>45800</v>
      </c>
      <c r="J148">
        <v>30.3</v>
      </c>
      <c r="K148" s="26">
        <v>402219</v>
      </c>
      <c r="N148" s="25"/>
      <c r="O148" s="1">
        <v>44499</v>
      </c>
      <c r="P148">
        <v>-21.478899999999999</v>
      </c>
      <c r="R148" s="1">
        <v>44499</v>
      </c>
      <c r="S148">
        <v>0.55159999999999998</v>
      </c>
      <c r="U148" s="1">
        <v>44499</v>
      </c>
      <c r="V148">
        <v>7.1398999999999999</v>
      </c>
      <c r="W148" s="26"/>
      <c r="BL148" s="1"/>
    </row>
    <row r="149" spans="7:64">
      <c r="G149" s="41"/>
      <c r="I149" s="38">
        <v>45801</v>
      </c>
      <c r="J149">
        <v>30.3</v>
      </c>
      <c r="K149" s="26">
        <v>402219</v>
      </c>
      <c r="N149" s="25"/>
      <c r="O149" s="1">
        <v>44500</v>
      </c>
      <c r="P149">
        <v>-21.478899999999999</v>
      </c>
      <c r="R149" s="1">
        <v>44500</v>
      </c>
      <c r="S149">
        <v>0.55159999999999998</v>
      </c>
      <c r="U149" s="1">
        <v>44500</v>
      </c>
      <c r="V149">
        <v>7.1398999999999999</v>
      </c>
      <c r="W149" s="26"/>
      <c r="BL149" s="1"/>
    </row>
    <row r="150" spans="7:64">
      <c r="G150" s="41"/>
      <c r="I150" s="38">
        <v>45802</v>
      </c>
      <c r="J150">
        <v>30.3</v>
      </c>
      <c r="K150" s="26">
        <v>402219</v>
      </c>
      <c r="N150" s="25"/>
      <c r="O150" s="1">
        <v>44501</v>
      </c>
      <c r="P150">
        <v>-20.211300000000001</v>
      </c>
      <c r="R150" s="1">
        <v>44501</v>
      </c>
      <c r="S150">
        <v>1.3048</v>
      </c>
      <c r="U150" s="1">
        <v>44501</v>
      </c>
      <c r="V150">
        <v>7.3887999999999998</v>
      </c>
      <c r="W150" s="26"/>
      <c r="BL150" s="1"/>
    </row>
    <row r="151" spans="7:64">
      <c r="G151" s="41"/>
      <c r="I151" s="38">
        <v>45803</v>
      </c>
      <c r="J151">
        <v>31</v>
      </c>
      <c r="K151" s="26">
        <v>100064</v>
      </c>
      <c r="N151" s="25"/>
      <c r="O151" s="1">
        <v>44502</v>
      </c>
      <c r="P151">
        <v>-20.211300000000001</v>
      </c>
      <c r="R151" s="1">
        <v>44502</v>
      </c>
      <c r="S151">
        <v>2.2544</v>
      </c>
      <c r="U151" s="1">
        <v>44502</v>
      </c>
      <c r="V151">
        <v>10.298400000000001</v>
      </c>
      <c r="W151" s="26"/>
      <c r="BL151" s="1"/>
    </row>
    <row r="152" spans="7:64">
      <c r="G152" s="41"/>
      <c r="I152" s="38">
        <v>45804</v>
      </c>
      <c r="J152">
        <v>31</v>
      </c>
      <c r="K152" s="26">
        <v>143864</v>
      </c>
      <c r="N152" s="25"/>
      <c r="O152" s="1">
        <v>44503</v>
      </c>
      <c r="P152">
        <v>-19.507000000000001</v>
      </c>
      <c r="R152" s="1">
        <v>44503</v>
      </c>
      <c r="S152">
        <v>2.2898000000000001</v>
      </c>
      <c r="U152" s="1">
        <v>44503</v>
      </c>
      <c r="V152">
        <v>10.3558</v>
      </c>
      <c r="W152" s="26"/>
      <c r="BL152" s="1"/>
    </row>
    <row r="153" spans="7:64">
      <c r="G153" s="41"/>
      <c r="I153" s="38">
        <v>45805</v>
      </c>
      <c r="J153">
        <v>31.18</v>
      </c>
      <c r="K153" s="26">
        <v>109985</v>
      </c>
      <c r="N153" s="25"/>
      <c r="O153" s="1">
        <v>44504</v>
      </c>
      <c r="P153">
        <v>-20.7042</v>
      </c>
      <c r="R153" s="1">
        <v>44504</v>
      </c>
      <c r="S153">
        <v>2.7363</v>
      </c>
      <c r="U153" s="1">
        <v>44504</v>
      </c>
      <c r="V153">
        <v>9.3413000000000004</v>
      </c>
      <c r="W153" s="26"/>
      <c r="BL153" s="1"/>
    </row>
    <row r="154" spans="7:64" ht="15" thickBot="1">
      <c r="G154" s="42"/>
      <c r="I154" s="38">
        <v>45806</v>
      </c>
      <c r="J154">
        <v>31.22</v>
      </c>
      <c r="K154" s="26">
        <v>297512</v>
      </c>
      <c r="N154" s="25"/>
      <c r="O154" s="1">
        <v>44505</v>
      </c>
      <c r="P154">
        <v>-19.859200000000001</v>
      </c>
      <c r="R154" s="1">
        <v>44505</v>
      </c>
      <c r="S154">
        <v>2.8946999999999998</v>
      </c>
      <c r="U154" s="1">
        <v>44505</v>
      </c>
      <c r="V154">
        <v>9.2455999999999996</v>
      </c>
      <c r="W154" s="26"/>
      <c r="BL154" s="1"/>
    </row>
    <row r="155" spans="7:64">
      <c r="I155" s="38">
        <v>45807</v>
      </c>
      <c r="J155">
        <v>31.12</v>
      </c>
      <c r="K155" s="26">
        <v>136988</v>
      </c>
      <c r="N155" s="25"/>
      <c r="O155" s="1">
        <v>44506</v>
      </c>
      <c r="P155">
        <v>-19.859200000000001</v>
      </c>
      <c r="R155" s="1">
        <v>44506</v>
      </c>
      <c r="S155">
        <v>2.8946999999999998</v>
      </c>
      <c r="U155" s="1">
        <v>44506</v>
      </c>
      <c r="V155">
        <v>9.2455999999999996</v>
      </c>
      <c r="W155" s="26"/>
      <c r="BL155" s="1"/>
    </row>
    <row r="156" spans="7:64">
      <c r="I156" s="38">
        <v>45808</v>
      </c>
      <c r="J156">
        <v>31.12</v>
      </c>
      <c r="K156" s="26">
        <v>136988</v>
      </c>
      <c r="N156" s="25"/>
      <c r="O156" s="1">
        <v>44507</v>
      </c>
      <c r="P156">
        <v>-19.859200000000001</v>
      </c>
      <c r="R156" s="1">
        <v>44507</v>
      </c>
      <c r="S156">
        <v>2.8946999999999998</v>
      </c>
      <c r="U156" s="1">
        <v>44507</v>
      </c>
      <c r="V156">
        <v>9.2455999999999996</v>
      </c>
      <c r="W156" s="26"/>
      <c r="BL156" s="1"/>
    </row>
    <row r="157" spans="7:64">
      <c r="I157" s="38">
        <v>45809</v>
      </c>
      <c r="J157">
        <v>31.12</v>
      </c>
      <c r="K157" s="26">
        <v>136988</v>
      </c>
      <c r="N157" s="25"/>
      <c r="O157" s="1">
        <v>44508</v>
      </c>
      <c r="P157">
        <v>-18.873200000000001</v>
      </c>
      <c r="R157" s="1">
        <v>44508</v>
      </c>
      <c r="S157">
        <v>2.8443999999999998</v>
      </c>
      <c r="U157" s="1">
        <v>44508</v>
      </c>
      <c r="V157">
        <v>9.1115999999999993</v>
      </c>
      <c r="W157" s="26"/>
      <c r="BL157" s="1"/>
    </row>
    <row r="158" spans="7:64">
      <c r="I158" s="38">
        <v>45810</v>
      </c>
      <c r="J158">
        <v>30.04</v>
      </c>
      <c r="K158" s="26">
        <v>384633</v>
      </c>
      <c r="N158" s="25"/>
      <c r="O158" s="1">
        <v>44509</v>
      </c>
      <c r="P158">
        <v>-18.661999999999999</v>
      </c>
      <c r="R158" s="1">
        <v>44509</v>
      </c>
      <c r="S158">
        <v>2.8056999999999999</v>
      </c>
      <c r="U158" s="1">
        <v>44509</v>
      </c>
      <c r="V158">
        <v>9.9539000000000009</v>
      </c>
      <c r="W158" s="26"/>
      <c r="BL158" s="1"/>
    </row>
    <row r="159" spans="7:64">
      <c r="I159" s="38">
        <v>45811</v>
      </c>
      <c r="J159">
        <v>30.22</v>
      </c>
      <c r="K159" s="26">
        <v>120892</v>
      </c>
      <c r="N159" s="25"/>
      <c r="O159" s="1">
        <v>44510</v>
      </c>
      <c r="P159">
        <v>-18.802800000000001</v>
      </c>
      <c r="R159" s="1">
        <v>44510</v>
      </c>
      <c r="S159">
        <v>2.9809999999999999</v>
      </c>
      <c r="U159" s="1">
        <v>44510</v>
      </c>
      <c r="V159">
        <v>10.585599999999999</v>
      </c>
      <c r="W159" s="26"/>
      <c r="BL159" s="1"/>
    </row>
    <row r="160" spans="7:64">
      <c r="I160" s="38">
        <v>45812</v>
      </c>
      <c r="J160">
        <v>30.02</v>
      </c>
      <c r="K160" s="26">
        <v>202443</v>
      </c>
      <c r="N160" s="25"/>
      <c r="O160" s="1">
        <v>44511</v>
      </c>
      <c r="P160">
        <v>-18.5915</v>
      </c>
      <c r="R160" s="1">
        <v>44511</v>
      </c>
      <c r="S160">
        <v>3.0790000000000002</v>
      </c>
      <c r="U160" s="1">
        <v>44511</v>
      </c>
      <c r="V160">
        <v>8.6522000000000006</v>
      </c>
      <c r="W160" s="26"/>
      <c r="BL160" s="1"/>
    </row>
    <row r="161" spans="9:64">
      <c r="I161" s="38">
        <v>45813</v>
      </c>
      <c r="J161">
        <v>29.38</v>
      </c>
      <c r="K161" s="26">
        <v>273149</v>
      </c>
      <c r="N161" s="25"/>
      <c r="O161" s="1">
        <v>44512</v>
      </c>
      <c r="P161">
        <v>-17.1831</v>
      </c>
      <c r="R161" s="1">
        <v>44512</v>
      </c>
      <c r="S161">
        <v>3.1492</v>
      </c>
      <c r="U161" s="1">
        <v>44512</v>
      </c>
      <c r="V161">
        <v>8.7669999999999995</v>
      </c>
      <c r="W161" s="26"/>
      <c r="BL161" s="1"/>
    </row>
    <row r="162" spans="9:64">
      <c r="I162" s="38">
        <v>45814</v>
      </c>
      <c r="J162">
        <v>29.2</v>
      </c>
      <c r="K162" s="26">
        <v>102057</v>
      </c>
      <c r="N162" s="25"/>
      <c r="O162" s="1">
        <v>44513</v>
      </c>
      <c r="P162">
        <v>-17.1831</v>
      </c>
      <c r="R162" s="1">
        <v>44513</v>
      </c>
      <c r="S162">
        <v>3.1492</v>
      </c>
      <c r="U162" s="1">
        <v>44513</v>
      </c>
      <c r="V162">
        <v>8.7669999999999995</v>
      </c>
      <c r="W162" s="26"/>
      <c r="BL162" s="1"/>
    </row>
    <row r="163" spans="9:64">
      <c r="I163" s="38">
        <v>45815</v>
      </c>
      <c r="J163">
        <v>29.2</v>
      </c>
      <c r="K163" s="26">
        <v>102057</v>
      </c>
      <c r="N163" s="25"/>
      <c r="O163" s="1">
        <v>44514</v>
      </c>
      <c r="P163">
        <v>-17.1831</v>
      </c>
      <c r="R163" s="1">
        <v>44514</v>
      </c>
      <c r="S163">
        <v>3.1492</v>
      </c>
      <c r="U163" s="1">
        <v>44514</v>
      </c>
      <c r="V163">
        <v>8.7669999999999995</v>
      </c>
      <c r="W163" s="26"/>
      <c r="BL163" s="1"/>
    </row>
    <row r="164" spans="9:64">
      <c r="I164" s="38">
        <v>45816</v>
      </c>
      <c r="J164">
        <v>29.2</v>
      </c>
      <c r="K164" s="26">
        <v>102057</v>
      </c>
      <c r="N164" s="25"/>
      <c r="O164" s="1">
        <v>44515</v>
      </c>
      <c r="P164">
        <v>-16.197199999999999</v>
      </c>
      <c r="R164" s="1">
        <v>44515</v>
      </c>
      <c r="S164">
        <v>3.4988999999999999</v>
      </c>
      <c r="U164" s="1">
        <v>44515</v>
      </c>
      <c r="V164">
        <v>9.6283999999999992</v>
      </c>
      <c r="W164" s="26"/>
      <c r="BL164" s="1"/>
    </row>
    <row r="165" spans="9:64">
      <c r="I165" s="38">
        <v>45817</v>
      </c>
      <c r="J165">
        <v>29.2</v>
      </c>
      <c r="K165" s="26">
        <v>121716</v>
      </c>
      <c r="N165" s="25"/>
      <c r="O165" s="1">
        <v>44516</v>
      </c>
      <c r="P165">
        <v>-15.493</v>
      </c>
      <c r="R165" s="1">
        <v>44516</v>
      </c>
      <c r="S165">
        <v>4.1349</v>
      </c>
      <c r="U165" s="1">
        <v>44516</v>
      </c>
      <c r="V165">
        <v>9.1115999999999993</v>
      </c>
      <c r="W165" s="26"/>
      <c r="BL165" s="1"/>
    </row>
    <row r="166" spans="9:64">
      <c r="I166" s="38">
        <v>45818</v>
      </c>
      <c r="J166">
        <v>29.58</v>
      </c>
      <c r="K166" s="26">
        <v>120266</v>
      </c>
      <c r="N166" s="25"/>
      <c r="O166" s="1">
        <v>44517</v>
      </c>
      <c r="P166">
        <v>-16.549299999999999</v>
      </c>
      <c r="R166" s="1">
        <v>44517</v>
      </c>
      <c r="S166">
        <v>4.1558000000000002</v>
      </c>
      <c r="U166" s="1">
        <v>44517</v>
      </c>
      <c r="V166">
        <v>8.6522000000000006</v>
      </c>
      <c r="W166" s="26"/>
      <c r="BL166" s="1"/>
    </row>
    <row r="167" spans="9:64">
      <c r="I167" s="38">
        <v>45819</v>
      </c>
      <c r="J167">
        <v>29.12</v>
      </c>
      <c r="K167" s="26">
        <v>111419</v>
      </c>
      <c r="N167" s="25"/>
      <c r="O167" s="1">
        <v>44518</v>
      </c>
      <c r="P167">
        <v>-17.1831</v>
      </c>
      <c r="R167" s="1">
        <v>44518</v>
      </c>
      <c r="S167">
        <v>3.9674</v>
      </c>
      <c r="U167" s="1">
        <v>44518</v>
      </c>
      <c r="V167">
        <v>2.6606000000000001</v>
      </c>
      <c r="W167" s="26"/>
      <c r="BL167" s="1"/>
    </row>
    <row r="168" spans="9:64">
      <c r="I168" s="38">
        <v>45820</v>
      </c>
      <c r="J168">
        <v>28.8</v>
      </c>
      <c r="K168" s="26">
        <v>153925</v>
      </c>
      <c r="N168" s="25"/>
      <c r="O168" s="1">
        <v>44519</v>
      </c>
      <c r="P168">
        <v>-18.380299999999998</v>
      </c>
      <c r="R168" s="1">
        <v>44519</v>
      </c>
      <c r="S168">
        <v>3.5716000000000001</v>
      </c>
      <c r="U168" s="1">
        <v>44519</v>
      </c>
      <c r="V168">
        <v>1.9332</v>
      </c>
      <c r="W168" s="26"/>
      <c r="BL168" s="1"/>
    </row>
    <row r="169" spans="9:64">
      <c r="I169" s="38">
        <v>45821</v>
      </c>
      <c r="J169">
        <v>28.36</v>
      </c>
      <c r="K169" s="26">
        <v>210762</v>
      </c>
      <c r="N169" s="25"/>
      <c r="O169" s="1">
        <v>44520</v>
      </c>
      <c r="P169">
        <v>-18.380299999999998</v>
      </c>
      <c r="R169" s="1">
        <v>44520</v>
      </c>
      <c r="S169">
        <v>3.5716000000000001</v>
      </c>
      <c r="U169" s="1">
        <v>44520</v>
      </c>
      <c r="V169">
        <v>1.9332</v>
      </c>
      <c r="W169" s="26"/>
      <c r="BL169" s="1"/>
    </row>
    <row r="170" spans="9:64">
      <c r="I170" s="38">
        <v>45822</v>
      </c>
      <c r="J170">
        <v>28.36</v>
      </c>
      <c r="K170" s="26">
        <v>210762</v>
      </c>
      <c r="N170" s="25"/>
      <c r="O170" s="1">
        <v>44521</v>
      </c>
      <c r="P170">
        <v>-18.380299999999998</v>
      </c>
      <c r="R170" s="1">
        <v>44521</v>
      </c>
      <c r="S170">
        <v>3.5716000000000001</v>
      </c>
      <c r="U170" s="1">
        <v>44521</v>
      </c>
      <c r="V170">
        <v>1.9332</v>
      </c>
      <c r="W170" s="26"/>
      <c r="BL170" s="1"/>
    </row>
    <row r="171" spans="9:64">
      <c r="I171" s="38">
        <v>45823</v>
      </c>
      <c r="J171">
        <v>28.36</v>
      </c>
      <c r="K171" s="26">
        <v>210762</v>
      </c>
      <c r="N171" s="25"/>
      <c r="O171" s="1">
        <v>44522</v>
      </c>
      <c r="P171">
        <v>-18.309899999999999</v>
      </c>
      <c r="R171" s="1">
        <v>44522</v>
      </c>
      <c r="S171">
        <v>3.2877999999999998</v>
      </c>
      <c r="U171" s="1">
        <v>44522</v>
      </c>
      <c r="V171">
        <v>4.5174000000000003</v>
      </c>
      <c r="W171" s="26"/>
      <c r="BL171" s="1"/>
    </row>
    <row r="172" spans="9:64">
      <c r="I172" s="38">
        <v>45824</v>
      </c>
      <c r="J172">
        <v>28.5</v>
      </c>
      <c r="K172" s="26">
        <v>155226</v>
      </c>
      <c r="N172" s="25"/>
      <c r="O172" s="1">
        <v>44523</v>
      </c>
      <c r="P172">
        <v>-20.070399999999999</v>
      </c>
      <c r="R172" s="1">
        <v>44523</v>
      </c>
      <c r="S172">
        <v>2.1425000000000001</v>
      </c>
      <c r="U172" s="1">
        <v>44523</v>
      </c>
      <c r="V172">
        <v>5.8574000000000002</v>
      </c>
      <c r="W172" s="26"/>
      <c r="BL172" s="1"/>
    </row>
    <row r="173" spans="9:64">
      <c r="I173" s="38">
        <v>45825</v>
      </c>
      <c r="J173">
        <v>27.98</v>
      </c>
      <c r="K173" s="26">
        <v>113619</v>
      </c>
      <c r="N173" s="25"/>
      <c r="O173" s="1">
        <v>44524</v>
      </c>
      <c r="P173">
        <v>-20.281700000000001</v>
      </c>
      <c r="R173" s="1">
        <v>44524</v>
      </c>
      <c r="S173">
        <v>1.7668999999999999</v>
      </c>
      <c r="U173" s="1">
        <v>44524</v>
      </c>
      <c r="V173">
        <v>6.3167999999999997</v>
      </c>
      <c r="W173" s="26"/>
      <c r="BL173" s="1"/>
    </row>
    <row r="174" spans="9:64">
      <c r="I174" s="38">
        <v>45826</v>
      </c>
      <c r="J174">
        <v>27.8</v>
      </c>
      <c r="K174" s="26">
        <v>290578</v>
      </c>
      <c r="N174" s="25"/>
      <c r="O174" s="1">
        <v>44525</v>
      </c>
      <c r="P174">
        <v>-21.549299999999999</v>
      </c>
      <c r="R174" s="1">
        <v>44525</v>
      </c>
      <c r="S174">
        <v>2.0206</v>
      </c>
      <c r="U174" s="1">
        <v>44525</v>
      </c>
      <c r="V174">
        <v>6.3167999999999997</v>
      </c>
      <c r="W174" s="26"/>
      <c r="BL174" s="1"/>
    </row>
    <row r="175" spans="9:64">
      <c r="I175" s="38">
        <v>45827</v>
      </c>
      <c r="J175">
        <v>27.24</v>
      </c>
      <c r="K175" s="26">
        <v>199728</v>
      </c>
      <c r="N175" s="25"/>
      <c r="O175" s="1">
        <v>44526</v>
      </c>
      <c r="P175">
        <v>-26.126799999999999</v>
      </c>
      <c r="R175" s="1">
        <v>44526</v>
      </c>
      <c r="S175">
        <v>-2.2153999999999998</v>
      </c>
      <c r="U175" s="1">
        <v>44526</v>
      </c>
      <c r="V175">
        <v>4.6513999999999998</v>
      </c>
      <c r="W175" s="26"/>
      <c r="BL175" s="1"/>
    </row>
    <row r="176" spans="9:64">
      <c r="I176" s="38">
        <v>45828</v>
      </c>
      <c r="J176">
        <v>27.26</v>
      </c>
      <c r="K176" s="26">
        <v>636101</v>
      </c>
      <c r="N176" s="25"/>
      <c r="O176" s="1">
        <v>44527</v>
      </c>
      <c r="P176">
        <v>-26.126799999999999</v>
      </c>
      <c r="R176" s="1">
        <v>44527</v>
      </c>
      <c r="S176">
        <v>-2.2153999999999998</v>
      </c>
      <c r="U176" s="1">
        <v>44527</v>
      </c>
      <c r="V176">
        <v>4.6513999999999998</v>
      </c>
      <c r="W176" s="26"/>
      <c r="BL176" s="1"/>
    </row>
    <row r="177" spans="9:64">
      <c r="I177" s="38">
        <v>45829</v>
      </c>
      <c r="J177">
        <v>27.26</v>
      </c>
      <c r="K177" s="26">
        <v>636101</v>
      </c>
      <c r="N177" s="25"/>
      <c r="O177" s="1">
        <v>44528</v>
      </c>
      <c r="P177">
        <v>-26.126799999999999</v>
      </c>
      <c r="R177" s="1">
        <v>44528</v>
      </c>
      <c r="S177">
        <v>-2.2153999999999998</v>
      </c>
      <c r="U177" s="1">
        <v>44528</v>
      </c>
      <c r="V177">
        <v>4.6513999999999998</v>
      </c>
      <c r="W177" s="26"/>
      <c r="BL177" s="1"/>
    </row>
    <row r="178" spans="9:64">
      <c r="I178" s="38">
        <v>45830</v>
      </c>
      <c r="J178">
        <v>27.26</v>
      </c>
      <c r="K178" s="26">
        <v>636101</v>
      </c>
      <c r="N178" s="25"/>
      <c r="O178" s="1">
        <v>44529</v>
      </c>
      <c r="P178">
        <v>-26.267600000000002</v>
      </c>
      <c r="R178" s="1">
        <v>44529</v>
      </c>
      <c r="S178">
        <v>-2.0628000000000002</v>
      </c>
      <c r="U178" s="1">
        <v>44529</v>
      </c>
      <c r="V178">
        <v>6.7378999999999998</v>
      </c>
      <c r="W178" s="26"/>
      <c r="BL178" s="1"/>
    </row>
    <row r="179" spans="9:64">
      <c r="I179" s="38">
        <v>45831</v>
      </c>
      <c r="J179">
        <v>27.16</v>
      </c>
      <c r="K179" s="26">
        <v>184528</v>
      </c>
      <c r="N179" s="25"/>
      <c r="O179" s="1">
        <v>44530</v>
      </c>
      <c r="P179">
        <v>-26.7606</v>
      </c>
      <c r="R179" s="1">
        <v>44530</v>
      </c>
      <c r="S179">
        <v>-3.2210999999999999</v>
      </c>
      <c r="U179" s="1">
        <v>44530</v>
      </c>
      <c r="V179">
        <v>4.9767999999999999</v>
      </c>
      <c r="W179" s="26"/>
      <c r="BL179" s="1"/>
    </row>
    <row r="180" spans="9:64">
      <c r="I180" s="38">
        <v>45832</v>
      </c>
      <c r="J180">
        <v>27.72</v>
      </c>
      <c r="K180" s="26">
        <v>308258</v>
      </c>
      <c r="N180" s="25"/>
      <c r="O180" s="1">
        <v>44531</v>
      </c>
      <c r="P180">
        <v>-25.633800000000001</v>
      </c>
      <c r="R180" s="1">
        <v>44531</v>
      </c>
      <c r="S180">
        <v>-0.83340000000000003</v>
      </c>
      <c r="U180" s="1">
        <v>44531</v>
      </c>
      <c r="V180">
        <v>5.3404999999999996</v>
      </c>
      <c r="W180" s="26"/>
      <c r="BL180" s="1"/>
    </row>
    <row r="181" spans="9:64">
      <c r="I181" s="38">
        <v>45833</v>
      </c>
      <c r="J181">
        <v>27.54</v>
      </c>
      <c r="K181" s="26">
        <v>136050</v>
      </c>
      <c r="N181" s="25"/>
      <c r="O181" s="1">
        <v>44532</v>
      </c>
      <c r="P181">
        <v>-28.098600000000001</v>
      </c>
      <c r="R181" s="1">
        <v>44532</v>
      </c>
      <c r="S181">
        <v>-2.1764999999999999</v>
      </c>
      <c r="U181" s="1">
        <v>44532</v>
      </c>
      <c r="V181">
        <v>7.4844999999999997</v>
      </c>
      <c r="W181" s="26"/>
      <c r="BL181" s="1"/>
    </row>
    <row r="182" spans="9:64">
      <c r="I182" s="38">
        <v>45834</v>
      </c>
      <c r="J182">
        <v>26.36</v>
      </c>
      <c r="K182" s="26">
        <v>544803</v>
      </c>
      <c r="N182" s="25"/>
      <c r="O182" s="1">
        <v>44533</v>
      </c>
      <c r="P182">
        <v>-29.859200000000001</v>
      </c>
      <c r="R182" s="1">
        <v>44533</v>
      </c>
      <c r="S182">
        <v>-2.7734000000000001</v>
      </c>
      <c r="U182" s="1">
        <v>44533</v>
      </c>
      <c r="V182">
        <v>7.6375999999999999</v>
      </c>
      <c r="W182" s="26"/>
      <c r="BL182" s="1"/>
    </row>
    <row r="183" spans="9:64">
      <c r="I183" s="38">
        <v>45835</v>
      </c>
      <c r="J183">
        <v>27.34</v>
      </c>
      <c r="K183" s="26">
        <v>242136</v>
      </c>
      <c r="N183" s="25"/>
      <c r="O183" s="1">
        <v>44534</v>
      </c>
      <c r="P183">
        <v>-29.859200000000001</v>
      </c>
      <c r="R183" s="1">
        <v>44534</v>
      </c>
      <c r="S183">
        <v>-2.7734000000000001</v>
      </c>
      <c r="U183" s="1">
        <v>44534</v>
      </c>
      <c r="V183">
        <v>7.6375999999999999</v>
      </c>
      <c r="W183" s="26"/>
      <c r="BL183" s="1"/>
    </row>
    <row r="184" spans="9:64">
      <c r="I184" s="38">
        <v>45836</v>
      </c>
      <c r="J184">
        <v>27.34</v>
      </c>
      <c r="K184" s="26">
        <v>242136</v>
      </c>
      <c r="N184" s="25"/>
      <c r="O184" s="1">
        <v>44535</v>
      </c>
      <c r="P184">
        <v>-29.859200000000001</v>
      </c>
      <c r="R184" s="1">
        <v>44535</v>
      </c>
      <c r="S184">
        <v>-2.7734000000000001</v>
      </c>
      <c r="U184" s="1">
        <v>44535</v>
      </c>
      <c r="V184">
        <v>7.6375999999999999</v>
      </c>
      <c r="W184" s="26"/>
      <c r="BL184" s="1"/>
    </row>
    <row r="185" spans="9:64">
      <c r="I185" s="38">
        <v>45837</v>
      </c>
      <c r="J185">
        <v>27.34</v>
      </c>
      <c r="K185" s="26">
        <v>242136</v>
      </c>
      <c r="N185" s="25"/>
      <c r="O185" s="1">
        <v>44536</v>
      </c>
      <c r="P185">
        <v>-26.338000000000001</v>
      </c>
      <c r="R185" s="1">
        <v>44536</v>
      </c>
      <c r="S185">
        <v>-1.4222999999999999</v>
      </c>
      <c r="U185" s="1">
        <v>44536</v>
      </c>
      <c r="V185">
        <v>9.0350000000000001</v>
      </c>
      <c r="W185" s="26"/>
      <c r="BL185" s="1"/>
    </row>
    <row r="186" spans="9:64">
      <c r="I186" s="38">
        <v>45838</v>
      </c>
      <c r="J186">
        <v>27.52</v>
      </c>
      <c r="K186" s="26">
        <v>202371</v>
      </c>
      <c r="N186" s="25"/>
      <c r="O186" s="1">
        <v>44537</v>
      </c>
      <c r="P186">
        <v>-23.028199999999998</v>
      </c>
      <c r="R186" s="1">
        <v>44537</v>
      </c>
      <c r="S186">
        <v>1.3537999999999999</v>
      </c>
      <c r="U186" s="1">
        <v>44537</v>
      </c>
      <c r="V186">
        <v>11.179</v>
      </c>
      <c r="W186" s="26"/>
      <c r="BL186" s="1"/>
    </row>
    <row r="187" spans="9:64">
      <c r="I187" s="38">
        <v>45839</v>
      </c>
      <c r="J187">
        <v>27.72</v>
      </c>
      <c r="K187" s="26">
        <v>168989</v>
      </c>
      <c r="N187" s="25"/>
      <c r="O187" s="1">
        <v>44538</v>
      </c>
      <c r="P187">
        <v>-22.605599999999999</v>
      </c>
      <c r="R187" s="1">
        <v>44538</v>
      </c>
      <c r="S187">
        <v>0.54079999999999995</v>
      </c>
      <c r="U187" s="1">
        <v>44538</v>
      </c>
      <c r="V187">
        <v>9.1499000000000006</v>
      </c>
      <c r="W187" s="26"/>
      <c r="BL187" s="1"/>
    </row>
    <row r="188" spans="9:64">
      <c r="I188" s="38">
        <v>45840</v>
      </c>
      <c r="J188">
        <v>28.4</v>
      </c>
      <c r="K188" s="26">
        <v>372857</v>
      </c>
      <c r="N188" s="25"/>
      <c r="O188" s="1">
        <v>44539</v>
      </c>
      <c r="P188">
        <v>-23.380299999999998</v>
      </c>
      <c r="R188" s="1">
        <v>44539</v>
      </c>
      <c r="S188">
        <v>0.23430000000000001</v>
      </c>
      <c r="U188" s="1">
        <v>44539</v>
      </c>
      <c r="V188">
        <v>10.164400000000001</v>
      </c>
      <c r="W188" s="26"/>
      <c r="BL188" s="1"/>
    </row>
    <row r="189" spans="9:64">
      <c r="I189" s="38">
        <v>45841</v>
      </c>
      <c r="J189">
        <v>28.32</v>
      </c>
      <c r="K189" s="26">
        <v>146985</v>
      </c>
      <c r="N189" s="25"/>
      <c r="O189" s="1">
        <v>44540</v>
      </c>
      <c r="P189">
        <v>-24.718299999999999</v>
      </c>
      <c r="R189" s="1">
        <v>44540</v>
      </c>
      <c r="S189">
        <v>0.13200000000000001</v>
      </c>
      <c r="U189" s="1">
        <v>44540</v>
      </c>
      <c r="V189">
        <v>13.4186</v>
      </c>
      <c r="W189" s="26"/>
      <c r="BL189" s="1"/>
    </row>
    <row r="190" spans="9:64">
      <c r="I190" s="38">
        <v>45842</v>
      </c>
      <c r="J190">
        <v>28.1</v>
      </c>
      <c r="K190" s="26">
        <v>111408</v>
      </c>
      <c r="N190" s="25"/>
      <c r="O190" s="1">
        <v>44541</v>
      </c>
      <c r="P190">
        <v>-24.718299999999999</v>
      </c>
      <c r="R190" s="1">
        <v>44541</v>
      </c>
      <c r="S190">
        <v>0.13200000000000001</v>
      </c>
      <c r="U190" s="1">
        <v>44541</v>
      </c>
      <c r="V190">
        <v>13.4186</v>
      </c>
      <c r="W190" s="26"/>
      <c r="BL190" s="1"/>
    </row>
    <row r="191" spans="9:64">
      <c r="I191" s="38">
        <v>45843</v>
      </c>
      <c r="J191">
        <v>28.1</v>
      </c>
      <c r="K191" s="26">
        <v>111408</v>
      </c>
      <c r="N191" s="25"/>
      <c r="O191" s="1">
        <v>44542</v>
      </c>
      <c r="P191">
        <v>-24.718299999999999</v>
      </c>
      <c r="R191" s="1">
        <v>44542</v>
      </c>
      <c r="S191">
        <v>0.13200000000000001</v>
      </c>
      <c r="U191" s="1">
        <v>44542</v>
      </c>
      <c r="V191">
        <v>13.4186</v>
      </c>
      <c r="W191" s="26"/>
      <c r="BL191" s="1"/>
    </row>
    <row r="192" spans="9:64">
      <c r="I192" s="38">
        <v>45844</v>
      </c>
      <c r="J192">
        <v>28.1</v>
      </c>
      <c r="K192" s="26">
        <v>111408</v>
      </c>
      <c r="N192" s="25"/>
      <c r="O192" s="1">
        <v>44543</v>
      </c>
      <c r="P192">
        <v>-25.211300000000001</v>
      </c>
      <c r="R192" s="1">
        <v>44543</v>
      </c>
      <c r="S192">
        <v>0.12180000000000001</v>
      </c>
      <c r="U192" s="1">
        <v>44543</v>
      </c>
      <c r="V192">
        <v>12.1935</v>
      </c>
      <c r="W192" s="26"/>
      <c r="BL192" s="1"/>
    </row>
    <row r="193" spans="9:64">
      <c r="I193" s="38">
        <v>45845</v>
      </c>
      <c r="J193">
        <v>28.76</v>
      </c>
      <c r="K193" s="26">
        <v>123277</v>
      </c>
      <c r="N193" s="25"/>
      <c r="O193" s="1">
        <v>44544</v>
      </c>
      <c r="P193">
        <v>-26.267600000000002</v>
      </c>
      <c r="R193" s="1">
        <v>44544</v>
      </c>
      <c r="S193">
        <v>-0.95589999999999997</v>
      </c>
      <c r="U193" s="1">
        <v>44544</v>
      </c>
      <c r="V193">
        <v>10.585599999999999</v>
      </c>
      <c r="W193" s="26"/>
      <c r="BL193" s="1"/>
    </row>
    <row r="194" spans="9:64">
      <c r="I194" s="38">
        <v>45846</v>
      </c>
      <c r="J194">
        <v>29.48</v>
      </c>
      <c r="K194" s="26">
        <v>301598</v>
      </c>
      <c r="N194" s="25"/>
      <c r="O194" s="1">
        <v>44545</v>
      </c>
      <c r="P194">
        <v>-26.126799999999999</v>
      </c>
      <c r="R194" s="1">
        <v>44545</v>
      </c>
      <c r="S194">
        <v>-0.80989999999999995</v>
      </c>
      <c r="U194" s="1">
        <v>44545</v>
      </c>
      <c r="V194">
        <v>14.7203</v>
      </c>
      <c r="W194" s="26"/>
      <c r="BL194" s="1"/>
    </row>
    <row r="195" spans="9:64">
      <c r="I195" s="38">
        <v>45847</v>
      </c>
      <c r="J195">
        <v>30.32</v>
      </c>
      <c r="K195" s="26">
        <v>353052</v>
      </c>
      <c r="N195" s="25"/>
      <c r="O195" s="1">
        <v>44546</v>
      </c>
      <c r="P195">
        <v>-24.366199999999999</v>
      </c>
      <c r="R195" s="1">
        <v>44546</v>
      </c>
      <c r="S195">
        <v>0.21590000000000001</v>
      </c>
      <c r="U195" s="1">
        <v>44546</v>
      </c>
      <c r="V195">
        <v>15.447699999999999</v>
      </c>
      <c r="W195" s="26"/>
      <c r="BL195" s="1"/>
    </row>
    <row r="196" spans="9:64">
      <c r="I196" s="38">
        <v>45848</v>
      </c>
      <c r="J196">
        <v>30.84</v>
      </c>
      <c r="K196" s="26">
        <v>221178</v>
      </c>
      <c r="N196" s="25"/>
      <c r="O196" s="1">
        <v>44547</v>
      </c>
      <c r="P196">
        <v>-24.2958</v>
      </c>
      <c r="R196" s="1">
        <v>44547</v>
      </c>
      <c r="S196">
        <v>-0.45519999999999999</v>
      </c>
      <c r="U196" s="1">
        <v>44547</v>
      </c>
      <c r="V196">
        <v>15.7349</v>
      </c>
      <c r="W196" s="26"/>
      <c r="BL196" s="1"/>
    </row>
    <row r="197" spans="9:64">
      <c r="I197" s="38">
        <v>45849</v>
      </c>
      <c r="J197">
        <v>29.96</v>
      </c>
      <c r="K197" s="26">
        <v>99450</v>
      </c>
      <c r="N197" s="25"/>
      <c r="O197" s="1">
        <v>44548</v>
      </c>
      <c r="P197">
        <v>-24.2958</v>
      </c>
      <c r="R197" s="1">
        <v>44548</v>
      </c>
      <c r="S197">
        <v>-0.45519999999999999</v>
      </c>
      <c r="U197" s="1">
        <v>44548</v>
      </c>
      <c r="V197">
        <v>15.7349</v>
      </c>
      <c r="W197" s="26"/>
      <c r="BL197" s="1"/>
    </row>
    <row r="198" spans="9:64">
      <c r="I198" s="38">
        <v>45850</v>
      </c>
      <c r="J198">
        <v>29.96</v>
      </c>
      <c r="K198" s="26">
        <v>99450</v>
      </c>
      <c r="N198" s="25"/>
      <c r="O198" s="1">
        <v>44549</v>
      </c>
      <c r="P198">
        <v>-24.2958</v>
      </c>
      <c r="R198" s="1">
        <v>44549</v>
      </c>
      <c r="S198">
        <v>-0.45519999999999999</v>
      </c>
      <c r="U198" s="1">
        <v>44549</v>
      </c>
      <c r="V198">
        <v>15.7349</v>
      </c>
      <c r="W198" s="26"/>
      <c r="BL198" s="1"/>
    </row>
    <row r="199" spans="9:64">
      <c r="I199" s="38">
        <v>45851</v>
      </c>
      <c r="J199">
        <v>29.96</v>
      </c>
      <c r="K199" s="26">
        <v>99450</v>
      </c>
      <c r="N199" s="25"/>
      <c r="O199" s="1">
        <v>44550</v>
      </c>
      <c r="P199">
        <v>-26.267600000000002</v>
      </c>
      <c r="R199" s="1">
        <v>44550</v>
      </c>
      <c r="S199">
        <v>-2.3268</v>
      </c>
      <c r="U199" s="1">
        <v>44550</v>
      </c>
      <c r="V199">
        <v>15.5434</v>
      </c>
      <c r="W199" s="26"/>
      <c r="BL199" s="1"/>
    </row>
    <row r="200" spans="9:64">
      <c r="I200" s="38">
        <v>45852</v>
      </c>
      <c r="J200">
        <v>29.32</v>
      </c>
      <c r="K200" s="26">
        <v>110168</v>
      </c>
      <c r="N200" s="25"/>
      <c r="O200" s="1">
        <v>44551</v>
      </c>
      <c r="P200">
        <v>-25.070399999999999</v>
      </c>
      <c r="R200" s="1">
        <v>44551</v>
      </c>
      <c r="S200">
        <v>-0.99509999999999998</v>
      </c>
      <c r="U200" s="1">
        <v>44551</v>
      </c>
      <c r="V200">
        <v>16.826000000000001</v>
      </c>
      <c r="W200" s="26"/>
      <c r="BL200" s="1"/>
    </row>
    <row r="201" spans="9:64">
      <c r="I201" s="38">
        <v>45853</v>
      </c>
      <c r="J201">
        <v>30</v>
      </c>
      <c r="K201" s="26">
        <v>224589</v>
      </c>
      <c r="N201" s="25"/>
      <c r="O201" s="1">
        <v>44552</v>
      </c>
      <c r="P201">
        <v>-23.873200000000001</v>
      </c>
      <c r="R201" s="1">
        <v>44552</v>
      </c>
      <c r="S201">
        <v>-5.9200000000000003E-2</v>
      </c>
      <c r="U201" s="1">
        <v>44552</v>
      </c>
      <c r="V201">
        <v>17.783100000000001</v>
      </c>
      <c r="W201" s="26"/>
      <c r="BL201" s="1"/>
    </row>
    <row r="202" spans="9:64">
      <c r="I202" s="38">
        <v>45854</v>
      </c>
      <c r="J202">
        <v>29.58</v>
      </c>
      <c r="K202" s="26">
        <v>115752</v>
      </c>
      <c r="N202" s="25"/>
      <c r="O202" s="1">
        <v>44553</v>
      </c>
      <c r="P202">
        <v>-22.323899999999998</v>
      </c>
      <c r="R202" s="1">
        <v>44553</v>
      </c>
      <c r="S202">
        <v>0.98440000000000005</v>
      </c>
      <c r="U202" s="1">
        <v>44553</v>
      </c>
      <c r="V202">
        <v>19.218800000000002</v>
      </c>
      <c r="W202" s="26"/>
      <c r="BL202" s="1"/>
    </row>
    <row r="203" spans="9:64">
      <c r="I203" s="38">
        <v>45855</v>
      </c>
      <c r="J203">
        <v>29.52</v>
      </c>
      <c r="K203" s="26">
        <v>95390</v>
      </c>
      <c r="N203" s="25"/>
      <c r="O203" s="1">
        <v>44554</v>
      </c>
      <c r="P203">
        <v>-22.323899999999998</v>
      </c>
      <c r="R203" s="1">
        <v>44554</v>
      </c>
      <c r="S203">
        <v>0.98440000000000005</v>
      </c>
      <c r="U203" s="1">
        <v>44554</v>
      </c>
      <c r="V203">
        <v>19.218800000000002</v>
      </c>
      <c r="W203" s="26"/>
      <c r="BL203" s="1"/>
    </row>
    <row r="204" spans="9:64">
      <c r="I204" s="38">
        <v>45856</v>
      </c>
      <c r="J204">
        <v>29.44</v>
      </c>
      <c r="K204" s="26">
        <v>151237</v>
      </c>
      <c r="N204" s="25"/>
      <c r="O204" s="1">
        <v>44555</v>
      </c>
      <c r="P204">
        <v>-22.323899999999998</v>
      </c>
      <c r="R204" s="1">
        <v>44555</v>
      </c>
      <c r="S204">
        <v>0.98440000000000005</v>
      </c>
      <c r="U204" s="1">
        <v>44555</v>
      </c>
      <c r="V204">
        <v>19.218800000000002</v>
      </c>
      <c r="W204" s="26"/>
      <c r="BL204" s="1"/>
    </row>
    <row r="205" spans="9:64">
      <c r="I205" s="38">
        <v>45857</v>
      </c>
      <c r="J205">
        <v>29.44</v>
      </c>
      <c r="K205" s="26">
        <v>151237</v>
      </c>
      <c r="N205" s="25"/>
      <c r="O205" s="1">
        <v>44556</v>
      </c>
      <c r="P205">
        <v>-22.323899999999998</v>
      </c>
      <c r="R205" s="1">
        <v>44556</v>
      </c>
      <c r="S205">
        <v>0.98440000000000005</v>
      </c>
      <c r="U205" s="1">
        <v>44556</v>
      </c>
      <c r="V205">
        <v>19.218800000000002</v>
      </c>
      <c r="W205" s="26"/>
      <c r="BL205" s="1"/>
    </row>
    <row r="206" spans="9:64">
      <c r="I206" s="38">
        <v>45858</v>
      </c>
      <c r="J206">
        <v>29.44</v>
      </c>
      <c r="K206" s="26">
        <v>151237</v>
      </c>
      <c r="N206" s="25"/>
      <c r="O206" s="1">
        <v>44557</v>
      </c>
      <c r="P206">
        <v>-21.619700000000002</v>
      </c>
      <c r="R206" s="1">
        <v>44557</v>
      </c>
      <c r="S206">
        <v>1.4903999999999999</v>
      </c>
      <c r="U206" s="1">
        <v>44557</v>
      </c>
      <c r="V206">
        <v>21.401</v>
      </c>
      <c r="W206" s="26"/>
      <c r="BL206" s="1"/>
    </row>
    <row r="207" spans="9:64">
      <c r="I207" s="38">
        <v>45859</v>
      </c>
      <c r="J207">
        <v>30.16</v>
      </c>
      <c r="K207" s="26">
        <v>141538</v>
      </c>
      <c r="N207" s="25"/>
      <c r="O207" s="1">
        <v>44558</v>
      </c>
      <c r="P207">
        <v>-20.7042</v>
      </c>
      <c r="R207" s="1">
        <v>44558</v>
      </c>
      <c r="S207">
        <v>2.3136000000000001</v>
      </c>
      <c r="U207" s="1">
        <v>44558</v>
      </c>
      <c r="V207">
        <v>21.611599999999999</v>
      </c>
      <c r="W207" s="26"/>
      <c r="BL207" s="1"/>
    </row>
    <row r="208" spans="9:64">
      <c r="I208" s="38">
        <v>45860</v>
      </c>
      <c r="J208">
        <v>30.34</v>
      </c>
      <c r="K208" s="26">
        <v>127904</v>
      </c>
      <c r="N208" s="25"/>
      <c r="O208" s="1">
        <v>44559</v>
      </c>
      <c r="P208">
        <v>-21.478899999999999</v>
      </c>
      <c r="R208" s="1">
        <v>44559</v>
      </c>
      <c r="S208">
        <v>1.5992999999999999</v>
      </c>
      <c r="U208" s="1">
        <v>44559</v>
      </c>
      <c r="V208">
        <v>22.434699999999999</v>
      </c>
      <c r="W208" s="26"/>
      <c r="BL208" s="1"/>
    </row>
    <row r="209" spans="9:64">
      <c r="I209" s="38">
        <v>45861</v>
      </c>
      <c r="J209">
        <v>32.659999999999997</v>
      </c>
      <c r="K209" s="26">
        <v>430190</v>
      </c>
      <c r="N209" s="25"/>
      <c r="O209" s="1">
        <v>44560</v>
      </c>
      <c r="P209">
        <v>-22.042300000000001</v>
      </c>
      <c r="R209" s="1">
        <v>44560</v>
      </c>
      <c r="S209">
        <v>1.8083</v>
      </c>
      <c r="U209" s="1">
        <v>44560</v>
      </c>
      <c r="V209">
        <v>21.783799999999999</v>
      </c>
      <c r="W209" s="26"/>
      <c r="BL209" s="1"/>
    </row>
    <row r="210" spans="9:64">
      <c r="I210" s="38">
        <v>45862</v>
      </c>
      <c r="J210">
        <v>32.979999999999997</v>
      </c>
      <c r="K210" s="26">
        <v>353643</v>
      </c>
      <c r="N210" s="25"/>
      <c r="O210" s="1">
        <v>44561</v>
      </c>
      <c r="P210">
        <v>-22.042300000000001</v>
      </c>
      <c r="R210" s="1">
        <v>44561</v>
      </c>
      <c r="S210">
        <v>1.8083</v>
      </c>
      <c r="U210" s="1">
        <v>44561</v>
      </c>
      <c r="V210">
        <v>21.305299999999999</v>
      </c>
      <c r="W210" s="26"/>
      <c r="BL210" s="1"/>
    </row>
    <row r="211" spans="9:64">
      <c r="I211" s="38">
        <v>45863</v>
      </c>
      <c r="J211">
        <v>31.62</v>
      </c>
      <c r="K211" s="26">
        <v>680380</v>
      </c>
      <c r="N211" s="25"/>
      <c r="O211" s="1">
        <v>44562</v>
      </c>
      <c r="P211">
        <v>-22.042300000000001</v>
      </c>
      <c r="R211" s="1">
        <v>44562</v>
      </c>
      <c r="S211">
        <v>1.8083</v>
      </c>
      <c r="U211" s="1">
        <v>44562</v>
      </c>
      <c r="V211">
        <v>21.305299999999999</v>
      </c>
      <c r="W211" s="26"/>
      <c r="BL211" s="1"/>
    </row>
    <row r="212" spans="9:64">
      <c r="I212" s="38">
        <v>45864</v>
      </c>
      <c r="J212">
        <v>31.62</v>
      </c>
      <c r="K212" s="26">
        <v>680380</v>
      </c>
      <c r="N212" s="25"/>
      <c r="O212" s="1">
        <v>44563</v>
      </c>
      <c r="P212">
        <v>-22.042300000000001</v>
      </c>
      <c r="R212" s="1">
        <v>44563</v>
      </c>
      <c r="S212">
        <v>1.8083</v>
      </c>
      <c r="U212" s="1">
        <v>44563</v>
      </c>
      <c r="V212">
        <v>21.305299999999999</v>
      </c>
      <c r="W212" s="26"/>
      <c r="BL212" s="1"/>
    </row>
    <row r="213" spans="9:64">
      <c r="I213" s="38">
        <v>45865</v>
      </c>
      <c r="J213">
        <v>31.62</v>
      </c>
      <c r="K213" s="26">
        <v>680380</v>
      </c>
      <c r="N213" s="25"/>
      <c r="O213" s="1">
        <v>44564</v>
      </c>
      <c r="P213">
        <v>-21.126799999999999</v>
      </c>
      <c r="R213" s="1">
        <v>44564</v>
      </c>
      <c r="S213">
        <v>2.6791</v>
      </c>
      <c r="U213" s="1">
        <v>44564</v>
      </c>
      <c r="V213">
        <v>20.903300000000002</v>
      </c>
      <c r="W213" s="26"/>
      <c r="BL213" s="1"/>
    </row>
    <row r="214" spans="9:64">
      <c r="I214" s="38">
        <v>45866</v>
      </c>
      <c r="J214">
        <v>30.08</v>
      </c>
      <c r="K214" s="26">
        <v>328139</v>
      </c>
      <c r="N214" s="25"/>
      <c r="O214" s="1">
        <v>44565</v>
      </c>
      <c r="P214">
        <v>-19.014099999999999</v>
      </c>
      <c r="R214" s="1">
        <v>44565</v>
      </c>
      <c r="S214">
        <v>3.5244</v>
      </c>
      <c r="U214" s="1">
        <v>44565</v>
      </c>
      <c r="V214">
        <v>17.955400000000001</v>
      </c>
      <c r="W214" s="26"/>
      <c r="BL214" s="1"/>
    </row>
    <row r="215" spans="9:64">
      <c r="I215" s="38">
        <v>45867</v>
      </c>
      <c r="J215">
        <v>30.5</v>
      </c>
      <c r="K215" s="26">
        <v>168529</v>
      </c>
      <c r="N215" s="25"/>
      <c r="O215" s="1">
        <v>44566</v>
      </c>
      <c r="P215">
        <v>-18.2394</v>
      </c>
      <c r="R215" s="1">
        <v>44566</v>
      </c>
      <c r="S215">
        <v>4.2880000000000003</v>
      </c>
      <c r="U215" s="1">
        <v>44566</v>
      </c>
      <c r="V215">
        <v>16.087299999999999</v>
      </c>
      <c r="W215" s="26"/>
      <c r="BL215" s="1"/>
    </row>
    <row r="216" spans="9:64">
      <c r="I216" s="38">
        <v>45868</v>
      </c>
      <c r="J216">
        <v>30.04</v>
      </c>
      <c r="K216" s="26">
        <v>141494</v>
      </c>
      <c r="N216" s="25"/>
      <c r="O216" s="1">
        <v>44567</v>
      </c>
      <c r="P216">
        <v>-18.802800000000001</v>
      </c>
      <c r="R216" s="1">
        <v>44567</v>
      </c>
      <c r="S216">
        <v>2.8797999999999999</v>
      </c>
      <c r="U216" s="1">
        <v>44567</v>
      </c>
      <c r="V216">
        <v>17.319900000000001</v>
      </c>
      <c r="W216" s="26"/>
      <c r="BL216" s="1"/>
    </row>
    <row r="217" spans="9:64">
      <c r="I217" s="38">
        <v>45869</v>
      </c>
      <c r="J217">
        <v>30.14</v>
      </c>
      <c r="K217" s="26">
        <v>132827</v>
      </c>
      <c r="N217" s="25"/>
      <c r="O217" s="1">
        <v>44568</v>
      </c>
      <c r="P217">
        <v>-20.070399999999999</v>
      </c>
      <c r="R217" s="1">
        <v>44568</v>
      </c>
      <c r="S217">
        <v>2.2113</v>
      </c>
      <c r="U217" s="1">
        <v>44568</v>
      </c>
      <c r="V217">
        <v>17.724299999999999</v>
      </c>
      <c r="W217" s="26"/>
      <c r="BL217" s="1"/>
    </row>
    <row r="218" spans="9:64">
      <c r="I218" s="38">
        <v>45870</v>
      </c>
      <c r="J218">
        <v>29.42</v>
      </c>
      <c r="K218" s="26">
        <v>269376</v>
      </c>
      <c r="N218" s="25"/>
      <c r="O218" s="1">
        <v>44569</v>
      </c>
      <c r="P218">
        <v>-20.070399999999999</v>
      </c>
      <c r="R218" s="1">
        <v>44569</v>
      </c>
      <c r="S218">
        <v>2.2113</v>
      </c>
      <c r="U218" s="1">
        <v>44569</v>
      </c>
      <c r="V218">
        <v>17.724299999999999</v>
      </c>
      <c r="W218" s="26"/>
      <c r="BL218" s="1"/>
    </row>
    <row r="219" spans="9:64">
      <c r="I219" s="38">
        <v>45871</v>
      </c>
      <c r="J219">
        <v>29.42</v>
      </c>
      <c r="K219" s="26">
        <v>269376</v>
      </c>
      <c r="N219" s="25"/>
      <c r="O219" s="1">
        <v>44570</v>
      </c>
      <c r="P219">
        <v>-20.070399999999999</v>
      </c>
      <c r="R219" s="1">
        <v>44570</v>
      </c>
      <c r="S219">
        <v>2.2113</v>
      </c>
      <c r="U219" s="1">
        <v>44570</v>
      </c>
      <c r="V219">
        <v>17.724299999999999</v>
      </c>
      <c r="W219" s="26"/>
      <c r="BL219" s="1"/>
    </row>
    <row r="220" spans="9:64">
      <c r="I220" s="38">
        <v>45872</v>
      </c>
      <c r="J220">
        <v>29.42</v>
      </c>
      <c r="K220" s="26">
        <v>269376</v>
      </c>
      <c r="N220" s="25"/>
      <c r="O220" s="1">
        <v>44571</v>
      </c>
      <c r="P220">
        <v>-21.690100000000001</v>
      </c>
      <c r="R220" s="1">
        <v>44571</v>
      </c>
      <c r="S220">
        <v>1.0610999999999999</v>
      </c>
      <c r="U220" s="1">
        <v>44571</v>
      </c>
      <c r="V220">
        <v>19.053100000000001</v>
      </c>
      <c r="W220" s="26"/>
      <c r="BL220" s="1"/>
    </row>
    <row r="221" spans="9:64">
      <c r="I221" s="38">
        <v>45873</v>
      </c>
      <c r="J221">
        <v>29.32</v>
      </c>
      <c r="K221" s="26">
        <v>110077</v>
      </c>
      <c r="N221" s="25"/>
      <c r="O221" s="1">
        <v>44572</v>
      </c>
      <c r="P221">
        <v>-21.4085</v>
      </c>
      <c r="R221" s="1">
        <v>44572</v>
      </c>
      <c r="S221">
        <v>2.1732999999999998</v>
      </c>
      <c r="U221" s="1">
        <v>44572</v>
      </c>
      <c r="V221">
        <v>20.112300000000001</v>
      </c>
      <c r="W221" s="26"/>
      <c r="BL221" s="1"/>
    </row>
    <row r="222" spans="9:64">
      <c r="I222" s="38">
        <v>45874</v>
      </c>
      <c r="J222">
        <v>29.68</v>
      </c>
      <c r="K222" s="26">
        <v>102978</v>
      </c>
      <c r="N222" s="25"/>
      <c r="O222" s="1">
        <v>44573</v>
      </c>
      <c r="P222">
        <v>-18.802800000000001</v>
      </c>
      <c r="R222" s="1">
        <v>44573</v>
      </c>
      <c r="S222">
        <v>2.6124000000000001</v>
      </c>
      <c r="U222" s="1">
        <v>44573</v>
      </c>
      <c r="V222">
        <v>19.630800000000001</v>
      </c>
      <c r="W222" s="26"/>
      <c r="BL222" s="1"/>
    </row>
    <row r="223" spans="9:64">
      <c r="I223" s="38">
        <v>45875</v>
      </c>
      <c r="J223">
        <v>29.76</v>
      </c>
      <c r="K223" s="26">
        <v>74459</v>
      </c>
      <c r="N223" s="25"/>
      <c r="O223" s="1">
        <v>44574</v>
      </c>
      <c r="P223">
        <v>-17.676100000000002</v>
      </c>
      <c r="R223" s="1">
        <v>44574</v>
      </c>
      <c r="S223">
        <v>2.7488000000000001</v>
      </c>
      <c r="U223" s="1">
        <v>44574</v>
      </c>
      <c r="V223">
        <v>18.436800000000002</v>
      </c>
      <c r="W223" s="26"/>
      <c r="BL223" s="1"/>
    </row>
    <row r="224" spans="9:64">
      <c r="I224" s="38">
        <v>45876</v>
      </c>
      <c r="J224">
        <v>31</v>
      </c>
      <c r="K224" s="26">
        <v>170392</v>
      </c>
      <c r="N224" s="25"/>
      <c r="O224" s="1">
        <v>44575</v>
      </c>
      <c r="P224">
        <v>-18.661999999999999</v>
      </c>
      <c r="R224" s="1">
        <v>44575</v>
      </c>
      <c r="S224">
        <v>1.798</v>
      </c>
      <c r="U224" s="1">
        <v>44575</v>
      </c>
      <c r="V224">
        <v>18.167200000000001</v>
      </c>
      <c r="W224" s="26"/>
      <c r="BL224" s="1"/>
    </row>
    <row r="225" spans="9:64">
      <c r="I225" s="38">
        <v>45877</v>
      </c>
      <c r="J225">
        <v>31.88</v>
      </c>
      <c r="K225" s="26">
        <v>119948</v>
      </c>
      <c r="N225" s="25"/>
      <c r="O225" s="1">
        <v>44576</v>
      </c>
      <c r="P225">
        <v>-18.661999999999999</v>
      </c>
      <c r="R225" s="1">
        <v>44576</v>
      </c>
      <c r="S225">
        <v>1.798</v>
      </c>
      <c r="U225" s="1">
        <v>44576</v>
      </c>
      <c r="V225">
        <v>18.167200000000001</v>
      </c>
      <c r="W225" s="26"/>
      <c r="BL225" s="1"/>
    </row>
    <row r="226" spans="9:64">
      <c r="I226" s="38">
        <v>45878</v>
      </c>
      <c r="J226">
        <v>31.88</v>
      </c>
      <c r="K226" s="26">
        <v>119948</v>
      </c>
      <c r="N226" s="25"/>
      <c r="O226" s="1">
        <v>44577</v>
      </c>
      <c r="P226">
        <v>-18.661999999999999</v>
      </c>
      <c r="R226" s="1">
        <v>44577</v>
      </c>
      <c r="S226">
        <v>1.798</v>
      </c>
      <c r="U226" s="1">
        <v>44577</v>
      </c>
      <c r="V226">
        <v>18.167200000000001</v>
      </c>
      <c r="W226" s="26"/>
      <c r="BL226" s="1"/>
    </row>
    <row r="227" spans="9:64">
      <c r="I227" s="38">
        <v>45879</v>
      </c>
      <c r="J227">
        <v>31.88</v>
      </c>
      <c r="K227" s="26">
        <v>119948</v>
      </c>
      <c r="N227" s="25"/>
      <c r="O227" s="1">
        <v>44578</v>
      </c>
      <c r="P227">
        <v>-17.957699999999999</v>
      </c>
      <c r="R227" s="1">
        <v>44578</v>
      </c>
      <c r="S227">
        <v>2.1215000000000002</v>
      </c>
      <c r="U227" s="1">
        <v>44578</v>
      </c>
      <c r="V227">
        <v>18.167200000000001</v>
      </c>
      <c r="W227" s="26"/>
      <c r="BL227" s="1"/>
    </row>
    <row r="228" spans="9:64">
      <c r="I228" s="38">
        <v>45880</v>
      </c>
      <c r="J228">
        <v>31.56</v>
      </c>
      <c r="K228" s="26">
        <v>65333</v>
      </c>
      <c r="N228" s="25"/>
      <c r="O228" s="1">
        <v>44579</v>
      </c>
      <c r="P228">
        <v>-20.281700000000001</v>
      </c>
      <c r="R228" s="1">
        <v>44579</v>
      </c>
      <c r="S228">
        <v>1.0886</v>
      </c>
      <c r="U228" s="1">
        <v>44579</v>
      </c>
      <c r="V228">
        <v>15.0282</v>
      </c>
      <c r="W228" s="26"/>
      <c r="BL228" s="1"/>
    </row>
    <row r="229" spans="9:64">
      <c r="I229" s="38">
        <v>45881</v>
      </c>
      <c r="J229">
        <v>31.72</v>
      </c>
      <c r="K229" s="26">
        <v>131993</v>
      </c>
      <c r="N229" s="25"/>
      <c r="O229" s="1">
        <v>44580</v>
      </c>
      <c r="P229">
        <v>-18.5915</v>
      </c>
      <c r="R229" s="1">
        <v>44580</v>
      </c>
      <c r="S229">
        <v>1.3268</v>
      </c>
      <c r="U229" s="1">
        <v>44580</v>
      </c>
      <c r="V229">
        <v>13.4297</v>
      </c>
      <c r="W229" s="26"/>
      <c r="BL229" s="1"/>
    </row>
    <row r="230" spans="9:64">
      <c r="I230" s="38">
        <v>45882</v>
      </c>
      <c r="J230">
        <v>31.86</v>
      </c>
      <c r="K230" s="26">
        <v>112250</v>
      </c>
      <c r="N230" s="25"/>
      <c r="O230" s="1">
        <v>44581</v>
      </c>
      <c r="P230">
        <v>-19.154900000000001</v>
      </c>
      <c r="R230" s="1">
        <v>44581</v>
      </c>
      <c r="S230">
        <v>1.9843999999999999</v>
      </c>
      <c r="U230" s="1">
        <v>44581</v>
      </c>
      <c r="V230">
        <v>11.8506</v>
      </c>
      <c r="W230" s="26"/>
      <c r="BL230" s="1"/>
    </row>
    <row r="231" spans="9:64">
      <c r="I231" s="38">
        <v>45883</v>
      </c>
      <c r="J231">
        <v>31.98</v>
      </c>
      <c r="K231" s="26">
        <v>124756</v>
      </c>
      <c r="N231" s="25"/>
      <c r="O231" s="1">
        <v>44582</v>
      </c>
      <c r="P231">
        <v>-20.985900000000001</v>
      </c>
      <c r="R231" s="1">
        <v>44582</v>
      </c>
      <c r="S231">
        <v>7.4999999999999997E-3</v>
      </c>
      <c r="U231" s="1">
        <v>44582</v>
      </c>
      <c r="V231">
        <v>9.1545000000000005</v>
      </c>
      <c r="W231" s="26"/>
      <c r="BL231" s="1"/>
    </row>
    <row r="232" spans="9:64">
      <c r="I232" s="38">
        <v>45884</v>
      </c>
      <c r="J232">
        <v>31.76</v>
      </c>
      <c r="K232" s="26">
        <v>76420</v>
      </c>
      <c r="N232" s="25"/>
      <c r="O232" s="1">
        <v>44583</v>
      </c>
      <c r="P232">
        <v>-20.985900000000001</v>
      </c>
      <c r="R232" s="1">
        <v>44583</v>
      </c>
      <c r="S232">
        <v>7.4999999999999997E-3</v>
      </c>
      <c r="U232" s="1">
        <v>44583</v>
      </c>
      <c r="V232">
        <v>9.1545000000000005</v>
      </c>
      <c r="W232" s="26"/>
      <c r="BL232" s="1"/>
    </row>
    <row r="233" spans="9:64">
      <c r="I233" s="38">
        <v>45885</v>
      </c>
      <c r="J233">
        <v>31.76</v>
      </c>
      <c r="K233" s="26">
        <v>76420</v>
      </c>
      <c r="N233" s="25"/>
      <c r="O233" s="1">
        <v>44584</v>
      </c>
      <c r="P233">
        <v>-20.985900000000001</v>
      </c>
      <c r="R233" s="1">
        <v>44584</v>
      </c>
      <c r="S233">
        <v>7.4999999999999997E-3</v>
      </c>
      <c r="U233" s="1">
        <v>44584</v>
      </c>
      <c r="V233">
        <v>9.1545000000000005</v>
      </c>
      <c r="W233" s="26"/>
      <c r="BL233" s="1"/>
    </row>
    <row r="234" spans="9:64">
      <c r="I234" s="38">
        <v>45886</v>
      </c>
      <c r="J234">
        <v>31.76</v>
      </c>
      <c r="K234" s="26">
        <v>76420</v>
      </c>
      <c r="N234" s="25"/>
      <c r="O234" s="1">
        <v>44585</v>
      </c>
      <c r="P234">
        <v>-26.0563</v>
      </c>
      <c r="R234" s="1">
        <v>44585</v>
      </c>
      <c r="S234">
        <v>-3.7915000000000001</v>
      </c>
      <c r="U234" s="1">
        <v>44585</v>
      </c>
      <c r="V234">
        <v>9.5780999999999992</v>
      </c>
      <c r="W234" s="26"/>
      <c r="BL234" s="1"/>
    </row>
    <row r="235" spans="9:64">
      <c r="I235" s="38">
        <v>45887</v>
      </c>
      <c r="J235">
        <v>31.24</v>
      </c>
      <c r="K235" s="26">
        <v>55936</v>
      </c>
      <c r="N235" s="25"/>
      <c r="O235" s="1">
        <v>44586</v>
      </c>
      <c r="P235">
        <v>-25.7042</v>
      </c>
      <c r="R235" s="1">
        <v>44586</v>
      </c>
      <c r="S235">
        <v>-3.069</v>
      </c>
      <c r="U235" s="1">
        <v>44586</v>
      </c>
      <c r="V235">
        <v>8.0566999999999993</v>
      </c>
      <c r="W235" s="26"/>
      <c r="BL235" s="1"/>
    </row>
    <row r="236" spans="9:64">
      <c r="I236" s="38">
        <v>45888</v>
      </c>
      <c r="J236">
        <v>32</v>
      </c>
      <c r="K236" s="26">
        <v>65143</v>
      </c>
      <c r="N236" s="25"/>
      <c r="O236" s="1">
        <v>44587</v>
      </c>
      <c r="P236">
        <v>-24.2254</v>
      </c>
      <c r="R236" s="1">
        <v>44587</v>
      </c>
      <c r="S236">
        <v>-0.91859999999999997</v>
      </c>
      <c r="U236" s="1">
        <v>44587</v>
      </c>
      <c r="V236">
        <v>6.5545999999999998</v>
      </c>
      <c r="W236" s="26"/>
      <c r="BL236" s="1"/>
    </row>
    <row r="237" spans="9:64">
      <c r="I237" s="38">
        <v>45889</v>
      </c>
      <c r="J237">
        <v>31.58</v>
      </c>
      <c r="K237" s="26">
        <v>61239</v>
      </c>
      <c r="N237" s="25"/>
      <c r="O237" s="1">
        <v>44588</v>
      </c>
      <c r="P237">
        <v>-23.309899999999999</v>
      </c>
      <c r="R237" s="1">
        <v>44588</v>
      </c>
      <c r="S237">
        <v>-0.50270000000000004</v>
      </c>
      <c r="U237" s="1">
        <v>44588</v>
      </c>
      <c r="V237">
        <v>5.1872999999999996</v>
      </c>
      <c r="W237" s="26"/>
      <c r="BL237" s="1"/>
    </row>
    <row r="238" spans="9:64">
      <c r="I238" s="38">
        <v>45890</v>
      </c>
      <c r="J238">
        <v>31.4</v>
      </c>
      <c r="K238" s="26">
        <v>67095</v>
      </c>
      <c r="N238" s="25"/>
      <c r="O238" s="1">
        <v>44589</v>
      </c>
      <c r="P238">
        <v>-25.563400000000001</v>
      </c>
      <c r="R238" s="1">
        <v>44589</v>
      </c>
      <c r="S238">
        <v>-1.8187</v>
      </c>
      <c r="U238" s="1">
        <v>44589</v>
      </c>
      <c r="V238">
        <v>7.0937999999999999</v>
      </c>
      <c r="W238" s="26"/>
      <c r="BL238" s="1"/>
    </row>
    <row r="239" spans="9:64">
      <c r="I239" s="38">
        <v>45891</v>
      </c>
      <c r="J239">
        <v>32.700000000000003</v>
      </c>
      <c r="K239" s="26">
        <v>120661</v>
      </c>
      <c r="N239" s="25"/>
      <c r="O239" s="1">
        <v>44590</v>
      </c>
      <c r="P239">
        <v>-25.563400000000001</v>
      </c>
      <c r="R239" s="1">
        <v>44590</v>
      </c>
      <c r="S239">
        <v>-1.8187</v>
      </c>
      <c r="U239" s="1">
        <v>44590</v>
      </c>
      <c r="V239">
        <v>7.0937999999999999</v>
      </c>
      <c r="W239" s="26"/>
      <c r="BL239" s="1"/>
    </row>
    <row r="240" spans="9:64">
      <c r="I240" s="38">
        <v>45892</v>
      </c>
      <c r="J240">
        <v>32.700000000000003</v>
      </c>
      <c r="K240" s="26">
        <v>120661</v>
      </c>
      <c r="N240" s="25"/>
      <c r="O240" s="1">
        <v>44591</v>
      </c>
      <c r="P240">
        <v>-25.563400000000001</v>
      </c>
      <c r="R240" s="1">
        <v>44591</v>
      </c>
      <c r="S240">
        <v>-1.8187</v>
      </c>
      <c r="U240" s="1">
        <v>44591</v>
      </c>
      <c r="V240">
        <v>7.0937999999999999</v>
      </c>
      <c r="W240" s="26"/>
      <c r="BL240" s="1"/>
    </row>
    <row r="241" spans="9:64">
      <c r="I241" s="38">
        <v>45893</v>
      </c>
      <c r="J241">
        <v>32.700000000000003</v>
      </c>
      <c r="K241" s="26">
        <v>120661</v>
      </c>
      <c r="N241" s="25"/>
      <c r="O241" s="1">
        <v>44592</v>
      </c>
      <c r="P241">
        <v>-25.492999999999999</v>
      </c>
      <c r="R241" s="1">
        <v>44592</v>
      </c>
      <c r="S241">
        <v>-0.84289999999999998</v>
      </c>
      <c r="U241" s="1">
        <v>44592</v>
      </c>
      <c r="V241">
        <v>7.2093999999999996</v>
      </c>
      <c r="W241" s="26"/>
      <c r="BL241" s="1"/>
    </row>
    <row r="242" spans="9:64">
      <c r="I242" s="38">
        <v>45894</v>
      </c>
      <c r="J242">
        <v>32.42</v>
      </c>
      <c r="K242" s="26">
        <v>113995</v>
      </c>
      <c r="N242" s="25"/>
      <c r="O242" s="1">
        <v>44593</v>
      </c>
      <c r="P242">
        <v>-24.6479</v>
      </c>
      <c r="R242" s="1">
        <v>44593</v>
      </c>
      <c r="S242">
        <v>0.1069</v>
      </c>
      <c r="U242" s="1">
        <v>44593</v>
      </c>
      <c r="V242">
        <v>6.6317000000000004</v>
      </c>
      <c r="W242" s="26"/>
      <c r="BL242" s="1"/>
    </row>
    <row r="243" spans="9:64">
      <c r="I243" s="38">
        <v>45895</v>
      </c>
      <c r="J243">
        <v>32.119999999999997</v>
      </c>
      <c r="K243" s="26">
        <v>115659</v>
      </c>
      <c r="N243" s="25"/>
      <c r="O243" s="1">
        <v>44594</v>
      </c>
      <c r="P243">
        <v>-25.563400000000001</v>
      </c>
      <c r="R243" s="1">
        <v>44594</v>
      </c>
      <c r="S243">
        <v>7.0900000000000005E-2</v>
      </c>
      <c r="U243" s="1">
        <v>44594</v>
      </c>
      <c r="V243">
        <v>8.1722999999999999</v>
      </c>
      <c r="W243" s="26"/>
      <c r="BL243" s="1"/>
    </row>
    <row r="244" spans="9:64">
      <c r="I244" s="38">
        <v>45896</v>
      </c>
      <c r="J244">
        <v>31.8</v>
      </c>
      <c r="K244" s="26">
        <v>71790</v>
      </c>
      <c r="N244" s="25"/>
      <c r="O244" s="1">
        <v>44595</v>
      </c>
      <c r="P244">
        <v>-25.281700000000001</v>
      </c>
      <c r="R244" s="1">
        <v>44595</v>
      </c>
      <c r="S244">
        <v>-1.5013000000000001</v>
      </c>
      <c r="U244" s="1">
        <v>44595</v>
      </c>
      <c r="V244">
        <v>6.3042999999999996</v>
      </c>
      <c r="W244" s="26"/>
      <c r="BL244" s="1"/>
    </row>
    <row r="245" spans="9:64">
      <c r="I245" s="38">
        <v>45897</v>
      </c>
      <c r="J245">
        <v>31.7</v>
      </c>
      <c r="K245" s="26">
        <v>69933</v>
      </c>
      <c r="N245" s="25"/>
      <c r="O245" s="1">
        <v>44596</v>
      </c>
      <c r="P245">
        <v>-27.323899999999998</v>
      </c>
      <c r="R245" s="1">
        <v>44596</v>
      </c>
      <c r="S245">
        <v>-3.2248000000000001</v>
      </c>
      <c r="U245" s="1">
        <v>44596</v>
      </c>
      <c r="V245">
        <v>6.2080000000000002</v>
      </c>
      <c r="W245" s="26"/>
      <c r="BL245" s="1"/>
    </row>
    <row r="246" spans="9:64">
      <c r="I246" s="38">
        <v>45898</v>
      </c>
      <c r="J246">
        <v>31.6</v>
      </c>
      <c r="K246" s="26">
        <v>60339</v>
      </c>
      <c r="N246" s="25"/>
      <c r="O246" s="1">
        <v>44597</v>
      </c>
      <c r="P246">
        <v>-27.323899999999998</v>
      </c>
      <c r="R246" s="1">
        <v>44597</v>
      </c>
      <c r="S246">
        <v>-3.2248000000000001</v>
      </c>
      <c r="U246" s="1">
        <v>44597</v>
      </c>
      <c r="V246">
        <v>6.2080000000000002</v>
      </c>
      <c r="W246" s="26"/>
      <c r="BL246" s="1"/>
    </row>
    <row r="247" spans="9:64">
      <c r="I247" s="38">
        <v>45899</v>
      </c>
      <c r="J247">
        <v>31.6</v>
      </c>
      <c r="K247" s="26">
        <v>60339</v>
      </c>
      <c r="N247" s="25"/>
      <c r="O247" s="1">
        <v>44598</v>
      </c>
      <c r="P247">
        <v>-27.323899999999998</v>
      </c>
      <c r="R247" s="1">
        <v>44598</v>
      </c>
      <c r="S247">
        <v>-3.2248000000000001</v>
      </c>
      <c r="U247" s="1">
        <v>44598</v>
      </c>
      <c r="V247">
        <v>6.2080000000000002</v>
      </c>
      <c r="W247" s="26"/>
      <c r="BL247" s="1"/>
    </row>
    <row r="248" spans="9:64">
      <c r="I248" s="38">
        <v>45900</v>
      </c>
      <c r="J248">
        <v>31.6</v>
      </c>
      <c r="K248" s="26">
        <v>60339</v>
      </c>
      <c r="N248" s="25"/>
      <c r="O248" s="1">
        <v>44599</v>
      </c>
      <c r="P248">
        <v>-26.126799999999999</v>
      </c>
      <c r="R248" s="1">
        <v>44599</v>
      </c>
      <c r="S248">
        <v>-2.5385</v>
      </c>
      <c r="U248" s="1">
        <v>44599</v>
      </c>
      <c r="V248">
        <v>6.2465000000000002</v>
      </c>
      <c r="W248" s="26"/>
      <c r="BL248" s="1"/>
    </row>
    <row r="249" spans="9:64">
      <c r="I249" s="38">
        <v>45901</v>
      </c>
      <c r="J249">
        <v>31.44</v>
      </c>
      <c r="K249" s="26">
        <v>39004</v>
      </c>
      <c r="N249" s="25"/>
      <c r="O249" s="1">
        <v>44600</v>
      </c>
      <c r="P249">
        <v>-26.0563</v>
      </c>
      <c r="R249" s="1">
        <v>44600</v>
      </c>
      <c r="S249">
        <v>-2.3094000000000001</v>
      </c>
      <c r="U249" s="1">
        <v>44600</v>
      </c>
      <c r="V249">
        <v>6.5739000000000001</v>
      </c>
      <c r="W249" s="26"/>
      <c r="BL249" s="1"/>
    </row>
    <row r="250" spans="9:64">
      <c r="I250" s="38">
        <v>45902</v>
      </c>
      <c r="J250">
        <v>30.38</v>
      </c>
      <c r="K250" s="26">
        <v>153163</v>
      </c>
      <c r="N250" s="25"/>
      <c r="O250" s="1">
        <v>44601</v>
      </c>
      <c r="P250">
        <v>-23.2394</v>
      </c>
      <c r="R250" s="1">
        <v>44601</v>
      </c>
      <c r="S250">
        <v>-0.77359999999999995</v>
      </c>
      <c r="U250" s="1">
        <v>44601</v>
      </c>
      <c r="V250">
        <v>8.4033999999999995</v>
      </c>
      <c r="W250" s="26"/>
      <c r="BL250" s="1"/>
    </row>
    <row r="251" spans="9:64">
      <c r="I251" s="38">
        <v>45903</v>
      </c>
      <c r="J251">
        <v>29.9</v>
      </c>
      <c r="K251" s="26">
        <v>170661</v>
      </c>
      <c r="N251" s="25"/>
      <c r="O251" s="1">
        <v>44602</v>
      </c>
      <c r="P251">
        <v>-22.1831</v>
      </c>
      <c r="R251" s="1">
        <v>44602</v>
      </c>
      <c r="S251">
        <v>-0.71960000000000002</v>
      </c>
      <c r="U251" s="1">
        <v>44602</v>
      </c>
      <c r="V251">
        <v>5.6688000000000001</v>
      </c>
      <c r="W251" s="26"/>
      <c r="BL251" s="1"/>
    </row>
    <row r="252" spans="9:64">
      <c r="I252" s="38">
        <v>45904</v>
      </c>
      <c r="J252">
        <v>29.78</v>
      </c>
      <c r="K252" s="26">
        <v>286387</v>
      </c>
      <c r="N252" s="25"/>
      <c r="O252" s="1">
        <v>44603</v>
      </c>
      <c r="P252">
        <v>-24.436599999999999</v>
      </c>
      <c r="R252" s="1">
        <v>44603</v>
      </c>
      <c r="S252">
        <v>-1.1382000000000001</v>
      </c>
      <c r="U252" s="1">
        <v>44603</v>
      </c>
      <c r="V252">
        <v>3.8007</v>
      </c>
      <c r="W252" s="26"/>
      <c r="BL252" s="1"/>
    </row>
    <row r="253" spans="9:64">
      <c r="I253" s="38">
        <v>45905</v>
      </c>
      <c r="J253">
        <v>30.24</v>
      </c>
      <c r="K253" s="26">
        <v>190670</v>
      </c>
      <c r="N253" s="25"/>
      <c r="O253" s="1">
        <v>44604</v>
      </c>
      <c r="P253">
        <v>-24.436599999999999</v>
      </c>
      <c r="R253" s="1">
        <v>44604</v>
      </c>
      <c r="S253">
        <v>-1.1382000000000001</v>
      </c>
      <c r="U253" s="1">
        <v>44604</v>
      </c>
      <c r="V253">
        <v>3.8007</v>
      </c>
      <c r="W253" s="26"/>
      <c r="BL253" s="1"/>
    </row>
    <row r="254" spans="9:64">
      <c r="I254" s="38">
        <v>45906</v>
      </c>
      <c r="J254">
        <v>30.24</v>
      </c>
      <c r="K254" s="26">
        <v>190670</v>
      </c>
      <c r="N254" s="25"/>
      <c r="O254" s="1">
        <v>44605</v>
      </c>
      <c r="P254">
        <v>-24.436599999999999</v>
      </c>
      <c r="R254" s="1">
        <v>44605</v>
      </c>
      <c r="S254">
        <v>-1.1382000000000001</v>
      </c>
      <c r="U254" s="1">
        <v>44605</v>
      </c>
      <c r="V254">
        <v>3.8007</v>
      </c>
      <c r="W254" s="26"/>
      <c r="BL254" s="1"/>
    </row>
    <row r="255" spans="9:64">
      <c r="I255" s="38">
        <v>45907</v>
      </c>
      <c r="J255">
        <v>30.24</v>
      </c>
      <c r="K255" s="26">
        <v>190670</v>
      </c>
      <c r="N255" s="25"/>
      <c r="O255" s="1">
        <v>44606</v>
      </c>
      <c r="P255">
        <v>-26.4085</v>
      </c>
      <c r="R255" s="1">
        <v>44606</v>
      </c>
      <c r="S255">
        <v>-3.1324000000000001</v>
      </c>
      <c r="U255" s="1">
        <v>44606</v>
      </c>
      <c r="V255">
        <v>2.4140999999999999</v>
      </c>
      <c r="W255" s="26"/>
      <c r="BL255" s="1"/>
    </row>
    <row r="256" spans="9:64">
      <c r="I256" s="38">
        <v>45908</v>
      </c>
      <c r="J256">
        <v>30.9</v>
      </c>
      <c r="K256" s="26">
        <v>108065</v>
      </c>
      <c r="N256" s="25"/>
      <c r="O256" s="1">
        <v>44607</v>
      </c>
      <c r="P256">
        <v>-24.436599999999999</v>
      </c>
      <c r="R256" s="1">
        <v>44607</v>
      </c>
      <c r="S256">
        <v>-1.2177</v>
      </c>
      <c r="U256" s="1">
        <v>44607</v>
      </c>
      <c r="V256">
        <v>4.5133000000000001</v>
      </c>
      <c r="W256" s="26"/>
      <c r="BL256" s="1"/>
    </row>
    <row r="257" spans="9:64">
      <c r="I257" s="38">
        <v>45909</v>
      </c>
      <c r="J257">
        <v>30.8</v>
      </c>
      <c r="K257" s="26">
        <v>80018</v>
      </c>
      <c r="N257" s="25"/>
      <c r="O257" s="1">
        <v>44608</v>
      </c>
      <c r="P257">
        <v>-24.154900000000001</v>
      </c>
      <c r="R257" s="1">
        <v>44608</v>
      </c>
      <c r="S257">
        <v>-1.4895</v>
      </c>
      <c r="U257" s="1">
        <v>44608</v>
      </c>
      <c r="V257">
        <v>4.4748000000000001</v>
      </c>
      <c r="W257" s="26"/>
      <c r="BL257" s="1"/>
    </row>
    <row r="258" spans="9:64">
      <c r="I258" s="38">
        <v>45910</v>
      </c>
      <c r="J258">
        <v>30.26</v>
      </c>
      <c r="K258" s="26">
        <v>177349</v>
      </c>
      <c r="N258" s="25"/>
      <c r="O258" s="1">
        <v>44609</v>
      </c>
      <c r="P258">
        <v>-25.7042</v>
      </c>
      <c r="R258" s="1">
        <v>44609</v>
      </c>
      <c r="S258">
        <v>-2.1476000000000002</v>
      </c>
      <c r="U258" s="1">
        <v>44609</v>
      </c>
      <c r="V258">
        <v>7.4020000000000001</v>
      </c>
      <c r="W258" s="26"/>
      <c r="BL258" s="1"/>
    </row>
    <row r="259" spans="9:64">
      <c r="I259" s="38">
        <v>45911</v>
      </c>
      <c r="J259">
        <v>30.58</v>
      </c>
      <c r="K259" s="26">
        <v>169673</v>
      </c>
      <c r="N259" s="25"/>
      <c r="O259" s="1">
        <v>44610</v>
      </c>
      <c r="P259">
        <v>-26.0563</v>
      </c>
      <c r="R259" s="1">
        <v>44610</v>
      </c>
      <c r="S259">
        <v>-3.5903999999999998</v>
      </c>
      <c r="U259" s="1">
        <v>44610</v>
      </c>
      <c r="V259">
        <v>10.1751</v>
      </c>
      <c r="W259" s="26"/>
      <c r="BL259" s="1"/>
    </row>
    <row r="260" spans="9:64">
      <c r="I260" s="38">
        <v>45912</v>
      </c>
      <c r="J260">
        <v>30.46</v>
      </c>
      <c r="K260" s="26">
        <v>74496</v>
      </c>
      <c r="N260" s="25"/>
      <c r="O260" s="1">
        <v>44611</v>
      </c>
      <c r="P260">
        <v>-26.0563</v>
      </c>
      <c r="R260" s="1">
        <v>44611</v>
      </c>
      <c r="S260">
        <v>-3.5903999999999998</v>
      </c>
      <c r="U260" s="1">
        <v>44611</v>
      </c>
      <c r="V260">
        <v>10.1751</v>
      </c>
      <c r="W260" s="26"/>
      <c r="BL260" s="1"/>
    </row>
    <row r="261" spans="9:64">
      <c r="I261" s="38">
        <v>45913</v>
      </c>
      <c r="J261">
        <v>30.46</v>
      </c>
      <c r="K261" s="26">
        <v>74496</v>
      </c>
      <c r="N261" s="25"/>
      <c r="O261" s="1">
        <v>44612</v>
      </c>
      <c r="P261">
        <v>-26.0563</v>
      </c>
      <c r="R261" s="1">
        <v>44612</v>
      </c>
      <c r="S261">
        <v>-3.5903999999999998</v>
      </c>
      <c r="U261" s="1">
        <v>44612</v>
      </c>
      <c r="V261">
        <v>10.1751</v>
      </c>
      <c r="W261" s="26"/>
      <c r="BL261" s="1"/>
    </row>
    <row r="262" spans="9:64">
      <c r="I262" s="38">
        <v>45914</v>
      </c>
      <c r="J262">
        <v>30.46</v>
      </c>
      <c r="K262" s="26">
        <v>74496</v>
      </c>
      <c r="N262" s="25"/>
      <c r="O262" s="1">
        <v>44613</v>
      </c>
      <c r="P262">
        <v>-28.802800000000001</v>
      </c>
      <c r="R262" s="1">
        <v>44613</v>
      </c>
      <c r="S262">
        <v>-5.5861000000000001</v>
      </c>
      <c r="U262" s="1">
        <v>44613</v>
      </c>
      <c r="V262">
        <v>10.1751</v>
      </c>
      <c r="W262" s="26"/>
      <c r="BL262" s="1"/>
    </row>
    <row r="263" spans="9:64">
      <c r="I263" s="38">
        <v>45915</v>
      </c>
      <c r="J263">
        <v>30.64</v>
      </c>
      <c r="K263" s="26">
        <v>81029</v>
      </c>
      <c r="N263" s="25"/>
      <c r="O263" s="1">
        <v>44614</v>
      </c>
      <c r="P263">
        <v>-29.2958</v>
      </c>
      <c r="R263" s="1">
        <v>44614</v>
      </c>
      <c r="S263">
        <v>-5.8304999999999998</v>
      </c>
      <c r="U263" s="1">
        <v>44614</v>
      </c>
      <c r="V263">
        <v>8.4227000000000007</v>
      </c>
      <c r="W263" s="26"/>
      <c r="BL263" s="1"/>
    </row>
    <row r="264" spans="9:64">
      <c r="I264" s="38">
        <v>45916</v>
      </c>
      <c r="J264">
        <v>30.44</v>
      </c>
      <c r="K264" s="26">
        <v>136254</v>
      </c>
      <c r="N264" s="25"/>
      <c r="O264" s="1">
        <v>44615</v>
      </c>
      <c r="P264">
        <v>-31.690100000000001</v>
      </c>
      <c r="R264" s="1">
        <v>44615</v>
      </c>
      <c r="S264">
        <v>-6.2255000000000003</v>
      </c>
      <c r="U264" s="1">
        <v>44615</v>
      </c>
      <c r="V264">
        <v>4.8407</v>
      </c>
      <c r="W264" s="26"/>
      <c r="BL264" s="1"/>
    </row>
    <row r="265" spans="9:64">
      <c r="I265" s="38">
        <v>45917</v>
      </c>
      <c r="J265">
        <v>30.42</v>
      </c>
      <c r="K265" s="26">
        <v>83302</v>
      </c>
      <c r="N265" s="25"/>
      <c r="O265" s="1">
        <v>44616</v>
      </c>
      <c r="P265">
        <v>-35.915500000000002</v>
      </c>
      <c r="R265" s="1">
        <v>44616</v>
      </c>
      <c r="S265">
        <v>-9.9381000000000004</v>
      </c>
      <c r="U265" s="1">
        <v>44616</v>
      </c>
      <c r="V265">
        <v>5.3990999999999998</v>
      </c>
      <c r="W265" s="26"/>
      <c r="BL265" s="1"/>
    </row>
    <row r="266" spans="9:64">
      <c r="I266" s="38">
        <v>45918</v>
      </c>
      <c r="J266">
        <v>30.42</v>
      </c>
      <c r="K266" s="26">
        <v>83304</v>
      </c>
      <c r="N266" s="25"/>
      <c r="O266" s="1">
        <v>44617</v>
      </c>
      <c r="P266">
        <v>-34.2958</v>
      </c>
      <c r="R266" s="1">
        <v>44617</v>
      </c>
      <c r="S266">
        <v>-6.6364999999999998</v>
      </c>
      <c r="U266" s="1">
        <v>44617</v>
      </c>
      <c r="V266">
        <v>7.9218999999999999</v>
      </c>
      <c r="W266" s="26"/>
      <c r="BL266" s="1"/>
    </row>
    <row r="267" spans="9:64">
      <c r="I267" s="38">
        <v>45919</v>
      </c>
      <c r="J267">
        <v>29.88</v>
      </c>
      <c r="K267" s="26">
        <v>373348</v>
      </c>
      <c r="N267" s="25"/>
      <c r="O267" s="1">
        <v>44618</v>
      </c>
      <c r="P267">
        <v>-34.2958</v>
      </c>
      <c r="R267" s="1">
        <v>44618</v>
      </c>
      <c r="S267">
        <v>-6.6364999999999998</v>
      </c>
      <c r="U267" s="1">
        <v>44618</v>
      </c>
      <c r="V267">
        <v>7.9218999999999999</v>
      </c>
      <c r="W267" s="26"/>
      <c r="BL267" s="1"/>
    </row>
    <row r="268" spans="9:64">
      <c r="I268" s="38">
        <v>45920</v>
      </c>
      <c r="J268">
        <v>29.88</v>
      </c>
      <c r="K268" s="26">
        <v>373348</v>
      </c>
      <c r="N268" s="25"/>
      <c r="O268" s="1">
        <v>44619</v>
      </c>
      <c r="P268">
        <v>-34.2958</v>
      </c>
      <c r="R268" s="1">
        <v>44619</v>
      </c>
      <c r="S268">
        <v>-6.6364999999999998</v>
      </c>
      <c r="U268" s="1">
        <v>44619</v>
      </c>
      <c r="V268">
        <v>7.9218999999999999</v>
      </c>
      <c r="W268" s="26"/>
      <c r="BL268" s="1"/>
    </row>
    <row r="269" spans="9:64">
      <c r="I269" s="38">
        <v>45921</v>
      </c>
      <c r="J269">
        <v>29.88</v>
      </c>
      <c r="K269" s="26">
        <v>373348</v>
      </c>
      <c r="N269" s="25"/>
      <c r="O269" s="1">
        <v>44620</v>
      </c>
      <c r="P269">
        <v>-35.387300000000003</v>
      </c>
      <c r="R269" s="1">
        <v>44620</v>
      </c>
      <c r="S269">
        <v>-7.3173000000000004</v>
      </c>
      <c r="U269" s="1">
        <v>44620</v>
      </c>
      <c r="V269">
        <v>7.4020000000000001</v>
      </c>
      <c r="W269" s="26"/>
      <c r="BL269" s="1"/>
    </row>
    <row r="270" spans="9:64">
      <c r="I270" s="38">
        <v>45922</v>
      </c>
      <c r="J270">
        <v>29.42</v>
      </c>
      <c r="K270" s="26">
        <v>215798</v>
      </c>
      <c r="N270" s="25"/>
      <c r="O270" s="1">
        <v>44621</v>
      </c>
      <c r="P270">
        <v>-39.929600000000001</v>
      </c>
      <c r="R270" s="1">
        <v>44621</v>
      </c>
      <c r="S270">
        <v>-10.8818</v>
      </c>
      <c r="U270" s="1">
        <v>44621</v>
      </c>
      <c r="V270">
        <v>5.1872999999999996</v>
      </c>
      <c r="W270" s="26"/>
      <c r="BL270" s="1"/>
    </row>
    <row r="271" spans="9:64">
      <c r="I271" s="38">
        <v>45923</v>
      </c>
      <c r="J271">
        <v>29.8</v>
      </c>
      <c r="K271" s="26">
        <v>236995</v>
      </c>
      <c r="N271" s="25"/>
      <c r="O271" s="1">
        <v>44622</v>
      </c>
      <c r="P271">
        <v>-39.859200000000001</v>
      </c>
      <c r="R271" s="1">
        <v>44622</v>
      </c>
      <c r="S271">
        <v>-10.2713</v>
      </c>
      <c r="U271" s="1">
        <v>44622</v>
      </c>
      <c r="V271">
        <v>8.1338000000000008</v>
      </c>
      <c r="W271" s="26"/>
      <c r="BL271" s="1"/>
    </row>
    <row r="272" spans="9:64">
      <c r="I272" s="38">
        <v>45924</v>
      </c>
      <c r="J272">
        <v>29.06</v>
      </c>
      <c r="K272" s="26">
        <v>290545</v>
      </c>
      <c r="N272" s="25"/>
      <c r="O272" s="1">
        <v>44623</v>
      </c>
      <c r="P272">
        <v>-40.668999999999997</v>
      </c>
      <c r="R272" s="1">
        <v>44623</v>
      </c>
      <c r="S272">
        <v>-12.205</v>
      </c>
      <c r="U272" s="1">
        <v>44623</v>
      </c>
      <c r="V272">
        <v>7.9797000000000002</v>
      </c>
      <c r="W272" s="26"/>
      <c r="BL272" s="1"/>
    </row>
    <row r="273" spans="9:64">
      <c r="I273" s="38">
        <v>45925</v>
      </c>
      <c r="J273">
        <v>28.24</v>
      </c>
      <c r="K273" s="26">
        <v>189225</v>
      </c>
      <c r="N273" s="25"/>
      <c r="O273" s="1">
        <v>44624</v>
      </c>
      <c r="P273">
        <v>-43.485900000000001</v>
      </c>
      <c r="R273" s="1">
        <v>44624</v>
      </c>
      <c r="S273">
        <v>-16.075199999999999</v>
      </c>
      <c r="U273" s="1">
        <v>44624</v>
      </c>
      <c r="V273">
        <v>8.8270999999999997</v>
      </c>
      <c r="W273" s="26"/>
      <c r="BL273" s="1"/>
    </row>
    <row r="274" spans="9:64">
      <c r="I274" s="38">
        <v>45926</v>
      </c>
      <c r="J274">
        <v>27.52</v>
      </c>
      <c r="K274" s="26">
        <v>440169</v>
      </c>
      <c r="N274" s="25"/>
      <c r="O274" s="1">
        <v>44625</v>
      </c>
      <c r="P274">
        <v>-43.485900000000001</v>
      </c>
      <c r="R274" s="1">
        <v>44625</v>
      </c>
      <c r="S274">
        <v>-16.075199999999999</v>
      </c>
      <c r="U274" s="1">
        <v>44625</v>
      </c>
      <c r="V274">
        <v>8.8270999999999997</v>
      </c>
      <c r="W274" s="26"/>
      <c r="BL274" s="1"/>
    </row>
    <row r="275" spans="9:64">
      <c r="I275" s="38">
        <v>45927</v>
      </c>
      <c r="J275">
        <v>27.52</v>
      </c>
      <c r="K275" s="26">
        <v>440169</v>
      </c>
      <c r="N275" s="25"/>
      <c r="O275" s="1">
        <v>44626</v>
      </c>
      <c r="P275">
        <v>-43.485900000000001</v>
      </c>
      <c r="R275" s="1">
        <v>44626</v>
      </c>
      <c r="S275">
        <v>-16.075199999999999</v>
      </c>
      <c r="U275" s="1">
        <v>44626</v>
      </c>
      <c r="V275">
        <v>8.8270999999999997</v>
      </c>
      <c r="W275" s="26"/>
      <c r="BL275" s="1"/>
    </row>
    <row r="276" spans="9:64">
      <c r="I276" s="38">
        <v>45928</v>
      </c>
      <c r="J276">
        <v>27.52</v>
      </c>
      <c r="K276" s="26">
        <v>440169</v>
      </c>
      <c r="N276" s="25"/>
      <c r="O276" s="1">
        <v>44627</v>
      </c>
      <c r="P276">
        <v>-42.816899999999997</v>
      </c>
      <c r="R276" s="1">
        <v>44627</v>
      </c>
      <c r="S276">
        <v>-17.7409</v>
      </c>
      <c r="U276" s="1">
        <v>44627</v>
      </c>
      <c r="V276">
        <v>7.0552999999999999</v>
      </c>
      <c r="W276" s="26"/>
      <c r="BL276" s="1"/>
    </row>
    <row r="277" spans="9:64">
      <c r="I277" s="38">
        <v>45929</v>
      </c>
      <c r="J277">
        <v>27.54</v>
      </c>
      <c r="K277" s="26">
        <v>164535</v>
      </c>
      <c r="N277" s="25"/>
      <c r="O277" s="1">
        <v>44628</v>
      </c>
      <c r="P277">
        <v>-41.760599999999997</v>
      </c>
      <c r="R277" s="1">
        <v>44628</v>
      </c>
      <c r="S277">
        <v>-17.760999999999999</v>
      </c>
      <c r="U277" s="1">
        <v>44628</v>
      </c>
      <c r="V277">
        <v>4.7636000000000003</v>
      </c>
      <c r="W277" s="26"/>
      <c r="BL277" s="1"/>
    </row>
    <row r="278" spans="9:64">
      <c r="I278" s="38">
        <v>45930</v>
      </c>
      <c r="J278">
        <v>27.28</v>
      </c>
      <c r="K278" s="26">
        <v>148747</v>
      </c>
      <c r="N278" s="25"/>
      <c r="O278" s="1">
        <v>44629</v>
      </c>
      <c r="P278">
        <v>-38.2746</v>
      </c>
      <c r="R278" s="1">
        <v>44629</v>
      </c>
      <c r="S278">
        <v>-11.246600000000001</v>
      </c>
      <c r="U278" s="1">
        <v>44629</v>
      </c>
      <c r="V278">
        <v>7.6908000000000003</v>
      </c>
      <c r="W278" s="26"/>
      <c r="BL278" s="1"/>
    </row>
    <row r="279" spans="9:64">
      <c r="I279" s="38">
        <v>45931</v>
      </c>
      <c r="J279">
        <v>27.34</v>
      </c>
      <c r="K279" s="26">
        <v>148640</v>
      </c>
      <c r="N279" s="25"/>
      <c r="O279" s="1">
        <v>44630</v>
      </c>
      <c r="P279">
        <v>-40.598599999999998</v>
      </c>
      <c r="R279" s="1">
        <v>44630</v>
      </c>
      <c r="S279">
        <v>-13.8477</v>
      </c>
      <c r="U279" s="1">
        <v>44630</v>
      </c>
      <c r="V279">
        <v>5.3605999999999998</v>
      </c>
      <c r="W279" s="26"/>
      <c r="BL279" s="1"/>
    </row>
    <row r="280" spans="9:64">
      <c r="I280" s="38">
        <v>45932</v>
      </c>
      <c r="J280">
        <v>27.52</v>
      </c>
      <c r="K280" s="26">
        <v>128630</v>
      </c>
      <c r="N280" s="25"/>
      <c r="O280" s="1">
        <v>44631</v>
      </c>
      <c r="P280">
        <v>-38.802799999999998</v>
      </c>
      <c r="R280" s="1">
        <v>44631</v>
      </c>
      <c r="S280">
        <v>-12.6555</v>
      </c>
      <c r="U280" s="1">
        <v>44631</v>
      </c>
      <c r="V280">
        <v>5.3220999999999998</v>
      </c>
      <c r="W280" s="26"/>
      <c r="BL280" s="1"/>
    </row>
    <row r="281" spans="9:64">
      <c r="I281" s="38">
        <v>45933</v>
      </c>
      <c r="J281">
        <v>28.08</v>
      </c>
      <c r="K281" s="26">
        <v>159774</v>
      </c>
      <c r="N281" s="25"/>
      <c r="O281" s="1">
        <v>44632</v>
      </c>
      <c r="P281">
        <v>-38.802799999999998</v>
      </c>
      <c r="R281" s="1">
        <v>44632</v>
      </c>
      <c r="S281">
        <v>-12.6555</v>
      </c>
      <c r="U281" s="1">
        <v>44632</v>
      </c>
      <c r="V281">
        <v>5.3220999999999998</v>
      </c>
      <c r="W281" s="26"/>
      <c r="BL281" s="1"/>
    </row>
    <row r="282" spans="9:64">
      <c r="I282" s="38">
        <v>45934</v>
      </c>
      <c r="J282">
        <v>28.08</v>
      </c>
      <c r="K282" s="26">
        <v>159774</v>
      </c>
      <c r="N282" s="25"/>
      <c r="O282" s="1">
        <v>44633</v>
      </c>
      <c r="P282">
        <v>-38.802799999999998</v>
      </c>
      <c r="R282" s="1">
        <v>44633</v>
      </c>
      <c r="S282">
        <v>-12.6555</v>
      </c>
      <c r="U282" s="1">
        <v>44633</v>
      </c>
      <c r="V282">
        <v>5.3220999999999998</v>
      </c>
      <c r="W282" s="26"/>
      <c r="BL282" s="1"/>
    </row>
    <row r="283" spans="9:64">
      <c r="I283" s="38">
        <v>45935</v>
      </c>
      <c r="J283">
        <v>28.08</v>
      </c>
      <c r="K283" s="26">
        <v>159774</v>
      </c>
      <c r="N283" s="25"/>
      <c r="O283" s="1">
        <v>44634</v>
      </c>
      <c r="P283">
        <v>-35.809899999999999</v>
      </c>
      <c r="R283" s="1">
        <v>44634</v>
      </c>
      <c r="S283">
        <v>-10.7263</v>
      </c>
      <c r="U283" s="1">
        <v>44634</v>
      </c>
      <c r="V283">
        <v>4.5709999999999997</v>
      </c>
      <c r="W283" s="26"/>
      <c r="BL283" s="1"/>
    </row>
    <row r="284" spans="9:64">
      <c r="I284" s="38">
        <v>45936</v>
      </c>
      <c r="J284">
        <v>27.92</v>
      </c>
      <c r="K284" s="26">
        <v>108611</v>
      </c>
      <c r="N284" s="25"/>
      <c r="O284" s="1">
        <v>44635</v>
      </c>
      <c r="P284">
        <v>-37.112699999999997</v>
      </c>
      <c r="R284" s="1">
        <v>44635</v>
      </c>
      <c r="S284">
        <v>-10.802199999999999</v>
      </c>
      <c r="U284" s="1">
        <v>44635</v>
      </c>
      <c r="V284">
        <v>7.0746000000000002</v>
      </c>
      <c r="W284" s="26"/>
      <c r="BL284" s="1"/>
    </row>
    <row r="285" spans="9:64">
      <c r="I285" s="38">
        <v>45937</v>
      </c>
      <c r="J285">
        <v>27.08</v>
      </c>
      <c r="K285" s="26">
        <v>326279</v>
      </c>
      <c r="N285" s="25"/>
      <c r="O285" s="1">
        <v>44636</v>
      </c>
      <c r="P285">
        <v>-34.718299999999999</v>
      </c>
      <c r="R285" s="1">
        <v>44636</v>
      </c>
      <c r="S285">
        <v>-7.4471999999999996</v>
      </c>
      <c r="U285" s="1">
        <v>44636</v>
      </c>
      <c r="V285">
        <v>7.4790000000000001</v>
      </c>
      <c r="W285" s="26"/>
      <c r="BL285" s="1"/>
    </row>
    <row r="286" spans="9:64">
      <c r="I286" s="38">
        <v>45938</v>
      </c>
      <c r="J286">
        <v>26.8</v>
      </c>
      <c r="K286" s="26">
        <v>153274</v>
      </c>
      <c r="N286" s="25"/>
      <c r="O286" s="1">
        <v>44637</v>
      </c>
      <c r="P286">
        <v>-35.7746</v>
      </c>
      <c r="R286" s="1">
        <v>44637</v>
      </c>
      <c r="S286">
        <v>-7.7849000000000004</v>
      </c>
      <c r="U286" s="1">
        <v>44637</v>
      </c>
      <c r="V286">
        <v>8.1722999999999999</v>
      </c>
      <c r="W286" s="26"/>
      <c r="BL286" s="1"/>
    </row>
    <row r="287" spans="9:64">
      <c r="I287" s="38">
        <v>45939</v>
      </c>
      <c r="J287">
        <v>26.7</v>
      </c>
      <c r="K287" s="26">
        <v>188333</v>
      </c>
      <c r="N287" s="25"/>
      <c r="O287" s="1">
        <v>44638</v>
      </c>
      <c r="P287">
        <v>-36.161999999999999</v>
      </c>
      <c r="R287" s="1">
        <v>44638</v>
      </c>
      <c r="S287">
        <v>-7.6243999999999996</v>
      </c>
      <c r="U287" s="1">
        <v>44638</v>
      </c>
      <c r="V287">
        <v>7.7870999999999997</v>
      </c>
      <c r="W287" s="26"/>
      <c r="BL287" s="1"/>
    </row>
    <row r="288" spans="9:64">
      <c r="I288" s="38">
        <v>45940</v>
      </c>
      <c r="J288">
        <v>26.24</v>
      </c>
      <c r="K288" s="26">
        <v>195053</v>
      </c>
      <c r="N288" s="25"/>
      <c r="O288" s="1">
        <v>44639</v>
      </c>
      <c r="P288">
        <v>-36.161999999999999</v>
      </c>
      <c r="R288" s="1">
        <v>44639</v>
      </c>
      <c r="S288">
        <v>-7.6243999999999996</v>
      </c>
      <c r="U288" s="1">
        <v>44639</v>
      </c>
      <c r="V288">
        <v>7.7870999999999997</v>
      </c>
      <c r="W288" s="26"/>
      <c r="BL288" s="1"/>
    </row>
    <row r="289" spans="9:64">
      <c r="I289" s="38">
        <v>45941</v>
      </c>
      <c r="J289">
        <v>26.24</v>
      </c>
      <c r="K289" s="26">
        <v>195053</v>
      </c>
      <c r="N289" s="25"/>
      <c r="O289" s="1">
        <v>44640</v>
      </c>
      <c r="P289">
        <v>-36.161999999999999</v>
      </c>
      <c r="R289" s="1">
        <v>44640</v>
      </c>
      <c r="S289">
        <v>-7.6243999999999996</v>
      </c>
      <c r="U289" s="1">
        <v>44640</v>
      </c>
      <c r="V289">
        <v>7.7870999999999997</v>
      </c>
      <c r="W289" s="26"/>
      <c r="BL289" s="1"/>
    </row>
    <row r="290" spans="9:64">
      <c r="I290" s="38">
        <v>45942</v>
      </c>
      <c r="J290">
        <v>26.24</v>
      </c>
      <c r="K290" s="26">
        <v>195053</v>
      </c>
      <c r="N290" s="25"/>
      <c r="O290" s="1">
        <v>44641</v>
      </c>
      <c r="P290">
        <v>-35.985900000000001</v>
      </c>
      <c r="R290" s="1">
        <v>44641</v>
      </c>
      <c r="S290">
        <v>-8.1763999999999992</v>
      </c>
      <c r="U290" s="1">
        <v>44641</v>
      </c>
      <c r="V290">
        <v>7.8449</v>
      </c>
      <c r="W290" s="26"/>
      <c r="BL290" s="1"/>
    </row>
    <row r="291" spans="9:64">
      <c r="I291" s="38">
        <v>45943</v>
      </c>
      <c r="J291">
        <v>26.56</v>
      </c>
      <c r="K291" s="26">
        <v>141760</v>
      </c>
      <c r="N291" s="25"/>
      <c r="O291" s="1">
        <v>44642</v>
      </c>
      <c r="P291">
        <v>-35.176099999999998</v>
      </c>
      <c r="R291" s="1">
        <v>44642</v>
      </c>
      <c r="S291">
        <v>-7.2392000000000003</v>
      </c>
      <c r="U291" s="1">
        <v>44642</v>
      </c>
      <c r="V291">
        <v>8.1722999999999999</v>
      </c>
      <c r="W291" s="26"/>
      <c r="BL291" s="1"/>
    </row>
    <row r="292" spans="9:64">
      <c r="I292" s="38">
        <v>45944</v>
      </c>
      <c r="J292">
        <v>26.16</v>
      </c>
      <c r="K292" s="26">
        <v>185420</v>
      </c>
      <c r="N292" s="25"/>
      <c r="O292" s="1">
        <v>44643</v>
      </c>
      <c r="P292">
        <v>-36.408499999999997</v>
      </c>
      <c r="R292" s="1">
        <v>44643</v>
      </c>
      <c r="S292">
        <v>-8.4540000000000006</v>
      </c>
      <c r="U292" s="1">
        <v>44643</v>
      </c>
      <c r="V292">
        <v>4.9177</v>
      </c>
      <c r="W292" s="26"/>
      <c r="BL292" s="1"/>
    </row>
    <row r="293" spans="9:64">
      <c r="I293" s="38">
        <v>45945</v>
      </c>
      <c r="J293">
        <v>26.2</v>
      </c>
      <c r="K293" s="26">
        <v>184100</v>
      </c>
      <c r="N293" s="25"/>
      <c r="O293" s="1">
        <v>44644</v>
      </c>
      <c r="P293">
        <v>-37.253500000000003</v>
      </c>
      <c r="R293" s="1">
        <v>44644</v>
      </c>
      <c r="S293">
        <v>-8.5172000000000008</v>
      </c>
      <c r="U293" s="1">
        <v>44644</v>
      </c>
      <c r="V293">
        <v>4.9561999999999999</v>
      </c>
      <c r="W293" s="26"/>
      <c r="BL293" s="1"/>
    </row>
    <row r="294" spans="9:64">
      <c r="I294" s="38">
        <v>45946</v>
      </c>
      <c r="J294">
        <v>26.58</v>
      </c>
      <c r="K294" s="26">
        <v>119628</v>
      </c>
      <c r="N294" s="25"/>
      <c r="O294" s="1">
        <v>44645</v>
      </c>
      <c r="P294">
        <v>-38.661999999999999</v>
      </c>
      <c r="R294" s="1">
        <v>44645</v>
      </c>
      <c r="S294">
        <v>-8.3123000000000005</v>
      </c>
      <c r="U294" s="1">
        <v>44645</v>
      </c>
      <c r="V294">
        <v>5.8613</v>
      </c>
      <c r="W294" s="26"/>
      <c r="BL294" s="1"/>
    </row>
    <row r="295" spans="9:64">
      <c r="I295" s="38">
        <v>45947</v>
      </c>
      <c r="J295">
        <v>25.88</v>
      </c>
      <c r="K295" s="26">
        <v>250863</v>
      </c>
      <c r="N295" s="25"/>
      <c r="O295" s="1">
        <v>44646</v>
      </c>
      <c r="P295">
        <v>-38.661999999999999</v>
      </c>
      <c r="R295" s="1">
        <v>44646</v>
      </c>
      <c r="S295">
        <v>-8.3123000000000005</v>
      </c>
      <c r="U295" s="1">
        <v>44646</v>
      </c>
      <c r="V295">
        <v>5.8613</v>
      </c>
      <c r="W295" s="26"/>
      <c r="BL295" s="1"/>
    </row>
    <row r="296" spans="9:64">
      <c r="I296" s="38">
        <v>45948</v>
      </c>
      <c r="J296">
        <v>25.88</v>
      </c>
      <c r="K296" s="26">
        <v>250863</v>
      </c>
      <c r="N296" s="25"/>
      <c r="O296" s="1">
        <v>44647</v>
      </c>
      <c r="P296">
        <v>-38.661999999999999</v>
      </c>
      <c r="R296" s="1">
        <v>44647</v>
      </c>
      <c r="S296">
        <v>-8.3123000000000005</v>
      </c>
      <c r="U296" s="1">
        <v>44647</v>
      </c>
      <c r="V296">
        <v>5.8613</v>
      </c>
      <c r="W296" s="26"/>
      <c r="BL296" s="1"/>
    </row>
    <row r="297" spans="9:64">
      <c r="I297" s="38">
        <v>45949</v>
      </c>
      <c r="J297">
        <v>25.88</v>
      </c>
      <c r="K297" s="26">
        <v>250863</v>
      </c>
      <c r="N297" s="25"/>
      <c r="O297" s="1">
        <v>44648</v>
      </c>
      <c r="P297">
        <v>-38.098599999999998</v>
      </c>
      <c r="R297" s="1">
        <v>44648</v>
      </c>
      <c r="S297">
        <v>-7.5970000000000004</v>
      </c>
      <c r="U297" s="1">
        <v>44648</v>
      </c>
      <c r="V297">
        <v>6.1886999999999999</v>
      </c>
      <c r="W297" s="26"/>
      <c r="BL297" s="1"/>
    </row>
    <row r="298" spans="9:64">
      <c r="I298" s="38">
        <v>45950</v>
      </c>
      <c r="J298">
        <v>26.28</v>
      </c>
      <c r="K298" s="26">
        <v>161888</v>
      </c>
      <c r="N298" s="25"/>
      <c r="O298" s="1">
        <v>44649</v>
      </c>
      <c r="P298">
        <v>-35.3521</v>
      </c>
      <c r="R298" s="1">
        <v>44649</v>
      </c>
      <c r="S298">
        <v>-5.0144000000000002</v>
      </c>
      <c r="U298" s="1">
        <v>44649</v>
      </c>
      <c r="V298">
        <v>7.2093999999999996</v>
      </c>
      <c r="W298" s="26"/>
      <c r="BL298" s="1"/>
    </row>
    <row r="299" spans="9:64">
      <c r="I299" s="38">
        <v>45951</v>
      </c>
      <c r="J299">
        <v>26.22</v>
      </c>
      <c r="K299" s="26">
        <v>185287</v>
      </c>
      <c r="N299" s="25"/>
      <c r="O299" s="1">
        <v>44650</v>
      </c>
      <c r="P299">
        <v>-38.380299999999998</v>
      </c>
      <c r="R299" s="1">
        <v>44650</v>
      </c>
      <c r="S299">
        <v>-6.3876999999999997</v>
      </c>
      <c r="U299" s="1">
        <v>44650</v>
      </c>
      <c r="V299">
        <v>7.9412000000000003</v>
      </c>
      <c r="W299" s="26"/>
      <c r="BL299" s="1"/>
    </row>
    <row r="300" spans="9:64">
      <c r="I300" s="38">
        <v>45952</v>
      </c>
      <c r="J300">
        <v>26.2</v>
      </c>
      <c r="K300" s="26">
        <v>581649</v>
      </c>
      <c r="N300" s="25"/>
      <c r="O300" s="1">
        <v>44651</v>
      </c>
      <c r="P300">
        <v>-40.598599999999998</v>
      </c>
      <c r="R300" s="1">
        <v>44651</v>
      </c>
      <c r="S300">
        <v>-7.6138000000000003</v>
      </c>
      <c r="U300" s="1">
        <v>44651</v>
      </c>
      <c r="V300">
        <v>7.3826999999999998</v>
      </c>
      <c r="W300" s="26"/>
      <c r="BL300" s="1"/>
    </row>
    <row r="301" spans="9:64" ht="15" thickBot="1">
      <c r="I301" s="38">
        <v>45953</v>
      </c>
      <c r="J301">
        <v>26.28</v>
      </c>
      <c r="K301" s="26">
        <v>276642</v>
      </c>
      <c r="N301" s="27"/>
      <c r="O301" s="55">
        <v>44652</v>
      </c>
      <c r="P301" s="28">
        <v>-41.197200000000002</v>
      </c>
      <c r="Q301" s="28"/>
      <c r="R301" s="55">
        <v>44652</v>
      </c>
      <c r="S301" s="28">
        <v>-7.4104000000000001</v>
      </c>
      <c r="T301" s="28"/>
      <c r="U301" s="55">
        <v>44652</v>
      </c>
      <c r="V301" s="28">
        <v>7.1901000000000002</v>
      </c>
      <c r="W301" s="29"/>
      <c r="BL301" s="1"/>
    </row>
    <row r="302" spans="9:64">
      <c r="I302" s="38">
        <v>45954</v>
      </c>
      <c r="J302">
        <v>26.48</v>
      </c>
      <c r="K302" s="26">
        <v>167781</v>
      </c>
      <c r="O302" s="1">
        <v>44653</v>
      </c>
      <c r="P302">
        <v>-41.197200000000002</v>
      </c>
      <c r="R302" s="1">
        <v>44653</v>
      </c>
      <c r="S302">
        <v>-7.4104000000000001</v>
      </c>
      <c r="U302" s="1">
        <v>44653</v>
      </c>
      <c r="V302">
        <v>7.1901000000000002</v>
      </c>
      <c r="BL302" s="1"/>
    </row>
    <row r="303" spans="9:64">
      <c r="I303" s="38">
        <v>45955</v>
      </c>
      <c r="J303">
        <v>26.48</v>
      </c>
      <c r="K303" s="26">
        <v>167781</v>
      </c>
      <c r="O303" s="1">
        <v>44654</v>
      </c>
      <c r="P303">
        <v>-41.197200000000002</v>
      </c>
      <c r="R303" s="1">
        <v>44654</v>
      </c>
      <c r="S303">
        <v>-7.4104000000000001</v>
      </c>
      <c r="U303" s="1">
        <v>44654</v>
      </c>
      <c r="V303">
        <v>7.1901000000000002</v>
      </c>
      <c r="BL303" s="1"/>
    </row>
    <row r="304" spans="9:64">
      <c r="I304" s="38">
        <v>45956</v>
      </c>
      <c r="J304">
        <v>26.48</v>
      </c>
      <c r="K304" s="26">
        <v>167781</v>
      </c>
      <c r="O304" s="1">
        <v>44655</v>
      </c>
      <c r="P304">
        <v>-41.7254</v>
      </c>
      <c r="R304" s="1">
        <v>44655</v>
      </c>
      <c r="S304">
        <v>-6.9509999999999996</v>
      </c>
      <c r="U304" s="1">
        <v>44655</v>
      </c>
      <c r="V304">
        <v>7.5945999999999998</v>
      </c>
      <c r="BL304" s="1"/>
    </row>
    <row r="305" spans="9:64">
      <c r="I305" s="38">
        <v>45957</v>
      </c>
      <c r="J305">
        <v>26.8</v>
      </c>
      <c r="K305" s="26">
        <v>256491</v>
      </c>
      <c r="O305" s="1">
        <v>44656</v>
      </c>
      <c r="P305">
        <v>-45.035200000000003</v>
      </c>
      <c r="R305" s="1">
        <v>44656</v>
      </c>
      <c r="S305">
        <v>-7.5522</v>
      </c>
      <c r="U305" s="1">
        <v>44656</v>
      </c>
      <c r="V305">
        <v>6.4968000000000004</v>
      </c>
      <c r="BL305" s="1"/>
    </row>
    <row r="306" spans="9:64">
      <c r="I306" s="38">
        <v>45958</v>
      </c>
      <c r="J306">
        <v>26.9</v>
      </c>
      <c r="K306" s="26">
        <v>238041</v>
      </c>
      <c r="O306" s="1">
        <v>44657</v>
      </c>
      <c r="P306">
        <v>-46.690100000000001</v>
      </c>
      <c r="R306" s="1">
        <v>44657</v>
      </c>
      <c r="S306">
        <v>-9.2997999999999994</v>
      </c>
      <c r="U306" s="1">
        <v>44657</v>
      </c>
      <c r="V306">
        <v>5.4302999999999999</v>
      </c>
      <c r="BL306" s="1"/>
    </row>
    <row r="307" spans="9:64">
      <c r="I307" s="38">
        <v>45959</v>
      </c>
      <c r="J307">
        <v>27.64</v>
      </c>
      <c r="K307" s="26">
        <v>365946</v>
      </c>
      <c r="O307" s="1">
        <v>44658</v>
      </c>
      <c r="P307">
        <v>-47.816899999999997</v>
      </c>
      <c r="R307" s="1">
        <v>44658</v>
      </c>
      <c r="S307">
        <v>-9.7711000000000006</v>
      </c>
      <c r="U307" s="1">
        <v>44658</v>
      </c>
      <c r="V307">
        <v>5.9344999999999999</v>
      </c>
      <c r="BL307" s="1"/>
    </row>
    <row r="308" spans="9:64">
      <c r="I308" s="38">
        <v>45960</v>
      </c>
      <c r="J308">
        <v>27.9</v>
      </c>
      <c r="K308" s="26">
        <v>200861</v>
      </c>
      <c r="O308" s="1">
        <v>44659</v>
      </c>
      <c r="P308">
        <v>-46.197200000000002</v>
      </c>
      <c r="R308" s="1">
        <v>44659</v>
      </c>
      <c r="S308">
        <v>-8.4539000000000009</v>
      </c>
      <c r="U308" s="1">
        <v>44659</v>
      </c>
      <c r="V308">
        <v>5.2557999999999998</v>
      </c>
      <c r="BL308" s="1"/>
    </row>
    <row r="309" spans="9:64">
      <c r="I309" s="38">
        <v>45961</v>
      </c>
      <c r="J309">
        <v>27.84</v>
      </c>
      <c r="K309" s="26">
        <v>256996</v>
      </c>
      <c r="O309" s="1">
        <v>44660</v>
      </c>
      <c r="P309">
        <v>-46.197200000000002</v>
      </c>
      <c r="R309" s="1">
        <v>44660</v>
      </c>
      <c r="S309">
        <v>-8.4539000000000009</v>
      </c>
      <c r="U309" s="1">
        <v>44660</v>
      </c>
      <c r="V309">
        <v>5.2557999999999998</v>
      </c>
      <c r="BL309" s="1"/>
    </row>
    <row r="310" spans="9:64">
      <c r="I310" s="38">
        <v>45962</v>
      </c>
      <c r="J310">
        <v>27.84</v>
      </c>
      <c r="K310" s="26">
        <v>256996</v>
      </c>
      <c r="O310" s="1">
        <v>44661</v>
      </c>
      <c r="P310">
        <v>-46.197200000000002</v>
      </c>
      <c r="R310" s="1">
        <v>44661</v>
      </c>
      <c r="S310">
        <v>-8.4539000000000009</v>
      </c>
      <c r="U310" s="1">
        <v>44661</v>
      </c>
      <c r="V310">
        <v>5.2557999999999998</v>
      </c>
      <c r="BL310" s="1"/>
    </row>
    <row r="311" spans="9:64">
      <c r="I311" s="38">
        <v>45963</v>
      </c>
      <c r="J311">
        <v>27.84</v>
      </c>
      <c r="K311" s="26">
        <v>256996</v>
      </c>
      <c r="O311" s="1">
        <v>44662</v>
      </c>
      <c r="P311">
        <v>-46.7254</v>
      </c>
      <c r="R311" s="1">
        <v>44662</v>
      </c>
      <c r="S311">
        <v>-9.0364000000000004</v>
      </c>
      <c r="U311" s="1">
        <v>44662</v>
      </c>
      <c r="V311">
        <v>2.5409999999999999</v>
      </c>
      <c r="BL311" s="1"/>
    </row>
    <row r="312" spans="9:64">
      <c r="I312" s="38">
        <v>45964</v>
      </c>
      <c r="J312">
        <v>27.74</v>
      </c>
      <c r="K312" s="26">
        <v>203618</v>
      </c>
      <c r="O312" s="1">
        <v>44663</v>
      </c>
      <c r="P312">
        <v>-47.183100000000003</v>
      </c>
      <c r="R312" s="1">
        <v>44663</v>
      </c>
      <c r="S312">
        <v>-9.4711999999999996</v>
      </c>
      <c r="U312" s="1">
        <v>44663</v>
      </c>
      <c r="V312">
        <v>0.48559999999999998</v>
      </c>
      <c r="BL312" s="1"/>
    </row>
    <row r="313" spans="9:64">
      <c r="I313" s="38">
        <v>45965</v>
      </c>
      <c r="J313">
        <v>27.2</v>
      </c>
      <c r="K313" s="26">
        <v>199204</v>
      </c>
      <c r="O313" s="1">
        <v>44664</v>
      </c>
      <c r="P313">
        <v>-47.112699999999997</v>
      </c>
      <c r="R313" s="1">
        <v>44664</v>
      </c>
      <c r="S313">
        <v>-9.7820999999999998</v>
      </c>
      <c r="U313" s="1">
        <v>44664</v>
      </c>
      <c r="V313">
        <v>1.1254999999999999</v>
      </c>
      <c r="BL313" s="1"/>
    </row>
    <row r="314" spans="9:64">
      <c r="I314" s="38">
        <v>45966</v>
      </c>
      <c r="J314">
        <v>28.08</v>
      </c>
      <c r="K314" s="26">
        <v>191838</v>
      </c>
      <c r="O314" s="1">
        <v>44665</v>
      </c>
      <c r="P314">
        <v>-47.5</v>
      </c>
      <c r="R314" s="1">
        <v>44665</v>
      </c>
      <c r="S314">
        <v>-9.2218999999999998</v>
      </c>
      <c r="U314" s="1">
        <v>44665</v>
      </c>
      <c r="V314">
        <v>-0.77490000000000003</v>
      </c>
      <c r="BL314" s="1"/>
    </row>
    <row r="315" spans="9:64">
      <c r="I315" s="38">
        <v>45967</v>
      </c>
      <c r="J315">
        <v>27.7</v>
      </c>
      <c r="K315" s="26">
        <v>115958</v>
      </c>
      <c r="O315" s="1">
        <v>44666</v>
      </c>
      <c r="P315">
        <v>-47.5</v>
      </c>
      <c r="R315" s="1">
        <v>44666</v>
      </c>
      <c r="S315">
        <v>-9.2218999999999998</v>
      </c>
      <c r="U315" s="1">
        <v>44666</v>
      </c>
      <c r="V315">
        <v>-0.77490000000000003</v>
      </c>
      <c r="BL315" s="1"/>
    </row>
    <row r="316" spans="9:64">
      <c r="I316" s="38">
        <v>45968</v>
      </c>
      <c r="J316">
        <v>27.66</v>
      </c>
      <c r="K316" s="26">
        <v>115377</v>
      </c>
      <c r="O316" s="1">
        <v>44667</v>
      </c>
      <c r="P316">
        <v>-47.5</v>
      </c>
      <c r="R316" s="1">
        <v>44667</v>
      </c>
      <c r="S316">
        <v>-9.2218999999999998</v>
      </c>
      <c r="U316" s="1">
        <v>44667</v>
      </c>
      <c r="V316">
        <v>-0.77490000000000003</v>
      </c>
      <c r="BL316" s="1"/>
    </row>
    <row r="317" spans="9:64">
      <c r="I317" s="38">
        <v>45969</v>
      </c>
      <c r="J317">
        <v>27.66</v>
      </c>
      <c r="K317" s="26">
        <v>115377</v>
      </c>
      <c r="O317" s="1">
        <v>44668</v>
      </c>
      <c r="P317">
        <v>-47.5</v>
      </c>
      <c r="R317" s="1">
        <v>44668</v>
      </c>
      <c r="S317">
        <v>-9.2218999999999998</v>
      </c>
      <c r="U317" s="1">
        <v>44668</v>
      </c>
      <c r="V317">
        <v>-0.77490000000000003</v>
      </c>
      <c r="BL317" s="1"/>
    </row>
    <row r="318" spans="9:64">
      <c r="I318" s="38">
        <v>45970</v>
      </c>
      <c r="J318">
        <v>27.66</v>
      </c>
      <c r="K318" s="26">
        <v>115377</v>
      </c>
      <c r="O318" s="1">
        <v>44669</v>
      </c>
      <c r="P318">
        <v>-47.5</v>
      </c>
      <c r="R318" s="1">
        <v>44669</v>
      </c>
      <c r="S318">
        <v>-9.2218999999999998</v>
      </c>
      <c r="U318" s="1">
        <v>44669</v>
      </c>
      <c r="V318">
        <v>-0.89119999999999999</v>
      </c>
      <c r="BL318" s="1"/>
    </row>
    <row r="319" spans="9:64">
      <c r="I319" s="38">
        <v>45971</v>
      </c>
      <c r="J319">
        <v>27.98</v>
      </c>
      <c r="K319" s="26">
        <v>102549</v>
      </c>
      <c r="O319" s="1">
        <v>44670</v>
      </c>
      <c r="P319">
        <v>-45.985900000000001</v>
      </c>
      <c r="R319" s="1">
        <v>44670</v>
      </c>
      <c r="S319">
        <v>-9.2885000000000009</v>
      </c>
      <c r="U319" s="1">
        <v>44670</v>
      </c>
      <c r="V319">
        <v>0.50490000000000002</v>
      </c>
      <c r="BL319" s="1"/>
    </row>
    <row r="320" spans="9:64">
      <c r="I320" s="38">
        <v>45972</v>
      </c>
      <c r="J320">
        <v>28.36</v>
      </c>
      <c r="K320" s="26">
        <v>108273</v>
      </c>
      <c r="O320" s="1">
        <v>44671</v>
      </c>
      <c r="P320">
        <v>-44.401400000000002</v>
      </c>
      <c r="R320" s="1">
        <v>44671</v>
      </c>
      <c r="S320">
        <v>-7.9516999999999998</v>
      </c>
      <c r="U320" s="1">
        <v>44671</v>
      </c>
      <c r="V320">
        <v>2.8125</v>
      </c>
      <c r="BL320" s="1"/>
    </row>
    <row r="321" spans="9:64">
      <c r="I321" s="38">
        <v>45973</v>
      </c>
      <c r="J321">
        <v>29</v>
      </c>
      <c r="K321" s="26">
        <v>142425</v>
      </c>
      <c r="O321" s="1">
        <v>44672</v>
      </c>
      <c r="P321">
        <v>-42.746499999999997</v>
      </c>
      <c r="R321" s="1">
        <v>44672</v>
      </c>
      <c r="S321">
        <v>-7.0519999999999996</v>
      </c>
      <c r="U321" s="1">
        <v>44672</v>
      </c>
      <c r="V321">
        <v>2.3471000000000002</v>
      </c>
      <c r="BL321" s="1"/>
    </row>
    <row r="322" spans="9:64">
      <c r="I322" s="38">
        <v>45974</v>
      </c>
      <c r="J322">
        <v>29</v>
      </c>
      <c r="K322" s="26">
        <v>123764</v>
      </c>
      <c r="O322" s="1">
        <v>44673</v>
      </c>
      <c r="P322">
        <v>-43.168999999999997</v>
      </c>
      <c r="R322" s="1">
        <v>44673</v>
      </c>
      <c r="S322">
        <v>-9.3613</v>
      </c>
      <c r="U322" s="1">
        <v>44673</v>
      </c>
      <c r="V322">
        <v>-0.40639999999999998</v>
      </c>
      <c r="BL322" s="1"/>
    </row>
    <row r="323" spans="9:64">
      <c r="I323" s="38">
        <v>45975</v>
      </c>
      <c r="J323">
        <v>28.4</v>
      </c>
      <c r="K323" s="26">
        <v>237701</v>
      </c>
      <c r="O323" s="1">
        <v>44674</v>
      </c>
      <c r="P323">
        <v>-43.168999999999997</v>
      </c>
      <c r="R323" s="1">
        <v>44674</v>
      </c>
      <c r="S323">
        <v>-9.3613</v>
      </c>
      <c r="U323" s="1">
        <v>44674</v>
      </c>
      <c r="V323">
        <v>-0.40639999999999998</v>
      </c>
      <c r="BL323" s="1"/>
    </row>
    <row r="324" spans="9:64">
      <c r="I324" s="38">
        <v>45976</v>
      </c>
      <c r="J324">
        <v>28.4</v>
      </c>
      <c r="K324" s="26">
        <v>237701</v>
      </c>
      <c r="O324" s="1">
        <v>44675</v>
      </c>
      <c r="P324">
        <v>-43.168999999999997</v>
      </c>
      <c r="R324" s="1">
        <v>44675</v>
      </c>
      <c r="S324">
        <v>-9.3613</v>
      </c>
      <c r="U324" s="1">
        <v>44675</v>
      </c>
      <c r="V324">
        <v>-0.40639999999999998</v>
      </c>
      <c r="BL324" s="1"/>
    </row>
    <row r="325" spans="9:64">
      <c r="I325" s="38">
        <v>45977</v>
      </c>
      <c r="J325">
        <v>28.4</v>
      </c>
      <c r="K325" s="26">
        <v>237701</v>
      </c>
      <c r="O325" s="1">
        <v>44676</v>
      </c>
      <c r="P325">
        <v>-45.387300000000003</v>
      </c>
      <c r="R325" s="1">
        <v>44676</v>
      </c>
      <c r="S325">
        <v>-10.757999999999999</v>
      </c>
      <c r="U325" s="1">
        <v>44676</v>
      </c>
      <c r="V325">
        <v>0.71830000000000005</v>
      </c>
      <c r="BL325" s="1"/>
    </row>
    <row r="326" spans="9:64">
      <c r="I326" s="38">
        <v>45978</v>
      </c>
      <c r="J326">
        <v>28.02</v>
      </c>
      <c r="K326" s="26">
        <v>89534</v>
      </c>
      <c r="O326" s="1">
        <v>44677</v>
      </c>
      <c r="P326">
        <v>-46.408499999999997</v>
      </c>
      <c r="R326" s="1">
        <v>44677</v>
      </c>
      <c r="S326">
        <v>-11.833299999999999</v>
      </c>
      <c r="U326" s="1">
        <v>44677</v>
      </c>
      <c r="V326">
        <v>-1.2984</v>
      </c>
      <c r="BL326" s="1"/>
    </row>
    <row r="327" spans="9:64">
      <c r="I327" s="38">
        <v>45979</v>
      </c>
      <c r="J327">
        <v>27.6</v>
      </c>
      <c r="K327" s="26">
        <v>133170</v>
      </c>
      <c r="O327" s="1">
        <v>44678</v>
      </c>
      <c r="P327">
        <v>-46.0563</v>
      </c>
      <c r="R327" s="1">
        <v>44678</v>
      </c>
      <c r="S327">
        <v>-11.592700000000001</v>
      </c>
      <c r="U327" s="1">
        <v>44678</v>
      </c>
      <c r="V327">
        <v>-4.3817000000000004</v>
      </c>
      <c r="BL327" s="1"/>
    </row>
    <row r="328" spans="9:64">
      <c r="I328" s="38">
        <v>45980</v>
      </c>
      <c r="J328">
        <v>28.58</v>
      </c>
      <c r="K328" s="26">
        <v>155959</v>
      </c>
      <c r="O328" s="1">
        <v>44679</v>
      </c>
      <c r="P328">
        <v>-45.070399999999999</v>
      </c>
      <c r="R328" s="1">
        <v>44679</v>
      </c>
      <c r="S328">
        <v>-10.401199999999999</v>
      </c>
      <c r="U328" s="1">
        <v>44679</v>
      </c>
      <c r="V328">
        <v>-1.8220000000000001</v>
      </c>
      <c r="BL328" s="1"/>
    </row>
    <row r="329" spans="9:64">
      <c r="I329" s="38">
        <v>45981</v>
      </c>
      <c r="J329">
        <v>27.8</v>
      </c>
      <c r="K329" s="26">
        <v>112347</v>
      </c>
      <c r="O329" s="1">
        <v>44680</v>
      </c>
      <c r="P329">
        <v>-43.908499999999997</v>
      </c>
      <c r="R329" s="1">
        <v>44680</v>
      </c>
      <c r="S329">
        <v>-9.6447000000000003</v>
      </c>
      <c r="U329" s="1">
        <v>44680</v>
      </c>
      <c r="V329">
        <v>-5.0216000000000003</v>
      </c>
      <c r="BL329" s="1"/>
    </row>
    <row r="330" spans="9:64">
      <c r="I330" s="38">
        <v>45982</v>
      </c>
      <c r="J330">
        <v>28.46</v>
      </c>
      <c r="K330" s="26">
        <v>146877</v>
      </c>
      <c r="O330" s="1">
        <v>44681</v>
      </c>
      <c r="P330">
        <v>-43.908499999999997</v>
      </c>
      <c r="R330" s="1">
        <v>44681</v>
      </c>
      <c r="S330">
        <v>-9.6447000000000003</v>
      </c>
      <c r="U330" s="1">
        <v>44681</v>
      </c>
      <c r="V330">
        <v>-5.0216000000000003</v>
      </c>
      <c r="BL330" s="1"/>
    </row>
    <row r="331" spans="9:64">
      <c r="I331" s="38">
        <v>45983</v>
      </c>
      <c r="J331">
        <v>28.46</v>
      </c>
      <c r="K331" s="26">
        <v>146877</v>
      </c>
      <c r="O331" s="1">
        <v>44682</v>
      </c>
      <c r="P331">
        <v>-43.908499999999997</v>
      </c>
      <c r="R331" s="1">
        <v>44682</v>
      </c>
      <c r="S331">
        <v>-9.6447000000000003</v>
      </c>
      <c r="U331" s="1">
        <v>44682</v>
      </c>
      <c r="V331">
        <v>-5.0216000000000003</v>
      </c>
      <c r="BL331" s="1"/>
    </row>
    <row r="332" spans="9:64">
      <c r="I332" s="38">
        <v>45984</v>
      </c>
      <c r="J332">
        <v>28.46</v>
      </c>
      <c r="K332" s="26">
        <v>146877</v>
      </c>
      <c r="O332" s="1">
        <v>44683</v>
      </c>
      <c r="P332">
        <v>-44.718299999999999</v>
      </c>
      <c r="R332" s="1">
        <v>44683</v>
      </c>
      <c r="S332">
        <v>-10.6625</v>
      </c>
      <c r="U332" s="1">
        <v>44683</v>
      </c>
      <c r="V332">
        <v>-3.3151000000000002</v>
      </c>
      <c r="BL332" s="1"/>
    </row>
    <row r="333" spans="9:64">
      <c r="I333" s="38">
        <v>45985</v>
      </c>
      <c r="J333">
        <v>28.94</v>
      </c>
      <c r="K333" s="26">
        <v>210305</v>
      </c>
      <c r="O333" s="1">
        <v>44684</v>
      </c>
      <c r="P333">
        <v>-43.133800000000001</v>
      </c>
      <c r="R333" s="1">
        <v>44684</v>
      </c>
      <c r="S333">
        <v>-10.019</v>
      </c>
      <c r="U333" s="1">
        <v>44684</v>
      </c>
      <c r="V333">
        <v>-3.1987999999999999</v>
      </c>
      <c r="BL333" s="1"/>
    </row>
    <row r="334" spans="9:64">
      <c r="I334" s="38">
        <v>45986</v>
      </c>
      <c r="J334">
        <v>29.5</v>
      </c>
      <c r="K334" s="26">
        <v>138453</v>
      </c>
      <c r="O334" s="1">
        <v>44685</v>
      </c>
      <c r="P334">
        <v>-43.380299999999998</v>
      </c>
      <c r="R334" s="1">
        <v>44685</v>
      </c>
      <c r="S334">
        <v>-10.459</v>
      </c>
      <c r="U334" s="1">
        <v>44685</v>
      </c>
      <c r="V334">
        <v>2.0199999999999999E-2</v>
      </c>
      <c r="BL334" s="1"/>
    </row>
    <row r="335" spans="9:64">
      <c r="I335" s="38">
        <v>45987</v>
      </c>
      <c r="J335">
        <v>29.32</v>
      </c>
      <c r="K335" s="26">
        <v>89815</v>
      </c>
      <c r="O335" s="1">
        <v>44686</v>
      </c>
      <c r="P335">
        <v>-45.528199999999998</v>
      </c>
      <c r="R335" s="1">
        <v>44686</v>
      </c>
      <c r="S335">
        <v>-10.896800000000001</v>
      </c>
      <c r="U335" s="1">
        <v>44686</v>
      </c>
      <c r="V335">
        <v>-3.7999000000000001</v>
      </c>
      <c r="BL335" s="1"/>
    </row>
    <row r="336" spans="9:64">
      <c r="I336" s="38">
        <v>45988</v>
      </c>
      <c r="J336">
        <v>29.4</v>
      </c>
      <c r="K336" s="26">
        <v>71332</v>
      </c>
      <c r="O336" s="1">
        <v>44687</v>
      </c>
      <c r="P336">
        <v>-44.577500000000001</v>
      </c>
      <c r="R336" s="1">
        <v>44687</v>
      </c>
      <c r="S336">
        <v>-12.359500000000001</v>
      </c>
      <c r="U336" s="1">
        <v>44687</v>
      </c>
      <c r="V336">
        <v>-4.3429000000000002</v>
      </c>
      <c r="BL336" s="1"/>
    </row>
    <row r="337" spans="9:64">
      <c r="I337" s="38">
        <v>45989</v>
      </c>
      <c r="J337">
        <v>29.36</v>
      </c>
      <c r="K337" s="26">
        <v>96161</v>
      </c>
      <c r="O337" s="1">
        <v>44688</v>
      </c>
      <c r="P337">
        <v>-44.577500000000001</v>
      </c>
      <c r="R337" s="1">
        <v>44688</v>
      </c>
      <c r="S337">
        <v>-12.359500000000001</v>
      </c>
      <c r="U337" s="1">
        <v>44688</v>
      </c>
      <c r="V337">
        <v>-4.3429000000000002</v>
      </c>
      <c r="BL337" s="1"/>
    </row>
    <row r="338" spans="9:64">
      <c r="I338" s="38">
        <v>45990</v>
      </c>
      <c r="J338">
        <v>29.36</v>
      </c>
      <c r="K338" s="26">
        <v>96161</v>
      </c>
      <c r="O338" s="1">
        <v>44689</v>
      </c>
      <c r="P338">
        <v>-44.577500000000001</v>
      </c>
      <c r="R338" s="1">
        <v>44689</v>
      </c>
      <c r="S338">
        <v>-12.359500000000001</v>
      </c>
      <c r="U338" s="1">
        <v>44689</v>
      </c>
      <c r="V338">
        <v>-4.3429000000000002</v>
      </c>
      <c r="BL338" s="1"/>
    </row>
    <row r="339" spans="9:64">
      <c r="I339" s="38">
        <v>45991</v>
      </c>
      <c r="J339">
        <v>29.36</v>
      </c>
      <c r="K339" s="26">
        <v>96161</v>
      </c>
      <c r="O339" s="1">
        <v>44690</v>
      </c>
      <c r="P339">
        <v>-45.7746</v>
      </c>
      <c r="R339" s="1">
        <v>44690</v>
      </c>
      <c r="S339">
        <v>-14.241400000000001</v>
      </c>
      <c r="U339" s="1">
        <v>44690</v>
      </c>
      <c r="V339">
        <v>-5.0602999999999998</v>
      </c>
      <c r="BL339" s="1"/>
    </row>
    <row r="340" spans="9:64">
      <c r="I340" s="38">
        <v>45992</v>
      </c>
      <c r="J340">
        <v>28.88</v>
      </c>
      <c r="K340" s="26">
        <v>95860</v>
      </c>
      <c r="O340" s="1">
        <v>44691</v>
      </c>
      <c r="P340">
        <v>-46.267600000000002</v>
      </c>
      <c r="R340" s="1">
        <v>44691</v>
      </c>
      <c r="S340">
        <v>-13.2539</v>
      </c>
      <c r="U340" s="1">
        <v>44691</v>
      </c>
      <c r="V340">
        <v>-3.9163000000000001</v>
      </c>
      <c r="BL340" s="1"/>
    </row>
    <row r="341" spans="9:64">
      <c r="I341" s="38">
        <v>45993</v>
      </c>
      <c r="J341">
        <v>28.58</v>
      </c>
      <c r="K341" s="26">
        <v>177005</v>
      </c>
      <c r="O341" s="1">
        <v>44692</v>
      </c>
      <c r="P341">
        <v>-44.471800000000002</v>
      </c>
      <c r="R341" s="1">
        <v>44692</v>
      </c>
      <c r="S341">
        <v>-11.3703</v>
      </c>
      <c r="U341" s="1">
        <v>44692</v>
      </c>
      <c r="V341">
        <v>-5.6615000000000002</v>
      </c>
      <c r="BL341" s="1"/>
    </row>
    <row r="342" spans="9:64">
      <c r="I342" s="38">
        <v>45994</v>
      </c>
      <c r="J342">
        <v>28.16</v>
      </c>
      <c r="K342" s="26">
        <v>96188</v>
      </c>
      <c r="O342" s="1">
        <v>44693</v>
      </c>
      <c r="P342">
        <v>-44.154899999999998</v>
      </c>
      <c r="R342" s="1">
        <v>44693</v>
      </c>
      <c r="S342">
        <v>-11.9407</v>
      </c>
      <c r="U342" s="1">
        <v>44693</v>
      </c>
      <c r="V342">
        <v>-6.3596000000000004</v>
      </c>
      <c r="BL342" s="1"/>
    </row>
    <row r="343" spans="9:64">
      <c r="I343" s="38">
        <v>45995</v>
      </c>
      <c r="J343">
        <v>28.94</v>
      </c>
      <c r="K343" s="26">
        <v>121231</v>
      </c>
      <c r="O343" s="1">
        <v>44694</v>
      </c>
      <c r="P343">
        <v>-42.183100000000003</v>
      </c>
      <c r="R343" s="1">
        <v>44694</v>
      </c>
      <c r="S343">
        <v>-10.093</v>
      </c>
      <c r="U343" s="1">
        <v>44694</v>
      </c>
      <c r="V343">
        <v>-3.8969</v>
      </c>
      <c r="BL343" s="1"/>
    </row>
    <row r="344" spans="9:64">
      <c r="I344" s="38">
        <v>45996</v>
      </c>
      <c r="J344">
        <v>29.5</v>
      </c>
      <c r="K344" s="26">
        <v>179934</v>
      </c>
      <c r="O344" s="1">
        <v>44695</v>
      </c>
      <c r="P344">
        <v>-42.183100000000003</v>
      </c>
      <c r="R344" s="1">
        <v>44695</v>
      </c>
      <c r="S344">
        <v>-10.093</v>
      </c>
      <c r="U344" s="1">
        <v>44695</v>
      </c>
      <c r="V344">
        <v>-3.8969</v>
      </c>
      <c r="BL344" s="1"/>
    </row>
    <row r="345" spans="9:64">
      <c r="I345" s="38">
        <v>45997</v>
      </c>
      <c r="J345">
        <v>29.5</v>
      </c>
      <c r="K345" s="26">
        <v>179934</v>
      </c>
      <c r="O345" s="1">
        <v>44696</v>
      </c>
      <c r="P345">
        <v>-42.183100000000003</v>
      </c>
      <c r="R345" s="1">
        <v>44696</v>
      </c>
      <c r="S345">
        <v>-10.093</v>
      </c>
      <c r="U345" s="1">
        <v>44696</v>
      </c>
      <c r="V345">
        <v>-3.8969</v>
      </c>
      <c r="BL345" s="1"/>
    </row>
    <row r="346" spans="9:64">
      <c r="I346" s="38">
        <v>45998</v>
      </c>
      <c r="J346">
        <v>29.5</v>
      </c>
      <c r="K346" s="26">
        <v>179934</v>
      </c>
      <c r="O346" s="1">
        <v>44697</v>
      </c>
      <c r="P346">
        <v>-41.7958</v>
      </c>
      <c r="R346" s="1">
        <v>44697</v>
      </c>
      <c r="S346">
        <v>-10.500299999999999</v>
      </c>
      <c r="U346" s="1">
        <v>44697</v>
      </c>
      <c r="V346">
        <v>-4.9828000000000001</v>
      </c>
      <c r="BL346" s="1"/>
    </row>
    <row r="347" spans="9:64">
      <c r="I347" s="38">
        <v>45999</v>
      </c>
      <c r="J347">
        <v>29.2</v>
      </c>
      <c r="K347" s="26">
        <v>93468</v>
      </c>
      <c r="O347" s="1">
        <v>44698</v>
      </c>
      <c r="P347">
        <v>-40.211300000000001</v>
      </c>
      <c r="R347" s="1">
        <v>44698</v>
      </c>
      <c r="S347">
        <v>-9.0802999999999994</v>
      </c>
      <c r="U347" s="1">
        <v>44698</v>
      </c>
      <c r="V347">
        <v>-1.8802000000000001</v>
      </c>
      <c r="BL347" s="1"/>
    </row>
    <row r="348" spans="9:64">
      <c r="I348" s="38">
        <v>46000</v>
      </c>
      <c r="J348">
        <v>28.7</v>
      </c>
      <c r="K348" s="26">
        <v>122817</v>
      </c>
      <c r="O348" s="1">
        <v>44699</v>
      </c>
      <c r="P348">
        <v>-39.859200000000001</v>
      </c>
      <c r="R348" s="1">
        <v>44699</v>
      </c>
      <c r="S348">
        <v>-10.222300000000001</v>
      </c>
      <c r="U348" s="1">
        <v>44699</v>
      </c>
      <c r="V348">
        <v>-6.2237999999999998</v>
      </c>
      <c r="BL348" s="1"/>
    </row>
    <row r="349" spans="9:64">
      <c r="I349" s="38">
        <v>46001</v>
      </c>
      <c r="J349">
        <v>28.98</v>
      </c>
      <c r="K349" s="26">
        <v>87032</v>
      </c>
      <c r="O349" s="1">
        <v>44700</v>
      </c>
      <c r="P349">
        <v>-41.197200000000002</v>
      </c>
      <c r="R349" s="1">
        <v>44700</v>
      </c>
      <c r="S349">
        <v>-11.026400000000001</v>
      </c>
      <c r="U349" s="1">
        <v>44700</v>
      </c>
      <c r="V349">
        <v>-19.099599999999999</v>
      </c>
      <c r="BL349" s="1"/>
    </row>
    <row r="350" spans="9:64">
      <c r="I350" s="38">
        <v>46002</v>
      </c>
      <c r="J350">
        <v>30.02</v>
      </c>
      <c r="K350" s="26">
        <v>220229</v>
      </c>
      <c r="O350" s="1">
        <v>44701</v>
      </c>
      <c r="P350">
        <v>-42.429600000000001</v>
      </c>
      <c r="R350" s="1">
        <v>44701</v>
      </c>
      <c r="S350">
        <v>-10.3879</v>
      </c>
      <c r="U350" s="1">
        <v>44701</v>
      </c>
      <c r="V350">
        <v>-16.733899999999998</v>
      </c>
      <c r="BL350" s="1"/>
    </row>
    <row r="351" spans="9:64">
      <c r="I351" s="38">
        <v>46003</v>
      </c>
      <c r="J351">
        <v>30.56</v>
      </c>
      <c r="K351" s="26">
        <v>139606</v>
      </c>
      <c r="O351" s="1">
        <v>44702</v>
      </c>
      <c r="P351">
        <v>-42.429600000000001</v>
      </c>
      <c r="R351" s="1">
        <v>44702</v>
      </c>
      <c r="S351">
        <v>-10.3879</v>
      </c>
      <c r="U351" s="1">
        <v>44702</v>
      </c>
      <c r="V351">
        <v>-16.733899999999998</v>
      </c>
      <c r="BL351" s="1"/>
    </row>
    <row r="352" spans="9:64" ht="15" thickBot="1">
      <c r="I352" s="39">
        <v>46004</v>
      </c>
      <c r="J352" s="28">
        <v>30.56</v>
      </c>
      <c r="K352" s="29">
        <v>139606</v>
      </c>
      <c r="O352" s="1">
        <v>44703</v>
      </c>
      <c r="P352">
        <v>-42.429600000000001</v>
      </c>
      <c r="R352" s="1">
        <v>44703</v>
      </c>
      <c r="S352">
        <v>-10.3879</v>
      </c>
      <c r="U352" s="1">
        <v>44703</v>
      </c>
      <c r="V352">
        <v>-16.733899999999998</v>
      </c>
      <c r="BL352" s="1"/>
    </row>
    <row r="353" spans="9:64">
      <c r="I353" s="1">
        <v>46005</v>
      </c>
      <c r="J353">
        <v>30.56</v>
      </c>
      <c r="K353">
        <v>139606</v>
      </c>
      <c r="O353" s="1">
        <v>44704</v>
      </c>
      <c r="P353">
        <v>-42.112699999999997</v>
      </c>
      <c r="R353" s="1">
        <v>44704</v>
      </c>
      <c r="S353">
        <v>-9.1478000000000002</v>
      </c>
      <c r="U353" s="1">
        <v>44704</v>
      </c>
      <c r="V353">
        <v>-15.938800000000001</v>
      </c>
      <c r="BL353" s="1"/>
    </row>
    <row r="354" spans="9:64">
      <c r="I354" s="1">
        <v>46006</v>
      </c>
      <c r="J354">
        <v>30.52</v>
      </c>
      <c r="K354">
        <v>152447</v>
      </c>
      <c r="O354" s="1">
        <v>44705</v>
      </c>
      <c r="P354">
        <v>-43.5563</v>
      </c>
      <c r="R354" s="1">
        <v>44705</v>
      </c>
      <c r="S354">
        <v>-10.786300000000001</v>
      </c>
      <c r="U354" s="1">
        <v>44705</v>
      </c>
      <c r="V354">
        <v>-15.1244</v>
      </c>
      <c r="BL354" s="1"/>
    </row>
    <row r="355" spans="9:64">
      <c r="I355" s="1">
        <v>46007</v>
      </c>
      <c r="J355">
        <v>30.28</v>
      </c>
      <c r="K355">
        <v>159462</v>
      </c>
      <c r="O355" s="1">
        <v>44706</v>
      </c>
      <c r="P355">
        <v>-41.584499999999998</v>
      </c>
      <c r="R355" s="1">
        <v>44706</v>
      </c>
      <c r="S355">
        <v>-10.2212</v>
      </c>
      <c r="U355" s="1">
        <v>44706</v>
      </c>
      <c r="V355">
        <v>-14.6784</v>
      </c>
      <c r="BL355" s="1"/>
    </row>
    <row r="356" spans="9:64">
      <c r="I356" s="1">
        <v>46008</v>
      </c>
      <c r="J356">
        <v>30.22</v>
      </c>
      <c r="K356">
        <v>137596</v>
      </c>
      <c r="O356" s="1">
        <v>44707</v>
      </c>
      <c r="P356">
        <v>-40.7042</v>
      </c>
      <c r="R356" s="1">
        <v>44707</v>
      </c>
      <c r="S356">
        <v>-8.7896000000000001</v>
      </c>
      <c r="U356" s="1">
        <v>44707</v>
      </c>
      <c r="V356">
        <v>-12.758699999999999</v>
      </c>
      <c r="BL356" s="1"/>
    </row>
    <row r="357" spans="9:64">
      <c r="I357" s="1">
        <v>46009</v>
      </c>
      <c r="J357">
        <v>30.52</v>
      </c>
      <c r="K357">
        <v>195144</v>
      </c>
      <c r="O357" s="1">
        <v>44708</v>
      </c>
      <c r="P357">
        <v>-39.190100000000001</v>
      </c>
      <c r="R357" s="1">
        <v>44708</v>
      </c>
      <c r="S357">
        <v>-7.3098000000000001</v>
      </c>
      <c r="U357" s="1">
        <v>44708</v>
      </c>
      <c r="V357">
        <v>-11.537000000000001</v>
      </c>
      <c r="BL357" s="1"/>
    </row>
    <row r="358" spans="9:64">
      <c r="I358" s="1">
        <v>46010</v>
      </c>
      <c r="J358">
        <v>30.38</v>
      </c>
      <c r="K358">
        <v>177931</v>
      </c>
      <c r="O358" s="1">
        <v>44709</v>
      </c>
      <c r="P358">
        <v>-39.190100000000001</v>
      </c>
      <c r="R358" s="1">
        <v>44709</v>
      </c>
      <c r="S358">
        <v>-7.3098000000000001</v>
      </c>
      <c r="U358" s="1">
        <v>44709</v>
      </c>
      <c r="V358">
        <v>-11.537000000000001</v>
      </c>
      <c r="BL358" s="1"/>
    </row>
    <row r="359" spans="9:64">
      <c r="I359" s="1">
        <v>46011</v>
      </c>
      <c r="J359">
        <v>30.38</v>
      </c>
      <c r="K359">
        <v>177931</v>
      </c>
      <c r="O359" s="1">
        <v>44710</v>
      </c>
      <c r="P359">
        <v>-39.190100000000001</v>
      </c>
      <c r="R359" s="1">
        <v>44710</v>
      </c>
      <c r="S359">
        <v>-7.3098000000000001</v>
      </c>
      <c r="U359" s="1">
        <v>44710</v>
      </c>
      <c r="V359">
        <v>-11.537000000000001</v>
      </c>
      <c r="BL359" s="1"/>
    </row>
    <row r="360" spans="9:64">
      <c r="I360" s="1">
        <v>46012</v>
      </c>
      <c r="J360">
        <v>30.38</v>
      </c>
      <c r="K360">
        <v>177931</v>
      </c>
      <c r="O360" s="1">
        <v>44711</v>
      </c>
      <c r="P360">
        <v>-37.746499999999997</v>
      </c>
      <c r="R360" s="1">
        <v>44711</v>
      </c>
      <c r="S360">
        <v>-6.5804999999999998</v>
      </c>
      <c r="U360" s="1">
        <v>44711</v>
      </c>
      <c r="V360">
        <v>-11.537000000000001</v>
      </c>
      <c r="BL360" s="1"/>
    </row>
    <row r="361" spans="9:64">
      <c r="I361" s="1">
        <v>46013</v>
      </c>
      <c r="J361">
        <v>30.02</v>
      </c>
      <c r="K361">
        <v>98389</v>
      </c>
      <c r="O361" s="1">
        <v>44712</v>
      </c>
      <c r="P361">
        <v>-39.612699999999997</v>
      </c>
      <c r="R361" s="1">
        <v>44712</v>
      </c>
      <c r="S361">
        <v>-7.7830000000000004</v>
      </c>
      <c r="U361" s="1">
        <v>44712</v>
      </c>
      <c r="V361">
        <v>-12.642300000000001</v>
      </c>
      <c r="BL361" s="1"/>
    </row>
    <row r="362" spans="9:64">
      <c r="I362" s="1">
        <v>46014</v>
      </c>
      <c r="J362">
        <v>29.96</v>
      </c>
      <c r="K362">
        <v>57804</v>
      </c>
      <c r="O362" s="1">
        <v>44713</v>
      </c>
      <c r="P362">
        <v>-39.2254</v>
      </c>
      <c r="R362" s="1">
        <v>44713</v>
      </c>
      <c r="S362">
        <v>-8.0899000000000001</v>
      </c>
      <c r="U362" s="1">
        <v>44713</v>
      </c>
      <c r="V362">
        <v>-12.2933</v>
      </c>
      <c r="BL362" s="1"/>
    </row>
    <row r="363" spans="9:64">
      <c r="I363" s="1">
        <v>46015</v>
      </c>
      <c r="J363">
        <v>29.96</v>
      </c>
      <c r="K363">
        <v>57804</v>
      </c>
      <c r="O363" s="1">
        <v>44714</v>
      </c>
      <c r="P363">
        <v>-38.661999999999999</v>
      </c>
      <c r="R363" s="1">
        <v>44714</v>
      </c>
      <c r="S363">
        <v>-7.1624999999999996</v>
      </c>
      <c r="U363" s="1">
        <v>44714</v>
      </c>
      <c r="V363">
        <v>-11.2074</v>
      </c>
      <c r="BL363" s="1"/>
    </row>
    <row r="364" spans="9:64">
      <c r="I364" s="1">
        <v>46016</v>
      </c>
      <c r="J364">
        <v>29.96</v>
      </c>
      <c r="K364">
        <v>57804</v>
      </c>
      <c r="O364" s="1">
        <v>44715</v>
      </c>
      <c r="P364">
        <v>-38.697200000000002</v>
      </c>
      <c r="R364" s="1">
        <v>44715</v>
      </c>
      <c r="S364">
        <v>-7.3231999999999999</v>
      </c>
      <c r="U364" s="1">
        <v>44715</v>
      </c>
      <c r="V364">
        <v>-12.2545</v>
      </c>
      <c r="BL364" s="1"/>
    </row>
    <row r="365" spans="9:64">
      <c r="I365" s="1">
        <v>46017</v>
      </c>
      <c r="J365">
        <v>29.96</v>
      </c>
      <c r="K365">
        <v>57804</v>
      </c>
      <c r="O365" s="1">
        <v>44716</v>
      </c>
      <c r="P365">
        <v>-38.697200000000002</v>
      </c>
      <c r="R365" s="1">
        <v>44716</v>
      </c>
      <c r="S365">
        <v>-7.3231999999999999</v>
      </c>
      <c r="U365" s="1">
        <v>44716</v>
      </c>
      <c r="V365">
        <v>-12.2545</v>
      </c>
      <c r="BL365" s="1"/>
    </row>
    <row r="366" spans="9:64">
      <c r="I366" s="1">
        <v>46018</v>
      </c>
      <c r="J366">
        <v>29.96</v>
      </c>
      <c r="K366">
        <v>57804</v>
      </c>
      <c r="O366" s="1">
        <v>44717</v>
      </c>
      <c r="P366">
        <v>-38.697200000000002</v>
      </c>
      <c r="R366" s="1">
        <v>44717</v>
      </c>
      <c r="S366">
        <v>-7.3231999999999999</v>
      </c>
      <c r="U366" s="1">
        <v>44717</v>
      </c>
      <c r="V366">
        <v>-12.2545</v>
      </c>
      <c r="BL366" s="1"/>
    </row>
    <row r="367" spans="9:64">
      <c r="I367" s="1">
        <v>46019</v>
      </c>
      <c r="J367">
        <v>29.96</v>
      </c>
      <c r="K367">
        <v>57804</v>
      </c>
      <c r="O367" s="1">
        <v>44718</v>
      </c>
      <c r="P367">
        <v>-36.584499999999998</v>
      </c>
      <c r="R367" s="1">
        <v>44718</v>
      </c>
      <c r="S367">
        <v>-6.0815999999999999</v>
      </c>
      <c r="U367" s="1">
        <v>44718</v>
      </c>
      <c r="V367">
        <v>-12.099399999999999</v>
      </c>
      <c r="BL367" s="1"/>
    </row>
    <row r="368" spans="9:64">
      <c r="I368" s="1">
        <v>46020</v>
      </c>
      <c r="J368">
        <v>30.48</v>
      </c>
      <c r="K368">
        <v>85334</v>
      </c>
      <c r="O368" s="1">
        <v>44719</v>
      </c>
      <c r="P368">
        <v>-38.133800000000001</v>
      </c>
      <c r="R368" s="1">
        <v>44719</v>
      </c>
      <c r="S368">
        <v>-6.7045000000000003</v>
      </c>
      <c r="U368" s="1">
        <v>44719</v>
      </c>
      <c r="V368">
        <v>-11.634</v>
      </c>
      <c r="BL368" s="1"/>
    </row>
    <row r="369" spans="9:64">
      <c r="I369" s="1">
        <v>46021</v>
      </c>
      <c r="J369">
        <v>30.5</v>
      </c>
      <c r="K369">
        <v>104661</v>
      </c>
      <c r="O369" s="1">
        <v>44720</v>
      </c>
      <c r="P369">
        <v>-37.816899999999997</v>
      </c>
      <c r="R369" s="1">
        <v>44720</v>
      </c>
      <c r="S369">
        <v>-7.4135999999999997</v>
      </c>
      <c r="U369" s="1">
        <v>44720</v>
      </c>
      <c r="V369">
        <v>-12.894399999999999</v>
      </c>
      <c r="BL369" s="1"/>
    </row>
    <row r="370" spans="9:64">
      <c r="I370" s="1">
        <v>46022</v>
      </c>
      <c r="J370">
        <v>30.5</v>
      </c>
      <c r="K370">
        <v>104661</v>
      </c>
      <c r="O370" s="1">
        <v>44721</v>
      </c>
      <c r="P370">
        <v>-40.281700000000001</v>
      </c>
      <c r="R370" s="1">
        <v>44721</v>
      </c>
      <c r="S370">
        <v>-8.9978999999999996</v>
      </c>
      <c r="U370" s="1">
        <v>44721</v>
      </c>
      <c r="V370">
        <v>-14.174200000000001</v>
      </c>
      <c r="BL370" s="1"/>
    </row>
    <row r="371" spans="9:64">
      <c r="I371" s="1">
        <v>46023</v>
      </c>
      <c r="J371">
        <v>30.5</v>
      </c>
      <c r="K371">
        <v>104661</v>
      </c>
      <c r="O371" s="1">
        <v>44722</v>
      </c>
      <c r="P371">
        <v>-42.359200000000001</v>
      </c>
      <c r="R371" s="1">
        <v>44722</v>
      </c>
      <c r="S371">
        <v>-11.798500000000001</v>
      </c>
      <c r="U371" s="1">
        <v>44722</v>
      </c>
      <c r="V371">
        <v>-15.667400000000001</v>
      </c>
      <c r="BL371" s="1"/>
    </row>
    <row r="372" spans="9:64">
      <c r="I372" s="1">
        <v>46024</v>
      </c>
      <c r="J372">
        <v>31.38</v>
      </c>
      <c r="K372">
        <v>127006</v>
      </c>
      <c r="O372" s="1">
        <v>44723</v>
      </c>
      <c r="P372">
        <v>-42.359200000000001</v>
      </c>
      <c r="R372" s="1">
        <v>44723</v>
      </c>
      <c r="S372">
        <v>-11.798500000000001</v>
      </c>
      <c r="U372" s="1">
        <v>44723</v>
      </c>
      <c r="V372">
        <v>-15.667400000000001</v>
      </c>
      <c r="BL372" s="1"/>
    </row>
    <row r="373" spans="9:64">
      <c r="I373" s="1">
        <v>46025</v>
      </c>
      <c r="J373">
        <v>31.38</v>
      </c>
      <c r="K373">
        <v>127006</v>
      </c>
      <c r="O373" s="1">
        <v>44724</v>
      </c>
      <c r="P373">
        <v>-42.359200000000001</v>
      </c>
      <c r="R373" s="1">
        <v>44724</v>
      </c>
      <c r="S373">
        <v>-11.798500000000001</v>
      </c>
      <c r="U373" s="1">
        <v>44724</v>
      </c>
      <c r="V373">
        <v>-15.667400000000001</v>
      </c>
      <c r="BL373" s="1"/>
    </row>
    <row r="374" spans="9:64">
      <c r="I374" s="1">
        <v>46026</v>
      </c>
      <c r="J374">
        <v>31.38</v>
      </c>
      <c r="K374">
        <v>127006</v>
      </c>
      <c r="O374" s="1">
        <v>44725</v>
      </c>
      <c r="P374">
        <v>-45.119500000000002</v>
      </c>
      <c r="R374" s="1">
        <v>44725</v>
      </c>
      <c r="S374">
        <v>-13.9442</v>
      </c>
      <c r="U374" s="1">
        <v>44725</v>
      </c>
      <c r="V374">
        <v>-16.152200000000001</v>
      </c>
      <c r="BL374" s="1"/>
    </row>
    <row r="375" spans="9:64">
      <c r="I375" s="1">
        <v>46027</v>
      </c>
      <c r="J375">
        <v>30.84</v>
      </c>
      <c r="K375">
        <v>95029</v>
      </c>
      <c r="O375" s="1">
        <v>44726</v>
      </c>
      <c r="P375">
        <v>-46.136499999999998</v>
      </c>
      <c r="R375" s="1">
        <v>44726</v>
      </c>
      <c r="S375">
        <v>-14.7303</v>
      </c>
      <c r="U375" s="1">
        <v>44726</v>
      </c>
      <c r="V375">
        <v>-16.792100000000001</v>
      </c>
      <c r="BL375" s="1"/>
    </row>
    <row r="376" spans="9:64">
      <c r="I376" s="1">
        <v>46028</v>
      </c>
      <c r="J376">
        <v>31.78</v>
      </c>
      <c r="K376">
        <v>134401</v>
      </c>
      <c r="O376" s="1">
        <v>44727</v>
      </c>
      <c r="P376">
        <v>-44.393099999999997</v>
      </c>
      <c r="R376" s="1">
        <v>44727</v>
      </c>
      <c r="S376">
        <v>-13.5708</v>
      </c>
      <c r="U376" s="1">
        <v>44727</v>
      </c>
      <c r="V376">
        <v>-15.0662</v>
      </c>
      <c r="BL376" s="1"/>
    </row>
    <row r="377" spans="9:64">
      <c r="I377" s="1">
        <v>46029</v>
      </c>
      <c r="J377">
        <v>32.24</v>
      </c>
      <c r="K377">
        <v>151535</v>
      </c>
      <c r="O377" s="1">
        <v>44728</v>
      </c>
      <c r="P377">
        <v>-47.2988</v>
      </c>
      <c r="R377" s="1">
        <v>44728</v>
      </c>
      <c r="S377">
        <v>-16.4345</v>
      </c>
      <c r="U377" s="1">
        <v>44728</v>
      </c>
      <c r="V377">
        <v>-15.997</v>
      </c>
      <c r="BL377" s="1"/>
    </row>
    <row r="378" spans="9:64">
      <c r="I378" s="1">
        <v>46030</v>
      </c>
      <c r="J378">
        <v>31.68</v>
      </c>
      <c r="K378">
        <v>114077</v>
      </c>
      <c r="O378" s="1">
        <v>44729</v>
      </c>
      <c r="P378">
        <v>-45.628</v>
      </c>
      <c r="R378" s="1">
        <v>44729</v>
      </c>
      <c r="S378">
        <v>-15.8719</v>
      </c>
      <c r="U378" s="1">
        <v>44729</v>
      </c>
      <c r="V378">
        <v>-15.8613</v>
      </c>
      <c r="BL378" s="1"/>
    </row>
    <row r="379" spans="9:64">
      <c r="I379" s="1">
        <v>46031</v>
      </c>
      <c r="J379">
        <v>31.52</v>
      </c>
      <c r="K379">
        <v>181592</v>
      </c>
      <c r="O379" s="1">
        <v>44730</v>
      </c>
      <c r="P379">
        <v>-45.628</v>
      </c>
      <c r="R379" s="1">
        <v>44730</v>
      </c>
      <c r="S379">
        <v>-15.8719</v>
      </c>
      <c r="U379" s="1">
        <v>44730</v>
      </c>
      <c r="V379">
        <v>-15.8613</v>
      </c>
      <c r="BL379" s="1"/>
    </row>
    <row r="380" spans="9:64">
      <c r="I380" s="1">
        <v>46032</v>
      </c>
      <c r="J380">
        <v>31.52</v>
      </c>
      <c r="K380">
        <v>181592</v>
      </c>
      <c r="O380" s="1">
        <v>44731</v>
      </c>
      <c r="P380">
        <v>-45.628</v>
      </c>
      <c r="R380" s="1">
        <v>44731</v>
      </c>
      <c r="S380">
        <v>-15.8719</v>
      </c>
      <c r="U380" s="1">
        <v>44731</v>
      </c>
      <c r="V380">
        <v>-15.8613</v>
      </c>
      <c r="BL380" s="1"/>
    </row>
    <row r="381" spans="9:64">
      <c r="I381" s="1">
        <v>46033</v>
      </c>
      <c r="J381">
        <v>31.52</v>
      </c>
      <c r="K381">
        <v>181592</v>
      </c>
      <c r="O381" s="1">
        <v>44732</v>
      </c>
      <c r="P381">
        <v>-44.465800000000002</v>
      </c>
      <c r="R381" s="1">
        <v>44732</v>
      </c>
      <c r="S381">
        <v>-14.978899999999999</v>
      </c>
      <c r="U381" s="1">
        <v>44732</v>
      </c>
      <c r="V381">
        <v>-15.8613</v>
      </c>
      <c r="BL381" s="1"/>
    </row>
    <row r="382" spans="9:64">
      <c r="I382" s="1">
        <v>46034</v>
      </c>
      <c r="J382">
        <v>31.42</v>
      </c>
      <c r="K382">
        <v>85085</v>
      </c>
      <c r="O382" s="1">
        <v>44733</v>
      </c>
      <c r="P382">
        <v>-43.848300000000002</v>
      </c>
      <c r="R382" s="1">
        <v>44733</v>
      </c>
      <c r="S382">
        <v>-14.8071</v>
      </c>
      <c r="U382" s="1">
        <v>44733</v>
      </c>
      <c r="V382">
        <v>-14.4069</v>
      </c>
      <c r="BL382" s="1"/>
    </row>
    <row r="383" spans="9:64">
      <c r="I383" s="1">
        <v>46035</v>
      </c>
      <c r="J383">
        <v>30.88</v>
      </c>
      <c r="K383">
        <v>157885</v>
      </c>
      <c r="O383" s="1">
        <v>44734</v>
      </c>
      <c r="P383">
        <v>-45.809600000000003</v>
      </c>
      <c r="R383" s="1">
        <v>44734</v>
      </c>
      <c r="S383">
        <v>-15.756399999999999</v>
      </c>
      <c r="U383" s="1">
        <v>44734</v>
      </c>
      <c r="V383">
        <v>-15.5122</v>
      </c>
      <c r="BL383" s="1"/>
    </row>
    <row r="384" spans="9:64">
      <c r="I384" s="1">
        <v>46036</v>
      </c>
      <c r="J384">
        <v>30.8</v>
      </c>
      <c r="K384">
        <v>129260</v>
      </c>
      <c r="O384" s="1">
        <v>44735</v>
      </c>
      <c r="P384">
        <v>-48.3521</v>
      </c>
      <c r="R384" s="1">
        <v>44735</v>
      </c>
      <c r="S384">
        <v>-17.241399999999999</v>
      </c>
      <c r="U384" s="1">
        <v>44735</v>
      </c>
      <c r="V384">
        <v>-16.753299999999999</v>
      </c>
      <c r="BL384" s="1"/>
    </row>
    <row r="385" spans="9:64">
      <c r="I385" s="1">
        <v>46037</v>
      </c>
      <c r="J385">
        <v>31.3</v>
      </c>
      <c r="K385">
        <v>119501</v>
      </c>
      <c r="O385" s="1">
        <v>44736</v>
      </c>
      <c r="P385">
        <v>-47.625599999999999</v>
      </c>
      <c r="R385" s="1">
        <v>44736</v>
      </c>
      <c r="S385">
        <v>-15.923999999999999</v>
      </c>
      <c r="U385" s="1">
        <v>44736</v>
      </c>
      <c r="V385">
        <v>-14.484500000000001</v>
      </c>
      <c r="BL385" s="1"/>
    </row>
    <row r="386" spans="9:64">
      <c r="I386" s="1">
        <v>46038</v>
      </c>
      <c r="J386">
        <v>31.04</v>
      </c>
      <c r="K386">
        <v>103478</v>
      </c>
      <c r="O386" s="1">
        <v>44737</v>
      </c>
      <c r="P386">
        <v>-47.625599999999999</v>
      </c>
      <c r="R386" s="1">
        <v>44737</v>
      </c>
      <c r="S386">
        <v>-15.923999999999999</v>
      </c>
      <c r="U386" s="1">
        <v>44737</v>
      </c>
      <c r="V386">
        <v>-14.484500000000001</v>
      </c>
      <c r="BL386" s="1"/>
    </row>
    <row r="387" spans="9:64">
      <c r="I387" s="1">
        <v>46039</v>
      </c>
      <c r="J387">
        <v>31.04</v>
      </c>
      <c r="K387">
        <v>103478</v>
      </c>
      <c r="O387" s="1">
        <v>44738</v>
      </c>
      <c r="P387">
        <v>-47.625599999999999</v>
      </c>
      <c r="R387" s="1">
        <v>44738</v>
      </c>
      <c r="S387">
        <v>-15.923999999999999</v>
      </c>
      <c r="U387" s="1">
        <v>44738</v>
      </c>
      <c r="V387">
        <v>-14.484500000000001</v>
      </c>
      <c r="BL387" s="1"/>
    </row>
    <row r="388" spans="9:64">
      <c r="I388" s="1">
        <v>46040</v>
      </c>
      <c r="J388">
        <v>31.04</v>
      </c>
      <c r="K388">
        <v>103478</v>
      </c>
      <c r="O388" s="1">
        <v>44739</v>
      </c>
      <c r="P388">
        <v>-46.499699999999997</v>
      </c>
      <c r="R388" s="1">
        <v>44739</v>
      </c>
      <c r="S388">
        <v>-15.4886</v>
      </c>
      <c r="U388" s="1">
        <v>44739</v>
      </c>
      <c r="V388">
        <v>-15.1244</v>
      </c>
      <c r="BL388" s="1"/>
    </row>
    <row r="389" spans="9:64">
      <c r="I389" s="1">
        <v>46041</v>
      </c>
      <c r="J389">
        <v>30.32</v>
      </c>
      <c r="K389">
        <v>132457</v>
      </c>
      <c r="O389" s="1">
        <v>44740</v>
      </c>
      <c r="P389">
        <v>-45.555399999999999</v>
      </c>
      <c r="R389" s="1">
        <v>44740</v>
      </c>
      <c r="S389">
        <v>-15.195399999999999</v>
      </c>
      <c r="U389" s="1">
        <v>44740</v>
      </c>
      <c r="V389">
        <v>-16.501200000000001</v>
      </c>
      <c r="BL389" s="1"/>
    </row>
    <row r="390" spans="9:64">
      <c r="I390" s="1">
        <v>46042</v>
      </c>
      <c r="J390">
        <v>29.52</v>
      </c>
      <c r="K390">
        <v>281320</v>
      </c>
      <c r="O390" s="1">
        <v>44741</v>
      </c>
      <c r="P390">
        <v>-47.589300000000001</v>
      </c>
      <c r="R390" s="1">
        <v>44741</v>
      </c>
      <c r="S390">
        <v>-16.659700000000001</v>
      </c>
      <c r="U390" s="1">
        <v>44741</v>
      </c>
      <c r="V390">
        <v>-16.850200000000001</v>
      </c>
      <c r="BL390" s="1"/>
    </row>
    <row r="391" spans="9:64">
      <c r="I391" s="1">
        <v>46043</v>
      </c>
      <c r="J391">
        <v>31.32</v>
      </c>
      <c r="K391">
        <v>475859</v>
      </c>
      <c r="O391" s="1">
        <v>44742</v>
      </c>
      <c r="P391">
        <v>-49.296399999999998</v>
      </c>
      <c r="R391" s="1">
        <v>44742</v>
      </c>
      <c r="S391">
        <v>-18.067</v>
      </c>
      <c r="U391" s="1">
        <v>44742</v>
      </c>
      <c r="V391">
        <v>-17.3156</v>
      </c>
      <c r="BL391" s="1"/>
    </row>
    <row r="392" spans="9:64">
      <c r="I392" s="1">
        <v>46044</v>
      </c>
      <c r="J392">
        <v>31.42</v>
      </c>
      <c r="K392">
        <v>185997</v>
      </c>
      <c r="O392" s="1">
        <v>44743</v>
      </c>
      <c r="P392">
        <v>-49.369</v>
      </c>
      <c r="R392" s="1">
        <v>44743</v>
      </c>
      <c r="S392">
        <v>-17.8795</v>
      </c>
      <c r="U392" s="1">
        <v>44743</v>
      </c>
      <c r="V392">
        <v>-17.3932</v>
      </c>
      <c r="BL392" s="1"/>
    </row>
    <row r="393" spans="9:64">
      <c r="I393" s="1">
        <v>46045</v>
      </c>
      <c r="J393">
        <v>31.38</v>
      </c>
      <c r="K393">
        <v>112435</v>
      </c>
      <c r="O393" s="1">
        <v>44744</v>
      </c>
      <c r="P393">
        <v>-49.369</v>
      </c>
      <c r="R393" s="1">
        <v>44744</v>
      </c>
      <c r="S393">
        <v>-17.8795</v>
      </c>
      <c r="U393" s="1">
        <v>44744</v>
      </c>
      <c r="V393">
        <v>-17.3932</v>
      </c>
      <c r="BL393" s="1"/>
    </row>
    <row r="394" spans="9:64">
      <c r="I394" s="1">
        <v>46046</v>
      </c>
      <c r="J394">
        <v>31.38</v>
      </c>
      <c r="K394">
        <v>112435</v>
      </c>
      <c r="O394" s="1">
        <v>44745</v>
      </c>
      <c r="P394">
        <v>-49.369</v>
      </c>
      <c r="R394" s="1">
        <v>44745</v>
      </c>
      <c r="S394">
        <v>-17.8795</v>
      </c>
      <c r="U394" s="1">
        <v>44745</v>
      </c>
      <c r="V394">
        <v>-17.3932</v>
      </c>
      <c r="BL394" s="1"/>
    </row>
    <row r="395" spans="9:64">
      <c r="I395" s="1">
        <v>46047</v>
      </c>
      <c r="J395">
        <v>31.38</v>
      </c>
      <c r="K395">
        <v>112435</v>
      </c>
      <c r="O395" s="1">
        <v>44746</v>
      </c>
      <c r="P395">
        <v>-50.240699999999997</v>
      </c>
      <c r="R395" s="1">
        <v>44746</v>
      </c>
      <c r="S395">
        <v>-18.133600000000001</v>
      </c>
      <c r="U395" s="1">
        <v>44746</v>
      </c>
      <c r="V395">
        <v>-17.3932</v>
      </c>
      <c r="BL395" s="1"/>
    </row>
    <row r="396" spans="9:64">
      <c r="I396" s="1">
        <v>46048</v>
      </c>
      <c r="J396">
        <v>31.2</v>
      </c>
      <c r="K396">
        <v>98102</v>
      </c>
      <c r="O396" s="1">
        <v>44747</v>
      </c>
      <c r="P396">
        <v>-51.766199999999998</v>
      </c>
      <c r="R396" s="1">
        <v>44747</v>
      </c>
      <c r="S396">
        <v>-20.518899999999999</v>
      </c>
      <c r="U396" s="1">
        <v>44747</v>
      </c>
      <c r="V396">
        <v>-17.897400000000001</v>
      </c>
      <c r="BL396" s="1"/>
    </row>
    <row r="397" spans="9:64">
      <c r="I397" s="1">
        <v>46049</v>
      </c>
      <c r="J397">
        <v>31.68</v>
      </c>
      <c r="K397">
        <v>124855</v>
      </c>
      <c r="O397" s="1">
        <v>44748</v>
      </c>
      <c r="P397">
        <v>-50.749200000000002</v>
      </c>
      <c r="R397" s="1">
        <v>44748</v>
      </c>
      <c r="S397">
        <v>-19.279900000000001</v>
      </c>
      <c r="U397" s="1">
        <v>44748</v>
      </c>
      <c r="V397">
        <v>-16.469000000000001</v>
      </c>
      <c r="BL397" s="1"/>
    </row>
    <row r="398" spans="9:64">
      <c r="I398" s="1">
        <v>46050</v>
      </c>
      <c r="J398">
        <v>32.68</v>
      </c>
      <c r="K398">
        <v>272215</v>
      </c>
      <c r="O398" s="1">
        <v>44749</v>
      </c>
      <c r="P398">
        <v>-47.843600000000002</v>
      </c>
      <c r="R398" s="1">
        <v>44749</v>
      </c>
      <c r="S398">
        <v>-17.686</v>
      </c>
      <c r="U398" s="1">
        <v>44749</v>
      </c>
      <c r="V398">
        <v>-15.431900000000001</v>
      </c>
      <c r="BL398" s="1"/>
    </row>
    <row r="399" spans="9:64">
      <c r="I399" s="1">
        <v>46051</v>
      </c>
      <c r="J399">
        <v>32.46</v>
      </c>
      <c r="K399">
        <v>256057</v>
      </c>
      <c r="O399" s="1">
        <v>44750</v>
      </c>
      <c r="P399">
        <v>-46.318100000000001</v>
      </c>
      <c r="R399" s="1">
        <v>44750</v>
      </c>
      <c r="S399">
        <v>-16.583500000000001</v>
      </c>
      <c r="U399" s="1">
        <v>44750</v>
      </c>
      <c r="V399">
        <v>-15.099299999999999</v>
      </c>
      <c r="BL399" s="1"/>
    </row>
    <row r="400" spans="9:64">
      <c r="I400" s="1">
        <v>46052</v>
      </c>
      <c r="J400">
        <v>32.94</v>
      </c>
      <c r="K400">
        <v>108451</v>
      </c>
      <c r="O400" s="1">
        <v>44751</v>
      </c>
      <c r="P400">
        <v>-46.318100000000001</v>
      </c>
      <c r="R400" s="1">
        <v>44751</v>
      </c>
      <c r="S400">
        <v>-16.583500000000001</v>
      </c>
      <c r="U400" s="1">
        <v>44751</v>
      </c>
      <c r="V400">
        <v>-15.099299999999999</v>
      </c>
      <c r="BL400" s="1"/>
    </row>
    <row r="401" spans="9:64">
      <c r="I401" s="1">
        <v>46053</v>
      </c>
      <c r="J401">
        <v>32.94</v>
      </c>
      <c r="K401">
        <v>108451</v>
      </c>
      <c r="O401" s="1">
        <v>44752</v>
      </c>
      <c r="P401">
        <v>-46.318100000000001</v>
      </c>
      <c r="R401" s="1">
        <v>44752</v>
      </c>
      <c r="S401">
        <v>-16.583500000000001</v>
      </c>
      <c r="U401" s="1">
        <v>44752</v>
      </c>
      <c r="V401">
        <v>-15.099299999999999</v>
      </c>
      <c r="BL401" s="1"/>
    </row>
    <row r="402" spans="9:64">
      <c r="I402" s="1">
        <v>46054</v>
      </c>
      <c r="J402">
        <v>32.94</v>
      </c>
      <c r="K402">
        <v>108451</v>
      </c>
      <c r="O402" s="1">
        <v>44753</v>
      </c>
      <c r="P402">
        <v>-48.3157</v>
      </c>
      <c r="R402" s="1">
        <v>44753</v>
      </c>
      <c r="S402">
        <v>-17.755099999999999</v>
      </c>
      <c r="U402" s="1">
        <v>44753</v>
      </c>
      <c r="V402">
        <v>-15.373200000000001</v>
      </c>
      <c r="BL402" s="1"/>
    </row>
    <row r="403" spans="9:64">
      <c r="I403" s="1">
        <v>46055</v>
      </c>
      <c r="J403">
        <v>33.22</v>
      </c>
      <c r="K403">
        <v>96176</v>
      </c>
      <c r="O403" s="1">
        <v>44754</v>
      </c>
      <c r="P403">
        <v>-47.7346</v>
      </c>
      <c r="R403" s="1">
        <v>44754</v>
      </c>
      <c r="S403">
        <v>-17.286899999999999</v>
      </c>
      <c r="U403" s="1">
        <v>44754</v>
      </c>
      <c r="V403">
        <v>-16.136299999999999</v>
      </c>
      <c r="BL403" s="1"/>
    </row>
    <row r="404" spans="9:64">
      <c r="I404" s="1">
        <v>46056</v>
      </c>
      <c r="J404">
        <v>35.14</v>
      </c>
      <c r="K404">
        <v>223775</v>
      </c>
      <c r="O404" s="1">
        <v>44755</v>
      </c>
      <c r="P404">
        <v>-48.243099999999998</v>
      </c>
      <c r="R404" s="1">
        <v>44755</v>
      </c>
      <c r="S404">
        <v>-18.242899999999999</v>
      </c>
      <c r="U404" s="1">
        <v>44755</v>
      </c>
      <c r="V404">
        <v>-16.449400000000001</v>
      </c>
      <c r="BL404" s="1"/>
    </row>
    <row r="405" spans="9:64">
      <c r="I405" s="1">
        <v>46057</v>
      </c>
      <c r="J405">
        <v>36.36</v>
      </c>
      <c r="K405">
        <v>349392</v>
      </c>
      <c r="O405" s="1">
        <v>44756</v>
      </c>
      <c r="P405">
        <v>-49.369</v>
      </c>
      <c r="R405" s="1">
        <v>44756</v>
      </c>
      <c r="S405">
        <v>-19.759699999999999</v>
      </c>
      <c r="U405" s="1">
        <v>44756</v>
      </c>
      <c r="V405">
        <v>-17.173400000000001</v>
      </c>
      <c r="BL405" s="1"/>
    </row>
    <row r="406" spans="9:64">
      <c r="I406" s="1">
        <v>46058</v>
      </c>
      <c r="J406">
        <v>36</v>
      </c>
      <c r="K406">
        <v>137833</v>
      </c>
      <c r="O406" s="1">
        <v>44757</v>
      </c>
      <c r="P406">
        <v>-48.206800000000001</v>
      </c>
      <c r="R406" s="1">
        <v>44757</v>
      </c>
      <c r="S406">
        <v>-17.548200000000001</v>
      </c>
      <c r="U406" s="1">
        <v>44757</v>
      </c>
      <c r="V406">
        <v>-15.7254</v>
      </c>
      <c r="BL406" s="1"/>
    </row>
    <row r="407" spans="9:64">
      <c r="I407" s="1">
        <v>46059</v>
      </c>
      <c r="J407">
        <v>36.18</v>
      </c>
      <c r="K407">
        <v>206017</v>
      </c>
      <c r="O407" s="1">
        <v>44758</v>
      </c>
      <c r="P407">
        <v>-48.206800000000001</v>
      </c>
      <c r="R407" s="1">
        <v>44758</v>
      </c>
      <c r="S407">
        <v>-17.548200000000001</v>
      </c>
      <c r="U407" s="1">
        <v>44758</v>
      </c>
      <c r="V407">
        <v>-15.7254</v>
      </c>
      <c r="BL407" s="1"/>
    </row>
    <row r="408" spans="9:64">
      <c r="I408" s="1">
        <v>46060</v>
      </c>
      <c r="J408">
        <v>36.18</v>
      </c>
      <c r="K408">
        <v>206017</v>
      </c>
      <c r="O408" s="1">
        <v>44759</v>
      </c>
      <c r="P408">
        <v>-48.206800000000001</v>
      </c>
      <c r="R408" s="1">
        <v>44759</v>
      </c>
      <c r="S408">
        <v>-17.548200000000001</v>
      </c>
      <c r="U408" s="1">
        <v>44759</v>
      </c>
      <c r="V408">
        <v>-15.7254</v>
      </c>
      <c r="BL408" s="1"/>
    </row>
    <row r="409" spans="9:64">
      <c r="I409" s="1">
        <v>46061</v>
      </c>
      <c r="J409">
        <v>36.18</v>
      </c>
      <c r="K409">
        <v>206017</v>
      </c>
      <c r="O409" s="1">
        <v>44760</v>
      </c>
      <c r="P409">
        <v>-47.2988</v>
      </c>
      <c r="R409" s="1">
        <v>44760</v>
      </c>
      <c r="S409">
        <v>-16.938700000000001</v>
      </c>
      <c r="U409" s="1">
        <v>44760</v>
      </c>
      <c r="V409">
        <v>-16.645099999999999</v>
      </c>
      <c r="BL409" s="1"/>
    </row>
    <row r="410" spans="9:64">
      <c r="I410" s="1">
        <v>46062</v>
      </c>
      <c r="J410">
        <v>35.979999999999997</v>
      </c>
      <c r="K410">
        <v>231370</v>
      </c>
      <c r="O410" s="1">
        <v>44761</v>
      </c>
      <c r="P410">
        <v>-45.628</v>
      </c>
      <c r="R410" s="1">
        <v>44761</v>
      </c>
      <c r="S410">
        <v>-14.704499999999999</v>
      </c>
      <c r="U410" s="1">
        <v>44761</v>
      </c>
      <c r="V410">
        <v>-13.847</v>
      </c>
      <c r="BL410" s="1"/>
    </row>
    <row r="411" spans="9:64">
      <c r="I411" s="1">
        <v>46063</v>
      </c>
      <c r="J411">
        <v>36.18</v>
      </c>
      <c r="K411">
        <v>325093</v>
      </c>
      <c r="O411" s="1">
        <v>44762</v>
      </c>
      <c r="P411">
        <v>-46.027500000000003</v>
      </c>
      <c r="R411" s="1">
        <v>44762</v>
      </c>
      <c r="S411">
        <v>-14.873900000000001</v>
      </c>
      <c r="U411" s="1">
        <v>44762</v>
      </c>
      <c r="V411">
        <v>-13.651400000000001</v>
      </c>
      <c r="BL411" s="1"/>
    </row>
    <row r="412" spans="9:64">
      <c r="I412" s="1">
        <v>46064</v>
      </c>
      <c r="J412">
        <v>36.799999999999997</v>
      </c>
      <c r="K412">
        <v>145566</v>
      </c>
      <c r="O412" s="1">
        <v>44763</v>
      </c>
      <c r="P412">
        <v>-46.608699999999999</v>
      </c>
      <c r="R412" s="1">
        <v>44763</v>
      </c>
      <c r="S412">
        <v>-15.1004</v>
      </c>
      <c r="U412" s="1">
        <v>44763</v>
      </c>
      <c r="V412">
        <v>-12.770799999999999</v>
      </c>
      <c r="BL412" s="1"/>
    </row>
    <row r="413" spans="9:64">
      <c r="I413" s="1">
        <v>46065</v>
      </c>
      <c r="J413">
        <v>36.299999999999997</v>
      </c>
      <c r="K413">
        <v>336818</v>
      </c>
      <c r="O413" s="1">
        <v>44764</v>
      </c>
      <c r="P413">
        <v>-46.427100000000003</v>
      </c>
      <c r="R413" s="1">
        <v>44764</v>
      </c>
      <c r="S413">
        <v>-15.055300000000001</v>
      </c>
      <c r="U413" s="1">
        <v>44764</v>
      </c>
      <c r="V413">
        <v>-13.005599999999999</v>
      </c>
      <c r="BL413" s="1"/>
    </row>
    <row r="414" spans="9:64">
      <c r="I414" s="1">
        <v>46066</v>
      </c>
      <c r="J414">
        <v>36.46</v>
      </c>
      <c r="K414">
        <v>128431</v>
      </c>
      <c r="O414" s="1">
        <v>44765</v>
      </c>
      <c r="P414">
        <v>-46.427100000000003</v>
      </c>
      <c r="R414" s="1">
        <v>44765</v>
      </c>
      <c r="S414">
        <v>-15.055300000000001</v>
      </c>
      <c r="U414" s="1">
        <v>44765</v>
      </c>
      <c r="V414">
        <v>-13.005599999999999</v>
      </c>
      <c r="BL414" s="1"/>
    </row>
    <row r="415" spans="9:64">
      <c r="I415" s="1">
        <v>46067</v>
      </c>
      <c r="J415">
        <v>36.46</v>
      </c>
      <c r="K415">
        <v>128431</v>
      </c>
      <c r="O415" s="1">
        <v>44766</v>
      </c>
      <c r="P415">
        <v>-46.427100000000003</v>
      </c>
      <c r="R415" s="1">
        <v>44766</v>
      </c>
      <c r="S415">
        <v>-15.055300000000001</v>
      </c>
      <c r="U415" s="1">
        <v>44766</v>
      </c>
      <c r="V415">
        <v>-13.005599999999999</v>
      </c>
      <c r="BL415" s="1"/>
    </row>
    <row r="416" spans="9:64">
      <c r="I416" s="1">
        <v>46068</v>
      </c>
      <c r="J416">
        <v>36.46</v>
      </c>
      <c r="K416">
        <v>128431</v>
      </c>
      <c r="O416" s="1">
        <v>44767</v>
      </c>
      <c r="P416">
        <v>-46.063899999999997</v>
      </c>
      <c r="R416" s="1">
        <v>44767</v>
      </c>
      <c r="S416">
        <v>-15.3332</v>
      </c>
      <c r="U416" s="1">
        <v>44767</v>
      </c>
      <c r="V416">
        <v>-13.240399999999999</v>
      </c>
      <c r="BL416" s="1"/>
    </row>
    <row r="417" spans="9:64">
      <c r="I417" s="1">
        <v>46069</v>
      </c>
      <c r="J417">
        <v>36.14</v>
      </c>
      <c r="K417">
        <v>91067</v>
      </c>
      <c r="O417" s="1">
        <v>44768</v>
      </c>
      <c r="P417">
        <v>-47.698300000000003</v>
      </c>
      <c r="R417" s="1">
        <v>44768</v>
      </c>
      <c r="S417">
        <v>-16.059899999999999</v>
      </c>
      <c r="U417" s="1">
        <v>44768</v>
      </c>
      <c r="V417">
        <v>-14.2384</v>
      </c>
      <c r="BL417" s="1"/>
    </row>
    <row r="418" spans="9:64">
      <c r="I418" s="1">
        <v>46070</v>
      </c>
      <c r="J418">
        <v>36.08</v>
      </c>
      <c r="K418">
        <v>85161</v>
      </c>
      <c r="O418" s="1">
        <v>44769</v>
      </c>
      <c r="P418">
        <v>-47.552999999999997</v>
      </c>
      <c r="R418" s="1">
        <v>44769</v>
      </c>
      <c r="S418">
        <v>-15.614800000000001</v>
      </c>
      <c r="U418" s="1">
        <v>44769</v>
      </c>
      <c r="V418">
        <v>-12.6534</v>
      </c>
      <c r="BL418" s="1"/>
    </row>
    <row r="419" spans="9:64">
      <c r="I419" s="1">
        <v>46071</v>
      </c>
      <c r="J419">
        <v>36.78</v>
      </c>
      <c r="K419">
        <v>123320</v>
      </c>
      <c r="O419" s="1">
        <v>44770</v>
      </c>
      <c r="P419">
        <v>-45.882300000000001</v>
      </c>
      <c r="R419" s="1">
        <v>44770</v>
      </c>
      <c r="S419">
        <v>-14.873100000000001</v>
      </c>
      <c r="U419" s="1">
        <v>44770</v>
      </c>
      <c r="V419">
        <v>-10.735900000000001</v>
      </c>
      <c r="BL419" s="1"/>
    </row>
    <row r="420" spans="9:64">
      <c r="I420" s="1">
        <v>46072</v>
      </c>
      <c r="J420">
        <v>36.479999999999997</v>
      </c>
      <c r="K420">
        <v>66006</v>
      </c>
      <c r="O420" s="1">
        <v>44771</v>
      </c>
      <c r="P420">
        <v>-44.901600000000002</v>
      </c>
      <c r="R420" s="1">
        <v>44771</v>
      </c>
      <c r="S420">
        <v>-13.578799999999999</v>
      </c>
      <c r="U420" s="1">
        <v>44771</v>
      </c>
      <c r="V420">
        <v>-11.225099999999999</v>
      </c>
      <c r="BL420" s="1"/>
    </row>
    <row r="421" spans="9:64">
      <c r="I421" s="1">
        <v>46073</v>
      </c>
      <c r="J421">
        <v>37.04</v>
      </c>
      <c r="K421">
        <v>92162</v>
      </c>
      <c r="O421" s="1">
        <v>44772</v>
      </c>
      <c r="P421">
        <v>-44.901600000000002</v>
      </c>
      <c r="R421" s="1">
        <v>44772</v>
      </c>
      <c r="S421">
        <v>-13.578799999999999</v>
      </c>
      <c r="U421" s="1">
        <v>44772</v>
      </c>
      <c r="V421">
        <v>-11.225099999999999</v>
      </c>
      <c r="BL421" s="1"/>
    </row>
    <row r="422" spans="9:64">
      <c r="I422" s="1">
        <v>46074</v>
      </c>
      <c r="J422">
        <v>37.04</v>
      </c>
      <c r="K422">
        <v>92162</v>
      </c>
      <c r="O422" s="1">
        <v>44773</v>
      </c>
      <c r="P422">
        <v>-44.901600000000002</v>
      </c>
      <c r="R422" s="1">
        <v>44773</v>
      </c>
      <c r="S422">
        <v>-13.578799999999999</v>
      </c>
      <c r="U422" s="1">
        <v>44773</v>
      </c>
      <c r="V422">
        <v>-11.225099999999999</v>
      </c>
      <c r="BL422" s="1"/>
    </row>
    <row r="423" spans="9:64">
      <c r="I423" s="1">
        <v>46075</v>
      </c>
      <c r="J423">
        <v>37.04</v>
      </c>
      <c r="K423">
        <v>92162</v>
      </c>
      <c r="O423" s="1">
        <v>44774</v>
      </c>
      <c r="P423">
        <v>-47.153500000000001</v>
      </c>
      <c r="R423" s="1">
        <v>44774</v>
      </c>
      <c r="S423">
        <v>-13.607100000000001</v>
      </c>
      <c r="U423" s="1">
        <v>44774</v>
      </c>
      <c r="V423">
        <v>-11.401199999999999</v>
      </c>
      <c r="BL423" s="1"/>
    </row>
    <row r="424" spans="9:64">
      <c r="I424" s="1">
        <v>46076</v>
      </c>
      <c r="J424">
        <v>36.479999999999997</v>
      </c>
      <c r="K424">
        <v>66962</v>
      </c>
      <c r="O424" s="1">
        <v>44775</v>
      </c>
      <c r="P424">
        <v>-46.862900000000003</v>
      </c>
      <c r="R424" s="1">
        <v>44775</v>
      </c>
      <c r="S424">
        <v>-13.802199999999999</v>
      </c>
      <c r="U424" s="1">
        <v>44775</v>
      </c>
      <c r="V424">
        <v>-12.105600000000001</v>
      </c>
      <c r="BL424" s="1"/>
    </row>
    <row r="425" spans="9:64">
      <c r="I425" s="1">
        <v>46077</v>
      </c>
      <c r="J425">
        <v>36.58</v>
      </c>
      <c r="K425">
        <v>123476</v>
      </c>
      <c r="O425" s="1">
        <v>44776</v>
      </c>
      <c r="P425">
        <v>-46.027500000000003</v>
      </c>
      <c r="R425" s="1">
        <v>44776</v>
      </c>
      <c r="S425">
        <v>-12.9154</v>
      </c>
      <c r="U425" s="1">
        <v>44776</v>
      </c>
      <c r="V425">
        <v>-10.559799999999999</v>
      </c>
      <c r="BL425" s="1"/>
    </row>
    <row r="426" spans="9:64">
      <c r="I426" s="1">
        <v>46078</v>
      </c>
      <c r="J426">
        <v>36.24</v>
      </c>
      <c r="K426">
        <v>192849</v>
      </c>
      <c r="O426" s="1">
        <v>44777</v>
      </c>
      <c r="P426">
        <v>-44.756300000000003</v>
      </c>
      <c r="R426" s="1">
        <v>44777</v>
      </c>
      <c r="S426">
        <v>-12.4339</v>
      </c>
      <c r="U426" s="1">
        <v>44777</v>
      </c>
      <c r="V426">
        <v>-11.205500000000001</v>
      </c>
      <c r="BL426" s="1"/>
    </row>
    <row r="427" spans="9:64">
      <c r="I427" s="1">
        <v>46079</v>
      </c>
      <c r="J427">
        <v>35.82</v>
      </c>
      <c r="K427">
        <v>100101</v>
      </c>
      <c r="O427" s="1">
        <v>44778</v>
      </c>
      <c r="P427">
        <v>-45.083199999999998</v>
      </c>
      <c r="R427" s="1">
        <v>44778</v>
      </c>
      <c r="S427">
        <v>-13.002700000000001</v>
      </c>
      <c r="U427" s="1">
        <v>44778</v>
      </c>
      <c r="V427">
        <v>-11.929500000000001</v>
      </c>
      <c r="BL427" s="1"/>
    </row>
    <row r="428" spans="9:64">
      <c r="I428" s="1">
        <v>46080</v>
      </c>
      <c r="J428">
        <v>36.04</v>
      </c>
      <c r="K428">
        <v>175099</v>
      </c>
      <c r="O428" s="1">
        <v>44779</v>
      </c>
      <c r="P428">
        <v>-45.083199999999998</v>
      </c>
      <c r="R428" s="1">
        <v>44779</v>
      </c>
      <c r="S428">
        <v>-13.002700000000001</v>
      </c>
      <c r="U428" s="1">
        <v>44779</v>
      </c>
      <c r="V428">
        <v>-11.929500000000001</v>
      </c>
      <c r="BL428" s="1"/>
    </row>
    <row r="429" spans="9:64">
      <c r="I429" s="1">
        <v>46081</v>
      </c>
      <c r="J429">
        <v>36.04</v>
      </c>
      <c r="K429">
        <v>175099</v>
      </c>
      <c r="O429" s="1">
        <v>44780</v>
      </c>
      <c r="P429">
        <v>-45.083199999999998</v>
      </c>
      <c r="R429" s="1">
        <v>44780</v>
      </c>
      <c r="S429">
        <v>-13.002700000000001</v>
      </c>
      <c r="U429" s="1">
        <v>44780</v>
      </c>
      <c r="V429">
        <v>-11.929500000000001</v>
      </c>
      <c r="BL429" s="1"/>
    </row>
    <row r="430" spans="9:64">
      <c r="I430" s="1">
        <v>46082</v>
      </c>
      <c r="J430">
        <v>36.04</v>
      </c>
      <c r="K430">
        <v>175099</v>
      </c>
      <c r="O430" s="1">
        <v>44781</v>
      </c>
      <c r="P430">
        <v>-43.920900000000003</v>
      </c>
      <c r="R430" s="1">
        <v>44781</v>
      </c>
      <c r="S430">
        <v>-12.2736</v>
      </c>
      <c r="U430" s="1">
        <v>44781</v>
      </c>
      <c r="V430">
        <v>-11.9099</v>
      </c>
      <c r="BL430" s="1"/>
    </row>
    <row r="431" spans="9:64">
      <c r="I431" s="1">
        <v>46083</v>
      </c>
      <c r="J431">
        <v>34.619999999999997</v>
      </c>
      <c r="K431">
        <v>239870</v>
      </c>
      <c r="O431" s="1">
        <v>44782</v>
      </c>
      <c r="P431">
        <v>-45.046900000000001</v>
      </c>
      <c r="R431" s="1">
        <v>44782</v>
      </c>
      <c r="S431">
        <v>-13.2524</v>
      </c>
      <c r="U431" s="1">
        <v>44782</v>
      </c>
      <c r="V431">
        <v>-12.105600000000001</v>
      </c>
      <c r="BL431" s="1"/>
    </row>
    <row r="432" spans="9:64">
      <c r="I432" s="1">
        <v>46084</v>
      </c>
      <c r="J432">
        <v>32.840000000000003</v>
      </c>
      <c r="K432">
        <v>393363</v>
      </c>
      <c r="O432" s="1">
        <v>44783</v>
      </c>
      <c r="P432">
        <v>-42.795000000000002</v>
      </c>
      <c r="R432" s="1">
        <v>44783</v>
      </c>
      <c r="S432">
        <v>-12.188800000000001</v>
      </c>
      <c r="U432" s="1">
        <v>44783</v>
      </c>
      <c r="V432">
        <v>-9.9532000000000007</v>
      </c>
      <c r="BL432" s="1"/>
    </row>
    <row r="433" spans="9:64">
      <c r="I433" s="1">
        <v>46085</v>
      </c>
      <c r="J433">
        <v>31.8</v>
      </c>
      <c r="K433">
        <v>669313</v>
      </c>
      <c r="O433" s="1">
        <v>44784</v>
      </c>
      <c r="P433">
        <v>-43.557699999999997</v>
      </c>
      <c r="R433" s="1">
        <v>44784</v>
      </c>
      <c r="S433">
        <v>-12.229900000000001</v>
      </c>
      <c r="U433" s="1">
        <v>44784</v>
      </c>
      <c r="V433">
        <v>-10.188000000000001</v>
      </c>
      <c r="BL433" s="1"/>
    </row>
    <row r="434" spans="9:64">
      <c r="I434" s="1">
        <v>46086</v>
      </c>
      <c r="J434">
        <v>31.36</v>
      </c>
      <c r="K434">
        <v>347695</v>
      </c>
      <c r="O434" s="1">
        <v>44785</v>
      </c>
      <c r="P434">
        <v>-43.594099999999997</v>
      </c>
      <c r="R434" s="1">
        <v>44785</v>
      </c>
      <c r="S434">
        <v>-11.580399999999999</v>
      </c>
      <c r="U434" s="1">
        <v>44785</v>
      </c>
      <c r="V434">
        <v>-8.7988</v>
      </c>
      <c r="BL434" s="1"/>
    </row>
    <row r="435" spans="9:64">
      <c r="I435" s="1">
        <v>46087</v>
      </c>
      <c r="J435">
        <v>31.4</v>
      </c>
      <c r="K435">
        <v>283508</v>
      </c>
      <c r="O435" s="1">
        <v>44786</v>
      </c>
      <c r="P435">
        <v>-43.594099999999997</v>
      </c>
      <c r="R435" s="1">
        <v>44786</v>
      </c>
      <c r="S435">
        <v>-11.580399999999999</v>
      </c>
      <c r="U435" s="1">
        <v>44786</v>
      </c>
      <c r="V435">
        <v>-8.7988</v>
      </c>
      <c r="BL435" s="1"/>
    </row>
    <row r="436" spans="9:64">
      <c r="I436" s="1">
        <v>46088</v>
      </c>
      <c r="J436">
        <v>31.4</v>
      </c>
      <c r="K436">
        <v>283508</v>
      </c>
      <c r="O436" s="1">
        <v>44787</v>
      </c>
      <c r="P436">
        <v>-43.594099999999997</v>
      </c>
      <c r="R436" s="1">
        <v>44787</v>
      </c>
      <c r="S436">
        <v>-11.580399999999999</v>
      </c>
      <c r="U436" s="1">
        <v>44787</v>
      </c>
      <c r="V436">
        <v>-8.7988</v>
      </c>
      <c r="BL436" s="1"/>
    </row>
    <row r="437" spans="9:64">
      <c r="I437" s="1">
        <v>46089</v>
      </c>
      <c r="J437">
        <v>31.4</v>
      </c>
      <c r="K437">
        <v>283508</v>
      </c>
      <c r="O437" s="1">
        <v>44788</v>
      </c>
      <c r="P437">
        <v>-44.3568</v>
      </c>
      <c r="R437" s="1">
        <v>44788</v>
      </c>
      <c r="S437">
        <v>-11.4474</v>
      </c>
      <c r="U437" s="1">
        <v>44788</v>
      </c>
      <c r="V437">
        <v>-8.8378999999999994</v>
      </c>
      <c r="BL437" s="1"/>
    </row>
    <row r="438" spans="9:64">
      <c r="I438" s="1">
        <v>46090</v>
      </c>
      <c r="J438">
        <v>30.26</v>
      </c>
      <c r="K438">
        <v>427946</v>
      </c>
      <c r="O438" s="1">
        <v>44789</v>
      </c>
      <c r="P438">
        <v>-43.376100000000001</v>
      </c>
      <c r="R438" s="1">
        <v>44789</v>
      </c>
      <c r="S438">
        <v>-10.848100000000001</v>
      </c>
      <c r="U438" s="1">
        <v>44789</v>
      </c>
      <c r="V438">
        <v>-8.4856999999999996</v>
      </c>
      <c r="BL438" s="1"/>
    </row>
    <row r="439" spans="9:64">
      <c r="I439" s="1">
        <v>46091</v>
      </c>
      <c r="J439">
        <v>31.7</v>
      </c>
      <c r="K439">
        <v>223903</v>
      </c>
      <c r="O439" s="1">
        <v>44790</v>
      </c>
      <c r="P439">
        <v>-45.628</v>
      </c>
      <c r="R439" s="1">
        <v>44790</v>
      </c>
      <c r="S439">
        <v>-12.6645</v>
      </c>
      <c r="U439" s="1">
        <v>44790</v>
      </c>
      <c r="V439">
        <v>-8.7009000000000007</v>
      </c>
      <c r="BL439" s="1"/>
    </row>
    <row r="440" spans="9:64">
      <c r="I440" s="1">
        <v>46092</v>
      </c>
      <c r="J440">
        <v>31.78</v>
      </c>
      <c r="K440">
        <v>147407</v>
      </c>
      <c r="O440" s="1">
        <v>44791</v>
      </c>
      <c r="P440">
        <v>-45.700699999999998</v>
      </c>
      <c r="R440" s="1">
        <v>44791</v>
      </c>
      <c r="S440">
        <v>-12.2113</v>
      </c>
      <c r="U440" s="1">
        <v>44791</v>
      </c>
      <c r="V440">
        <v>-3.3982999999999999</v>
      </c>
      <c r="BL440" s="1"/>
    </row>
    <row r="441" spans="9:64">
      <c r="I441" s="1">
        <v>46093</v>
      </c>
      <c r="J441">
        <v>31.52</v>
      </c>
      <c r="K441">
        <v>305337</v>
      </c>
      <c r="O441" s="1">
        <v>44792</v>
      </c>
      <c r="P441">
        <v>-46.717599999999997</v>
      </c>
      <c r="R441" s="1">
        <v>44792</v>
      </c>
      <c r="S441">
        <v>-13.1912</v>
      </c>
      <c r="U441" s="1">
        <v>44792</v>
      </c>
      <c r="V441">
        <v>-4.7092999999999998</v>
      </c>
      <c r="BL441" s="1"/>
    </row>
    <row r="442" spans="9:64">
      <c r="I442" s="1">
        <v>46094</v>
      </c>
      <c r="J442">
        <v>30.9</v>
      </c>
      <c r="K442">
        <v>393893</v>
      </c>
      <c r="O442" s="1">
        <v>44793</v>
      </c>
      <c r="P442">
        <v>-46.717599999999997</v>
      </c>
      <c r="R442" s="1">
        <v>44793</v>
      </c>
      <c r="S442">
        <v>-13.1912</v>
      </c>
      <c r="U442" s="1">
        <v>44793</v>
      </c>
      <c r="V442">
        <v>-4.7092999999999998</v>
      </c>
      <c r="BL442" s="1"/>
    </row>
    <row r="443" spans="9:64">
      <c r="I443" s="1">
        <v>46095</v>
      </c>
      <c r="J443">
        <v>30.9</v>
      </c>
      <c r="K443">
        <v>393893</v>
      </c>
      <c r="O443" s="1">
        <v>44794</v>
      </c>
      <c r="P443">
        <v>-46.717599999999997</v>
      </c>
      <c r="R443" s="1">
        <v>44794</v>
      </c>
      <c r="S443">
        <v>-13.1912</v>
      </c>
      <c r="U443" s="1">
        <v>44794</v>
      </c>
      <c r="V443">
        <v>-4.7092999999999998</v>
      </c>
      <c r="BL443" s="1"/>
    </row>
    <row r="444" spans="9:64">
      <c r="I444" s="1">
        <v>46096</v>
      </c>
      <c r="J444">
        <v>30.9</v>
      </c>
      <c r="K444">
        <v>393893</v>
      </c>
      <c r="O444" s="1">
        <v>44795</v>
      </c>
      <c r="P444">
        <v>-49.114800000000002</v>
      </c>
      <c r="R444" s="1">
        <v>44795</v>
      </c>
      <c r="S444">
        <v>-15.2034</v>
      </c>
      <c r="U444" s="1">
        <v>44795</v>
      </c>
      <c r="V444">
        <v>-6.6463999999999999</v>
      </c>
      <c r="BL444" s="1"/>
    </row>
    <row r="445" spans="9:64">
      <c r="I445" s="1">
        <v>46097</v>
      </c>
      <c r="J445">
        <v>30.3</v>
      </c>
      <c r="K445">
        <v>265130</v>
      </c>
      <c r="O445" s="1">
        <v>44796</v>
      </c>
      <c r="P445">
        <v>-48.606299999999997</v>
      </c>
      <c r="R445" s="1">
        <v>44796</v>
      </c>
      <c r="S445">
        <v>-15.436299999999999</v>
      </c>
      <c r="U445" s="1">
        <v>44796</v>
      </c>
      <c r="V445">
        <v>-7.2333999999999996</v>
      </c>
      <c r="BL445" s="1"/>
    </row>
    <row r="446" spans="9:64">
      <c r="I446" s="1">
        <v>46098</v>
      </c>
      <c r="J446">
        <v>30.42</v>
      </c>
      <c r="K446">
        <v>115596</v>
      </c>
      <c r="O446" s="1">
        <v>44797</v>
      </c>
      <c r="P446">
        <v>-48.57</v>
      </c>
      <c r="R446" s="1">
        <v>44797</v>
      </c>
      <c r="S446">
        <v>-15.2707</v>
      </c>
      <c r="U446" s="1">
        <v>44797</v>
      </c>
      <c r="V446">
        <v>-7.8986999999999998</v>
      </c>
      <c r="BL446" s="1"/>
    </row>
    <row r="447" spans="9:64">
      <c r="I447" s="1">
        <v>46099</v>
      </c>
      <c r="J447">
        <v>30.22</v>
      </c>
      <c r="K447">
        <v>143851</v>
      </c>
      <c r="O447" s="1">
        <v>44798</v>
      </c>
      <c r="P447">
        <v>-48.896900000000002</v>
      </c>
      <c r="R447" s="1">
        <v>44798</v>
      </c>
      <c r="S447">
        <v>-14.9381</v>
      </c>
      <c r="U447" s="1">
        <v>44798</v>
      </c>
      <c r="V447">
        <v>-7.5073999999999996</v>
      </c>
      <c r="BL447" s="1"/>
    </row>
    <row r="448" spans="9:64">
      <c r="I448" s="1">
        <v>46100</v>
      </c>
      <c r="J448">
        <v>29.1</v>
      </c>
      <c r="K448">
        <v>258333</v>
      </c>
      <c r="O448" s="1">
        <v>44799</v>
      </c>
      <c r="P448">
        <v>-49.913800000000002</v>
      </c>
      <c r="R448" s="1">
        <v>44799</v>
      </c>
      <c r="S448">
        <v>-16.864000000000001</v>
      </c>
      <c r="U448" s="1">
        <v>44799</v>
      </c>
      <c r="V448">
        <v>-10.207599999999999</v>
      </c>
      <c r="BL448" s="1"/>
    </row>
    <row r="449" spans="9:64">
      <c r="I449" s="1">
        <v>46101</v>
      </c>
      <c r="J449">
        <v>29</v>
      </c>
      <c r="K449">
        <v>343561</v>
      </c>
      <c r="O449" s="1">
        <v>44800</v>
      </c>
      <c r="P449">
        <v>-49.913800000000002</v>
      </c>
      <c r="R449" s="1">
        <v>44800</v>
      </c>
      <c r="S449">
        <v>-16.864000000000001</v>
      </c>
      <c r="U449" s="1">
        <v>44800</v>
      </c>
      <c r="V449">
        <v>-10.207599999999999</v>
      </c>
      <c r="BL449" s="1"/>
    </row>
    <row r="450" spans="9:64">
      <c r="I450" s="1">
        <v>46102</v>
      </c>
      <c r="J450">
        <v>29</v>
      </c>
      <c r="K450">
        <v>343561</v>
      </c>
      <c r="O450" s="1">
        <v>44801</v>
      </c>
      <c r="P450">
        <v>-49.913800000000002</v>
      </c>
      <c r="R450" s="1">
        <v>44801</v>
      </c>
      <c r="S450">
        <v>-16.864000000000001</v>
      </c>
      <c r="U450" s="1">
        <v>44801</v>
      </c>
      <c r="V450">
        <v>-10.207599999999999</v>
      </c>
      <c r="BL450" s="1"/>
    </row>
    <row r="451" spans="9:64">
      <c r="I451" s="1">
        <v>46103</v>
      </c>
      <c r="J451">
        <v>29</v>
      </c>
      <c r="K451">
        <v>343561</v>
      </c>
      <c r="O451" s="1">
        <v>44802</v>
      </c>
      <c r="P451">
        <v>-48.642600000000002</v>
      </c>
      <c r="R451" s="1">
        <v>44802</v>
      </c>
      <c r="S451">
        <v>-17.367000000000001</v>
      </c>
      <c r="U451" s="1">
        <v>44802</v>
      </c>
      <c r="V451">
        <v>-10.559799999999999</v>
      </c>
      <c r="BL451" s="1"/>
    </row>
    <row r="452" spans="9:64">
      <c r="I452" s="1">
        <v>46104</v>
      </c>
      <c r="J452">
        <v>29.96</v>
      </c>
      <c r="K452">
        <v>330940</v>
      </c>
      <c r="O452" s="1">
        <v>44803</v>
      </c>
      <c r="P452">
        <v>-48.243099999999998</v>
      </c>
      <c r="R452" s="1">
        <v>44803</v>
      </c>
      <c r="S452">
        <v>-16.930199999999999</v>
      </c>
      <c r="U452" s="1">
        <v>44803</v>
      </c>
      <c r="V452">
        <v>-11.4794</v>
      </c>
      <c r="BL452" s="1"/>
    </row>
    <row r="453" spans="9:64">
      <c r="I453" s="1">
        <v>46105</v>
      </c>
      <c r="J453">
        <v>30.46</v>
      </c>
      <c r="K453">
        <v>161604</v>
      </c>
      <c r="O453" s="1">
        <v>44804</v>
      </c>
      <c r="P453">
        <v>-48.7879</v>
      </c>
      <c r="R453" s="1">
        <v>44804</v>
      </c>
      <c r="S453">
        <v>-17.738900000000001</v>
      </c>
      <c r="U453" s="1">
        <v>44804</v>
      </c>
      <c r="V453">
        <v>-12.4969</v>
      </c>
      <c r="BL453" s="1"/>
    </row>
    <row r="454" spans="9:64">
      <c r="I454" s="1">
        <v>46106</v>
      </c>
      <c r="J454">
        <v>31.16</v>
      </c>
      <c r="K454">
        <v>177954</v>
      </c>
      <c r="O454" s="1">
        <v>44805</v>
      </c>
      <c r="P454">
        <v>-50.4587</v>
      </c>
      <c r="R454" s="1">
        <v>44805</v>
      </c>
      <c r="S454">
        <v>-19.050999999999998</v>
      </c>
      <c r="U454" s="1">
        <v>44805</v>
      </c>
      <c r="V454">
        <v>-11.381600000000001</v>
      </c>
      <c r="BL454" s="1"/>
    </row>
    <row r="455" spans="9:64">
      <c r="I455" s="1">
        <v>46107</v>
      </c>
      <c r="J455">
        <v>30.6</v>
      </c>
      <c r="K455">
        <v>145491</v>
      </c>
      <c r="O455" s="1">
        <v>44806</v>
      </c>
      <c r="P455">
        <v>-48.969499999999996</v>
      </c>
      <c r="R455" s="1">
        <v>44806</v>
      </c>
      <c r="S455">
        <v>-16.359000000000002</v>
      </c>
      <c r="U455" s="1">
        <v>44806</v>
      </c>
      <c r="V455">
        <v>-12.751300000000001</v>
      </c>
      <c r="BL455" s="1"/>
    </row>
    <row r="456" spans="9:64">
      <c r="I456" s="1">
        <v>46108</v>
      </c>
      <c r="J456">
        <v>30.4</v>
      </c>
      <c r="K456">
        <v>138692</v>
      </c>
      <c r="O456" s="1">
        <v>44807</v>
      </c>
      <c r="P456">
        <v>-48.969499999999996</v>
      </c>
      <c r="R456" s="1">
        <v>44807</v>
      </c>
      <c r="S456">
        <v>-16.359000000000002</v>
      </c>
      <c r="U456" s="1">
        <v>44807</v>
      </c>
      <c r="V456">
        <v>-12.751300000000001</v>
      </c>
      <c r="BL456" s="1"/>
    </row>
    <row r="457" spans="9:64">
      <c r="I457" s="1">
        <v>46109</v>
      </c>
      <c r="J457">
        <v>30.4</v>
      </c>
      <c r="K457">
        <v>138692</v>
      </c>
      <c r="O457" s="1">
        <v>44808</v>
      </c>
      <c r="P457">
        <v>-48.969499999999996</v>
      </c>
      <c r="R457" s="1">
        <v>44808</v>
      </c>
      <c r="S457">
        <v>-16.359000000000002</v>
      </c>
      <c r="U457" s="1">
        <v>44808</v>
      </c>
      <c r="V457">
        <v>-12.751300000000001</v>
      </c>
      <c r="BL457" s="1"/>
    </row>
    <row r="458" spans="9:64">
      <c r="I458" s="1">
        <v>46110</v>
      </c>
      <c r="J458">
        <v>30.4</v>
      </c>
      <c r="K458">
        <v>138692</v>
      </c>
      <c r="O458" s="1">
        <v>44809</v>
      </c>
      <c r="P458">
        <v>-51.221400000000003</v>
      </c>
      <c r="R458" s="1">
        <v>44809</v>
      </c>
      <c r="S458">
        <v>-18.214300000000001</v>
      </c>
      <c r="U458" s="1">
        <v>44809</v>
      </c>
      <c r="V458">
        <v>-12.751300000000001</v>
      </c>
      <c r="BL458" s="1"/>
    </row>
    <row r="459" spans="9:64">
      <c r="I459" s="1">
        <v>46111</v>
      </c>
      <c r="J459">
        <v>30</v>
      </c>
      <c r="K459">
        <v>149774</v>
      </c>
      <c r="O459" s="1">
        <v>44810</v>
      </c>
      <c r="P459">
        <v>-50.676600000000001</v>
      </c>
      <c r="R459" s="1">
        <v>44810</v>
      </c>
      <c r="S459">
        <v>-17.505099999999999</v>
      </c>
      <c r="U459" s="1">
        <v>44810</v>
      </c>
      <c r="V459">
        <v>-12.9861</v>
      </c>
      <c r="BL459" s="1"/>
    </row>
    <row r="460" spans="9:64">
      <c r="I460" s="1">
        <v>46112</v>
      </c>
      <c r="J460">
        <v>30.82</v>
      </c>
      <c r="K460">
        <v>260749</v>
      </c>
      <c r="O460" s="1">
        <v>44811</v>
      </c>
      <c r="P460">
        <v>-50.603900000000003</v>
      </c>
      <c r="R460" s="1">
        <v>44811</v>
      </c>
      <c r="S460">
        <v>-17.2197</v>
      </c>
      <c r="U460" s="1">
        <v>44811</v>
      </c>
      <c r="V460">
        <v>-11.9099</v>
      </c>
      <c r="BL460" s="1"/>
    </row>
    <row r="461" spans="9:64">
      <c r="I461" s="1">
        <v>46113</v>
      </c>
      <c r="J461">
        <v>31.72</v>
      </c>
      <c r="K461">
        <v>213815</v>
      </c>
      <c r="O461" s="1">
        <v>44812</v>
      </c>
      <c r="P461">
        <v>-51.003500000000003</v>
      </c>
      <c r="R461" s="1">
        <v>44812</v>
      </c>
      <c r="S461">
        <v>-17.2944</v>
      </c>
      <c r="U461" s="1">
        <v>44812</v>
      </c>
      <c r="V461">
        <v>-11.225099999999999</v>
      </c>
      <c r="BL461" s="1"/>
    </row>
    <row r="462" spans="9:64">
      <c r="I462" s="1">
        <v>46114</v>
      </c>
      <c r="J462">
        <v>31.52</v>
      </c>
      <c r="K462">
        <v>180240</v>
      </c>
      <c r="O462" s="1">
        <v>44813</v>
      </c>
      <c r="P462">
        <v>-49.841200000000001</v>
      </c>
      <c r="R462" s="1">
        <v>44813</v>
      </c>
      <c r="S462">
        <v>-16.1158</v>
      </c>
      <c r="U462" s="1">
        <v>44813</v>
      </c>
      <c r="V462">
        <v>-10.442399999999999</v>
      </c>
      <c r="BL462" s="1"/>
    </row>
    <row r="463" spans="9:64">
      <c r="I463" s="1">
        <v>46115</v>
      </c>
      <c r="J463">
        <v>31.52</v>
      </c>
      <c r="K463">
        <v>180240</v>
      </c>
      <c r="O463" s="1">
        <v>44814</v>
      </c>
      <c r="P463">
        <v>-49.841200000000001</v>
      </c>
      <c r="R463" s="1">
        <v>44814</v>
      </c>
      <c r="S463">
        <v>-16.1158</v>
      </c>
      <c r="U463" s="1">
        <v>44814</v>
      </c>
      <c r="V463">
        <v>-10.442399999999999</v>
      </c>
      <c r="BL463" s="1"/>
    </row>
    <row r="464" spans="9:64">
      <c r="I464" s="1">
        <v>46116</v>
      </c>
      <c r="J464">
        <v>31.52</v>
      </c>
      <c r="K464">
        <v>180240</v>
      </c>
      <c r="O464" s="1">
        <v>44815</v>
      </c>
      <c r="P464">
        <v>-49.841200000000001</v>
      </c>
      <c r="R464" s="1">
        <v>44815</v>
      </c>
      <c r="S464">
        <v>-16.1158</v>
      </c>
      <c r="U464" s="1">
        <v>44815</v>
      </c>
      <c r="V464">
        <v>-10.442399999999999</v>
      </c>
      <c r="BL464" s="1"/>
    </row>
    <row r="465" spans="9:64">
      <c r="I465" s="1">
        <v>46117</v>
      </c>
      <c r="J465">
        <v>31.52</v>
      </c>
      <c r="K465">
        <v>180240</v>
      </c>
      <c r="O465" s="1">
        <v>44816</v>
      </c>
      <c r="P465">
        <v>-47.952500000000001</v>
      </c>
      <c r="R465" s="1">
        <v>44816</v>
      </c>
      <c r="S465">
        <v>-14.1029</v>
      </c>
      <c r="U465" s="1">
        <v>44816</v>
      </c>
      <c r="V465">
        <v>-9.2096999999999998</v>
      </c>
      <c r="BL465" s="1"/>
    </row>
    <row r="466" spans="9:64">
      <c r="I466" s="1">
        <v>46118</v>
      </c>
      <c r="J466">
        <v>31.52</v>
      </c>
      <c r="K466">
        <v>180240</v>
      </c>
      <c r="O466" s="1">
        <v>44817</v>
      </c>
      <c r="P466">
        <v>-49.950200000000002</v>
      </c>
      <c r="R466" s="1">
        <v>44817</v>
      </c>
      <c r="S466">
        <v>-15.4701</v>
      </c>
      <c r="U466" s="1">
        <v>44817</v>
      </c>
      <c r="V466">
        <v>-13.6905</v>
      </c>
      <c r="BL466" s="1"/>
    </row>
    <row r="467" spans="9:64">
      <c r="I467" s="1">
        <v>46119</v>
      </c>
      <c r="J467">
        <v>30.6</v>
      </c>
      <c r="K467">
        <v>224970</v>
      </c>
      <c r="O467" s="1">
        <v>44818</v>
      </c>
      <c r="P467">
        <v>-51.112400000000001</v>
      </c>
      <c r="R467" s="1">
        <v>44818</v>
      </c>
      <c r="S467">
        <v>-16.5017</v>
      </c>
      <c r="U467" s="1">
        <v>44818</v>
      </c>
      <c r="V467">
        <v>-13.984</v>
      </c>
      <c r="BL467" s="1"/>
    </row>
    <row r="468" spans="9:64">
      <c r="I468" s="1">
        <v>46120</v>
      </c>
      <c r="J468">
        <v>33.44</v>
      </c>
      <c r="K468">
        <v>307393</v>
      </c>
      <c r="O468" s="1">
        <v>44819</v>
      </c>
      <c r="P468">
        <v>-50.858199999999997</v>
      </c>
      <c r="R468" s="1">
        <v>44819</v>
      </c>
      <c r="S468">
        <v>-16.9589</v>
      </c>
      <c r="U468" s="1">
        <v>44819</v>
      </c>
      <c r="V468">
        <v>-15.295</v>
      </c>
      <c r="BL468" s="1"/>
    </row>
    <row r="469" spans="9:64">
      <c r="I469" s="1">
        <v>46121</v>
      </c>
      <c r="J469">
        <v>32.76</v>
      </c>
      <c r="K469">
        <v>192373</v>
      </c>
      <c r="O469" s="1">
        <v>44820</v>
      </c>
      <c r="P469">
        <v>-51.221400000000003</v>
      </c>
      <c r="R469" s="1">
        <v>44820</v>
      </c>
      <c r="S469">
        <v>-18.339400000000001</v>
      </c>
      <c r="U469" s="1">
        <v>44820</v>
      </c>
      <c r="V469">
        <v>-15.275399999999999</v>
      </c>
      <c r="BL469" s="1"/>
    </row>
    <row r="470" spans="9:64">
      <c r="I470" s="1">
        <v>46122</v>
      </c>
      <c r="J470">
        <v>33.299999999999997</v>
      </c>
      <c r="K470">
        <v>165238</v>
      </c>
      <c r="O470" s="1">
        <v>44821</v>
      </c>
      <c r="P470">
        <v>-51.221400000000003</v>
      </c>
      <c r="R470" s="1">
        <v>44821</v>
      </c>
      <c r="S470">
        <v>-18.339400000000001</v>
      </c>
      <c r="U470" s="1">
        <v>44821</v>
      </c>
      <c r="V470">
        <v>-15.275399999999999</v>
      </c>
      <c r="BL470" s="1"/>
    </row>
    <row r="471" spans="9:64">
      <c r="I471" s="1">
        <v>46123</v>
      </c>
      <c r="J471">
        <v>33.299999999999997</v>
      </c>
      <c r="K471">
        <v>165238</v>
      </c>
      <c r="O471" s="1">
        <v>44822</v>
      </c>
      <c r="P471">
        <v>-51.221400000000003</v>
      </c>
      <c r="R471" s="1">
        <v>44822</v>
      </c>
      <c r="S471">
        <v>-18.339400000000001</v>
      </c>
      <c r="U471" s="1">
        <v>44822</v>
      </c>
      <c r="V471">
        <v>-15.275399999999999</v>
      </c>
      <c r="BL471" s="1"/>
    </row>
    <row r="472" spans="9:64">
      <c r="I472" s="1">
        <v>46124</v>
      </c>
      <c r="J472">
        <v>33.299999999999997</v>
      </c>
      <c r="K472">
        <v>165238</v>
      </c>
      <c r="O472" s="1">
        <v>44823</v>
      </c>
      <c r="P472">
        <v>-50.131799999999998</v>
      </c>
      <c r="R472" s="1">
        <v>44823</v>
      </c>
      <c r="S472">
        <v>-17.9422</v>
      </c>
      <c r="U472" s="1">
        <v>44823</v>
      </c>
      <c r="V472">
        <v>-15.275399999999999</v>
      </c>
      <c r="BL472" s="1"/>
    </row>
    <row r="473" spans="9:64">
      <c r="I473" s="1">
        <v>46125</v>
      </c>
      <c r="J473">
        <v>33.08</v>
      </c>
      <c r="K473">
        <v>111295</v>
      </c>
      <c r="O473" s="1">
        <v>44824</v>
      </c>
      <c r="P473">
        <v>-51.076099999999997</v>
      </c>
      <c r="R473" s="1">
        <v>44824</v>
      </c>
      <c r="S473">
        <v>-18.790800000000001</v>
      </c>
      <c r="U473" s="1">
        <v>44824</v>
      </c>
      <c r="V473">
        <v>-16.684200000000001</v>
      </c>
      <c r="BL473" s="1"/>
    </row>
    <row r="474" spans="9:64">
      <c r="I474" s="1">
        <v>46126</v>
      </c>
      <c r="J474">
        <v>32.46</v>
      </c>
      <c r="K474">
        <v>130920</v>
      </c>
      <c r="O474" s="1">
        <v>44825</v>
      </c>
      <c r="P474">
        <v>-50.676600000000001</v>
      </c>
      <c r="R474" s="1">
        <v>44825</v>
      </c>
      <c r="S474">
        <v>-18.173500000000001</v>
      </c>
      <c r="U474" s="1">
        <v>44825</v>
      </c>
      <c r="V474">
        <v>-18.621300000000002</v>
      </c>
      <c r="BL474" s="1"/>
    </row>
    <row r="475" spans="9:64">
      <c r="I475" s="1">
        <v>46127</v>
      </c>
      <c r="J475">
        <v>31.9</v>
      </c>
      <c r="K475">
        <v>156538</v>
      </c>
      <c r="O475" s="1">
        <v>44826</v>
      </c>
      <c r="P475">
        <v>-52.056800000000003</v>
      </c>
      <c r="R475" s="1">
        <v>44826</v>
      </c>
      <c r="S475">
        <v>-19.683</v>
      </c>
      <c r="U475" s="1">
        <v>44826</v>
      </c>
      <c r="V475">
        <v>-19.482299999999999</v>
      </c>
      <c r="BL475" s="1"/>
    </row>
    <row r="476" spans="9:64">
      <c r="I476" s="1">
        <v>46128</v>
      </c>
      <c r="J476">
        <v>31.34</v>
      </c>
      <c r="K476">
        <v>151380</v>
      </c>
      <c r="O476" s="1">
        <v>44827</v>
      </c>
      <c r="P476">
        <v>-53.691200000000002</v>
      </c>
      <c r="R476" s="1">
        <v>44827</v>
      </c>
      <c r="S476">
        <v>-21.268899999999999</v>
      </c>
      <c r="U476" s="1">
        <v>44827</v>
      </c>
      <c r="V476">
        <v>-20.441099999999999</v>
      </c>
      <c r="BL476" s="1"/>
    </row>
    <row r="477" spans="9:64">
      <c r="I477" s="1">
        <v>46129</v>
      </c>
      <c r="J477">
        <v>32.6</v>
      </c>
      <c r="K477">
        <v>134506</v>
      </c>
      <c r="O477" s="1">
        <v>44828</v>
      </c>
      <c r="P477">
        <v>-53.691200000000002</v>
      </c>
      <c r="R477" s="1">
        <v>44828</v>
      </c>
      <c r="S477">
        <v>-21.268899999999999</v>
      </c>
      <c r="U477" s="1">
        <v>44828</v>
      </c>
      <c r="V477">
        <v>-20.441099999999999</v>
      </c>
      <c r="BL477" s="1"/>
    </row>
    <row r="478" spans="9:64">
      <c r="I478" s="1">
        <v>46130</v>
      </c>
      <c r="J478">
        <v>32.6</v>
      </c>
      <c r="K478">
        <v>134506</v>
      </c>
      <c r="O478" s="1">
        <v>44829</v>
      </c>
      <c r="P478">
        <v>-53.691200000000002</v>
      </c>
      <c r="R478" s="1">
        <v>44829</v>
      </c>
      <c r="S478">
        <v>-21.268899999999999</v>
      </c>
      <c r="U478" s="1">
        <v>44829</v>
      </c>
      <c r="V478">
        <v>-20.441099999999999</v>
      </c>
      <c r="BL478" s="1"/>
    </row>
    <row r="479" spans="9:64">
      <c r="I479" s="1">
        <v>46131</v>
      </c>
      <c r="J479">
        <v>32.6</v>
      </c>
      <c r="K479">
        <v>134506</v>
      </c>
      <c r="O479" s="1">
        <v>44830</v>
      </c>
      <c r="P479">
        <v>-54.163400000000003</v>
      </c>
      <c r="R479" s="1">
        <v>44830</v>
      </c>
      <c r="S479">
        <v>-21.6295</v>
      </c>
      <c r="U479" s="1">
        <v>44830</v>
      </c>
      <c r="V479">
        <v>-20.5976</v>
      </c>
      <c r="BL479" s="1"/>
    </row>
    <row r="480" spans="9:64">
      <c r="I480" s="1">
        <v>46132</v>
      </c>
      <c r="J480">
        <v>32.159999999999997</v>
      </c>
      <c r="K480">
        <v>125330</v>
      </c>
      <c r="O480" s="1">
        <v>44831</v>
      </c>
      <c r="P480">
        <v>-54.6355</v>
      </c>
      <c r="R480" s="1">
        <v>44831</v>
      </c>
      <c r="S480">
        <v>-22.1951</v>
      </c>
      <c r="U480" s="1">
        <v>44831</v>
      </c>
      <c r="V480">
        <v>-20.715</v>
      </c>
      <c r="BL480" s="1"/>
    </row>
    <row r="481" spans="9:64">
      <c r="I481" s="1">
        <v>46133</v>
      </c>
      <c r="J481">
        <v>31.94</v>
      </c>
      <c r="K481">
        <v>149948</v>
      </c>
      <c r="O481" s="1">
        <v>44832</v>
      </c>
      <c r="P481">
        <v>-55.216700000000003</v>
      </c>
      <c r="R481" s="1">
        <v>44832</v>
      </c>
      <c r="S481">
        <v>-21.915600000000001</v>
      </c>
      <c r="U481" s="1">
        <v>44832</v>
      </c>
      <c r="V481">
        <v>-19.110499999999998</v>
      </c>
      <c r="BL481" s="1"/>
    </row>
    <row r="482" spans="9:64">
      <c r="I482" s="1">
        <v>46134</v>
      </c>
      <c r="J482">
        <v>31.8</v>
      </c>
      <c r="K482">
        <v>203175</v>
      </c>
      <c r="O482" s="1">
        <v>44833</v>
      </c>
      <c r="P482">
        <v>-57.032699999999998</v>
      </c>
      <c r="R482" s="1">
        <v>44833</v>
      </c>
      <c r="S482">
        <v>-23.247</v>
      </c>
      <c r="U482" s="1">
        <v>44833</v>
      </c>
      <c r="V482">
        <v>-20.6172</v>
      </c>
      <c r="BL482" s="1"/>
    </row>
    <row r="483" spans="9:64">
      <c r="I483" s="1">
        <v>46135</v>
      </c>
      <c r="J483">
        <v>32.06</v>
      </c>
      <c r="K483">
        <v>120806</v>
      </c>
      <c r="O483" s="1">
        <v>44834</v>
      </c>
      <c r="P483">
        <v>-55.543500000000002</v>
      </c>
      <c r="R483" s="1">
        <v>44834</v>
      </c>
      <c r="S483">
        <v>-22.357299999999999</v>
      </c>
      <c r="U483" s="1">
        <v>44834</v>
      </c>
      <c r="V483">
        <v>-21.732500000000002</v>
      </c>
      <c r="BL483" s="1"/>
    </row>
    <row r="484" spans="9:64">
      <c r="I484" s="1">
        <v>46136</v>
      </c>
      <c r="J484">
        <v>31.76</v>
      </c>
      <c r="K484">
        <v>156642</v>
      </c>
      <c r="O484" s="1">
        <v>44835</v>
      </c>
      <c r="P484">
        <v>-55.543500000000002</v>
      </c>
      <c r="R484" s="1">
        <v>44835</v>
      </c>
      <c r="S484">
        <v>-22.357299999999999</v>
      </c>
      <c r="U484" s="1">
        <v>44835</v>
      </c>
      <c r="V484">
        <v>-21.732500000000002</v>
      </c>
      <c r="BL484" s="1"/>
    </row>
    <row r="485" spans="9:64">
      <c r="I485" s="1">
        <v>46137</v>
      </c>
      <c r="J485">
        <v>31.76</v>
      </c>
      <c r="K485">
        <v>156642</v>
      </c>
      <c r="O485" s="1">
        <v>44836</v>
      </c>
      <c r="P485">
        <v>-55.543500000000002</v>
      </c>
      <c r="R485" s="1">
        <v>44836</v>
      </c>
      <c r="S485">
        <v>-22.357299999999999</v>
      </c>
      <c r="U485" s="1">
        <v>44836</v>
      </c>
      <c r="V485">
        <v>-21.732500000000002</v>
      </c>
      <c r="BL485" s="1"/>
    </row>
    <row r="486" spans="9:64">
      <c r="I486" s="1">
        <v>46138</v>
      </c>
      <c r="J486">
        <v>31.76</v>
      </c>
      <c r="K486">
        <v>156642</v>
      </c>
      <c r="O486" s="1">
        <v>44837</v>
      </c>
      <c r="P486">
        <v>-54.1997</v>
      </c>
      <c r="R486" s="1">
        <v>44837</v>
      </c>
      <c r="S486">
        <v>-21.747699999999998</v>
      </c>
      <c r="U486" s="1">
        <v>44837</v>
      </c>
      <c r="V486">
        <v>-19.208300000000001</v>
      </c>
      <c r="BL486" s="1"/>
    </row>
    <row r="487" spans="9:64">
      <c r="I487" s="1">
        <v>46139</v>
      </c>
      <c r="J487">
        <v>31.38</v>
      </c>
      <c r="K487">
        <v>101629</v>
      </c>
      <c r="O487" s="1">
        <v>44838</v>
      </c>
      <c r="P487">
        <v>-51.766199999999998</v>
      </c>
      <c r="R487" s="1">
        <v>44838</v>
      </c>
      <c r="S487">
        <v>-18.793099999999999</v>
      </c>
      <c r="U487" s="1">
        <v>44838</v>
      </c>
      <c r="V487">
        <v>-17.427800000000001</v>
      </c>
      <c r="BL487" s="1"/>
    </row>
    <row r="488" spans="9:64">
      <c r="I488" s="1">
        <v>46140</v>
      </c>
      <c r="J488">
        <v>30.78</v>
      </c>
      <c r="K488">
        <v>154681</v>
      </c>
      <c r="O488" s="1">
        <v>44839</v>
      </c>
      <c r="P488">
        <v>-53.291699999999999</v>
      </c>
      <c r="R488" s="1">
        <v>44839</v>
      </c>
      <c r="S488">
        <v>-19.775600000000001</v>
      </c>
      <c r="U488" s="1">
        <v>44839</v>
      </c>
      <c r="V488">
        <v>-17.092099999999999</v>
      </c>
      <c r="BL488" s="1"/>
    </row>
    <row r="489" spans="9:64">
      <c r="I489" s="1">
        <v>46141</v>
      </c>
      <c r="J489">
        <v>31.18</v>
      </c>
      <c r="K489">
        <v>362611</v>
      </c>
      <c r="O489" s="1">
        <v>44840</v>
      </c>
      <c r="P489">
        <v>-53.182699999999997</v>
      </c>
      <c r="R489" s="1">
        <v>44840</v>
      </c>
      <c r="S489">
        <v>-20.073</v>
      </c>
      <c r="U489" s="1">
        <v>44840</v>
      </c>
      <c r="V489">
        <v>-18.020099999999999</v>
      </c>
      <c r="BL489" s="1"/>
    </row>
    <row r="490" spans="9:64">
      <c r="I490" s="1">
        <v>46142</v>
      </c>
      <c r="J490">
        <v>32.28</v>
      </c>
      <c r="K490">
        <v>260690</v>
      </c>
      <c r="O490" s="1">
        <v>44841</v>
      </c>
      <c r="P490">
        <v>-53.691200000000002</v>
      </c>
      <c r="R490" s="1">
        <v>44841</v>
      </c>
      <c r="S490">
        <v>-21.340599999999998</v>
      </c>
      <c r="U490" s="1">
        <v>44841</v>
      </c>
      <c r="V490">
        <v>-20.488199999999999</v>
      </c>
      <c r="BL490" s="1"/>
    </row>
    <row r="491" spans="9:64">
      <c r="I491" s="1">
        <v>46143</v>
      </c>
      <c r="J491">
        <v>32.28</v>
      </c>
      <c r="K491">
        <v>260690</v>
      </c>
      <c r="O491" s="1">
        <v>44842</v>
      </c>
      <c r="P491">
        <v>-53.691200000000002</v>
      </c>
      <c r="R491" s="1">
        <v>44842</v>
      </c>
      <c r="S491">
        <v>-21.340599999999998</v>
      </c>
      <c r="U491" s="1">
        <v>44842</v>
      </c>
      <c r="V491">
        <v>-20.488199999999999</v>
      </c>
      <c r="BL491" s="1"/>
    </row>
    <row r="492" spans="9:64">
      <c r="I492" s="1">
        <v>46144</v>
      </c>
      <c r="J492">
        <v>32.28</v>
      </c>
      <c r="K492">
        <v>260690</v>
      </c>
      <c r="O492" s="1">
        <v>44843</v>
      </c>
      <c r="P492">
        <v>-53.691200000000002</v>
      </c>
      <c r="R492" s="1">
        <v>44843</v>
      </c>
      <c r="S492">
        <v>-21.340599999999998</v>
      </c>
      <c r="U492" s="1">
        <v>44843</v>
      </c>
      <c r="V492">
        <v>-20.488199999999999</v>
      </c>
      <c r="BL492" s="1"/>
    </row>
    <row r="493" spans="9:64">
      <c r="I493" s="1">
        <v>46145</v>
      </c>
      <c r="J493">
        <v>32.28</v>
      </c>
      <c r="K493">
        <v>260690</v>
      </c>
      <c r="O493" s="1">
        <v>44844</v>
      </c>
      <c r="P493">
        <v>-54.889800000000001</v>
      </c>
      <c r="R493" s="1">
        <v>44844</v>
      </c>
      <c r="S493">
        <v>-21.341000000000001</v>
      </c>
      <c r="U493" s="1">
        <v>44844</v>
      </c>
      <c r="V493">
        <v>-21.238499999999998</v>
      </c>
      <c r="BL493" s="1"/>
    </row>
    <row r="494" spans="9:64">
      <c r="I494" s="1">
        <v>46146</v>
      </c>
      <c r="J494">
        <v>31.6</v>
      </c>
      <c r="K494">
        <v>305198</v>
      </c>
      <c r="O494" s="1">
        <v>44845</v>
      </c>
      <c r="P494">
        <v>-55.688800000000001</v>
      </c>
      <c r="R494" s="1">
        <v>44845</v>
      </c>
      <c r="S494">
        <v>-21.678699999999999</v>
      </c>
      <c r="U494" s="1">
        <v>44845</v>
      </c>
      <c r="V494">
        <v>-21.8506</v>
      </c>
      <c r="BL494" s="1"/>
    </row>
    <row r="495" spans="9:64">
      <c r="I495" s="1">
        <v>46147</v>
      </c>
      <c r="J495">
        <v>32.6</v>
      </c>
      <c r="K495">
        <v>140919</v>
      </c>
      <c r="O495" s="1">
        <v>44846</v>
      </c>
      <c r="P495">
        <v>-55.398299999999999</v>
      </c>
      <c r="R495" s="1">
        <v>44846</v>
      </c>
      <c r="S495">
        <v>-21.9862</v>
      </c>
      <c r="U495" s="1">
        <v>44846</v>
      </c>
      <c r="V495">
        <v>-22.462700000000002</v>
      </c>
      <c r="BL495" s="1"/>
    </row>
    <row r="496" spans="9:64">
      <c r="I496" s="1">
        <v>46148</v>
      </c>
      <c r="J496">
        <v>33.380000000000003</v>
      </c>
      <c r="K496">
        <v>237396</v>
      </c>
      <c r="O496" s="1">
        <v>44847</v>
      </c>
      <c r="P496">
        <v>-55.143999999999998</v>
      </c>
      <c r="R496" s="1">
        <v>44847</v>
      </c>
      <c r="S496">
        <v>-20.811299999999999</v>
      </c>
      <c r="U496" s="1">
        <v>44847</v>
      </c>
      <c r="V496">
        <v>-19.8169</v>
      </c>
      <c r="BL496" s="1"/>
    </row>
    <row r="497" spans="9:64">
      <c r="I497" s="1">
        <v>46149</v>
      </c>
      <c r="J497">
        <v>33.28</v>
      </c>
      <c r="K497">
        <v>154357</v>
      </c>
      <c r="O497" s="1">
        <v>44848</v>
      </c>
      <c r="P497">
        <v>-55.143999999999998</v>
      </c>
      <c r="R497" s="1">
        <v>44848</v>
      </c>
      <c r="S497">
        <v>-20.284300000000002</v>
      </c>
      <c r="U497" s="1">
        <v>44848</v>
      </c>
      <c r="V497">
        <v>-20.6264</v>
      </c>
      <c r="BL497" s="1"/>
    </row>
    <row r="498" spans="9:64">
      <c r="I498" s="1">
        <v>46150</v>
      </c>
      <c r="J498">
        <v>33</v>
      </c>
      <c r="K498">
        <v>145921</v>
      </c>
      <c r="O498" s="1">
        <v>44849</v>
      </c>
      <c r="P498">
        <v>-55.143999999999998</v>
      </c>
      <c r="R498" s="1">
        <v>44849</v>
      </c>
      <c r="S498">
        <v>-20.284300000000002</v>
      </c>
      <c r="U498" s="1">
        <v>44849</v>
      </c>
      <c r="V498">
        <v>-20.6264</v>
      </c>
      <c r="BL498" s="1"/>
    </row>
    <row r="499" spans="9:64">
      <c r="I499" s="1">
        <v>46151</v>
      </c>
      <c r="J499">
        <v>33</v>
      </c>
      <c r="K499">
        <v>145921</v>
      </c>
      <c r="O499" s="1">
        <v>44850</v>
      </c>
      <c r="P499">
        <v>-55.143999999999998</v>
      </c>
      <c r="R499" s="1">
        <v>44850</v>
      </c>
      <c r="S499">
        <v>-20.284300000000002</v>
      </c>
      <c r="U499" s="1">
        <v>44850</v>
      </c>
      <c r="V499">
        <v>-20.6264</v>
      </c>
      <c r="BL499" s="1"/>
    </row>
    <row r="500" spans="9:64">
      <c r="I500" s="1">
        <v>46152</v>
      </c>
      <c r="J500">
        <v>33</v>
      </c>
      <c r="K500">
        <v>145921</v>
      </c>
      <c r="O500" s="1">
        <v>44851</v>
      </c>
      <c r="P500">
        <v>-54.090699999999998</v>
      </c>
      <c r="R500" s="1">
        <v>44851</v>
      </c>
      <c r="S500">
        <v>-18.930599999999998</v>
      </c>
      <c r="U500" s="1">
        <v>44851</v>
      </c>
      <c r="V500">
        <v>-18.454499999999999</v>
      </c>
      <c r="BL500" s="1"/>
    </row>
    <row r="501" spans="9:64">
      <c r="I501" s="1">
        <v>46153</v>
      </c>
      <c r="J501">
        <v>33.56</v>
      </c>
      <c r="K501">
        <v>225013</v>
      </c>
      <c r="O501" s="1">
        <v>44852</v>
      </c>
      <c r="P501">
        <v>-53.291699999999999</v>
      </c>
      <c r="R501" s="1">
        <v>44852</v>
      </c>
      <c r="S501">
        <v>-18.183399999999999</v>
      </c>
      <c r="U501" s="1">
        <v>44852</v>
      </c>
      <c r="V501">
        <v>-17.486999999999998</v>
      </c>
      <c r="BL501" s="1"/>
    </row>
    <row r="502" spans="9:64">
      <c r="I502" s="1">
        <v>46154</v>
      </c>
      <c r="J502">
        <v>32.42</v>
      </c>
      <c r="K502">
        <v>231215</v>
      </c>
      <c r="O502" s="1">
        <v>44853</v>
      </c>
      <c r="P502">
        <v>-53.328000000000003</v>
      </c>
      <c r="R502" s="1">
        <v>44853</v>
      </c>
      <c r="S502">
        <v>-18.3385</v>
      </c>
      <c r="U502" s="1">
        <v>44853</v>
      </c>
      <c r="V502">
        <v>-17.3093</v>
      </c>
      <c r="BL502" s="1"/>
    </row>
    <row r="503" spans="9:64">
      <c r="I503" s="1">
        <v>46155</v>
      </c>
      <c r="J503">
        <v>32.64</v>
      </c>
      <c r="K503">
        <v>148333</v>
      </c>
      <c r="O503" s="1">
        <v>44854</v>
      </c>
      <c r="P503">
        <v>-54.599200000000003</v>
      </c>
      <c r="R503" s="1">
        <v>44854</v>
      </c>
      <c r="S503">
        <v>-18.171800000000001</v>
      </c>
      <c r="U503" s="1">
        <v>44854</v>
      </c>
      <c r="V503">
        <v>-17.645</v>
      </c>
      <c r="BL503" s="1"/>
    </row>
    <row r="504" spans="9:64">
      <c r="I504" s="1">
        <v>46156</v>
      </c>
      <c r="J504">
        <v>32.96</v>
      </c>
      <c r="K504">
        <v>86978</v>
      </c>
      <c r="O504" s="1">
        <v>44855</v>
      </c>
      <c r="P504">
        <v>-55.325600000000001</v>
      </c>
      <c r="R504" s="1">
        <v>44855</v>
      </c>
      <c r="S504">
        <v>-18.405799999999999</v>
      </c>
      <c r="U504" s="1">
        <v>44855</v>
      </c>
      <c r="V504">
        <v>-15.492800000000001</v>
      </c>
      <c r="BL504" s="1"/>
    </row>
    <row r="505" spans="9:64">
      <c r="I505" s="1">
        <v>46157</v>
      </c>
      <c r="J505">
        <v>32.64</v>
      </c>
      <c r="K505">
        <v>178523</v>
      </c>
      <c r="O505" s="1">
        <v>44856</v>
      </c>
      <c r="P505">
        <v>-55.325600000000001</v>
      </c>
      <c r="R505" s="1">
        <v>44856</v>
      </c>
      <c r="S505">
        <v>-18.405799999999999</v>
      </c>
      <c r="U505" s="1">
        <v>44856</v>
      </c>
      <c r="V505">
        <v>-15.492800000000001</v>
      </c>
      <c r="BL505" s="1"/>
    </row>
    <row r="506" spans="9:64">
      <c r="I506" s="1">
        <v>46158</v>
      </c>
      <c r="J506">
        <v>32.64</v>
      </c>
      <c r="K506">
        <v>178523</v>
      </c>
      <c r="O506" s="1">
        <v>44857</v>
      </c>
      <c r="P506">
        <v>-55.325600000000001</v>
      </c>
      <c r="R506" s="1">
        <v>44857</v>
      </c>
      <c r="S506">
        <v>-18.405799999999999</v>
      </c>
      <c r="U506" s="1">
        <v>44857</v>
      </c>
      <c r="V506">
        <v>-15.492800000000001</v>
      </c>
      <c r="BL506" s="1"/>
    </row>
    <row r="507" spans="9:64">
      <c r="I507" s="1">
        <v>46159</v>
      </c>
      <c r="J507">
        <v>32.64</v>
      </c>
      <c r="K507">
        <v>178523</v>
      </c>
      <c r="O507" s="1">
        <v>44858</v>
      </c>
      <c r="P507">
        <v>-54.998699999999999</v>
      </c>
      <c r="R507" s="1">
        <v>44858</v>
      </c>
      <c r="S507">
        <v>-17.1205</v>
      </c>
      <c r="U507" s="1">
        <v>44858</v>
      </c>
      <c r="V507">
        <v>-14.031700000000001</v>
      </c>
      <c r="BL507" s="1"/>
    </row>
    <row r="508" spans="9:64">
      <c r="I508" s="1">
        <v>46160</v>
      </c>
      <c r="J508">
        <v>32.24</v>
      </c>
      <c r="K508">
        <v>102041</v>
      </c>
      <c r="O508" s="1">
        <v>44859</v>
      </c>
      <c r="P508">
        <v>-53.073700000000002</v>
      </c>
      <c r="R508" s="1">
        <v>44859</v>
      </c>
      <c r="S508">
        <v>-16.341699999999999</v>
      </c>
      <c r="U508" s="1">
        <v>44859</v>
      </c>
      <c r="V508">
        <v>-12.412599999999999</v>
      </c>
      <c r="BL508" s="1"/>
    </row>
    <row r="509" spans="9:64">
      <c r="I509" s="1">
        <v>46161</v>
      </c>
      <c r="J509">
        <v>31.52</v>
      </c>
      <c r="K509">
        <v>185767</v>
      </c>
      <c r="O509" s="1">
        <v>44860</v>
      </c>
      <c r="P509">
        <v>-51.838799999999999</v>
      </c>
      <c r="R509" s="1">
        <v>44860</v>
      </c>
      <c r="S509">
        <v>-15.4262</v>
      </c>
      <c r="U509" s="1">
        <v>44860</v>
      </c>
      <c r="V509">
        <v>-12.373100000000001</v>
      </c>
      <c r="BL509" s="1"/>
    </row>
    <row r="510" spans="9:64">
      <c r="I510" s="1">
        <v>46162</v>
      </c>
      <c r="J510">
        <v>31.84</v>
      </c>
      <c r="K510">
        <v>100736</v>
      </c>
      <c r="O510" s="1">
        <v>44861</v>
      </c>
      <c r="P510">
        <v>-50.494999999999997</v>
      </c>
      <c r="R510" s="1">
        <v>44861</v>
      </c>
      <c r="S510">
        <v>-15.327299999999999</v>
      </c>
      <c r="U510" s="1">
        <v>44861</v>
      </c>
      <c r="V510">
        <v>-12.2941</v>
      </c>
      <c r="BL510" s="1"/>
    </row>
    <row r="511" spans="9:64">
      <c r="I511" s="1">
        <v>46163</v>
      </c>
      <c r="J511">
        <v>32</v>
      </c>
      <c r="K511">
        <v>113049</v>
      </c>
      <c r="O511" s="1">
        <v>44862</v>
      </c>
      <c r="P511">
        <v>-53.945399999999999</v>
      </c>
      <c r="R511" s="1">
        <v>44862</v>
      </c>
      <c r="S511">
        <v>-15.121600000000001</v>
      </c>
      <c r="U511" s="1">
        <v>44862</v>
      </c>
      <c r="V511">
        <v>-9.8853000000000009</v>
      </c>
      <c r="BL511" s="1"/>
    </row>
    <row r="512" spans="9:64">
      <c r="I512" s="1">
        <v>46164</v>
      </c>
      <c r="J512">
        <v>32.36</v>
      </c>
      <c r="K512">
        <v>101651</v>
      </c>
      <c r="O512" s="1">
        <v>44863</v>
      </c>
      <c r="P512">
        <v>-53.945399999999999</v>
      </c>
      <c r="R512" s="1">
        <v>44863</v>
      </c>
      <c r="S512">
        <v>-15.121600000000001</v>
      </c>
      <c r="U512" s="1">
        <v>44863</v>
      </c>
      <c r="V512">
        <v>-9.8853000000000009</v>
      </c>
      <c r="BL512" s="1"/>
    </row>
    <row r="513" spans="9:64">
      <c r="I513" s="1">
        <v>46165</v>
      </c>
      <c r="J513">
        <v>32.36</v>
      </c>
      <c r="K513">
        <v>101651</v>
      </c>
      <c r="O513" s="1">
        <v>44864</v>
      </c>
      <c r="P513">
        <v>-53.945399999999999</v>
      </c>
      <c r="R513" s="1">
        <v>44864</v>
      </c>
      <c r="S513">
        <v>-15.121600000000001</v>
      </c>
      <c r="U513" s="1">
        <v>44864</v>
      </c>
      <c r="V513">
        <v>-9.8853000000000009</v>
      </c>
      <c r="BL513" s="1"/>
    </row>
    <row r="514" spans="9:64">
      <c r="I514" s="1">
        <v>46166</v>
      </c>
      <c r="J514">
        <v>32.36</v>
      </c>
      <c r="K514">
        <v>101651</v>
      </c>
      <c r="O514" s="1">
        <v>44865</v>
      </c>
      <c r="P514">
        <v>-54.127000000000002</v>
      </c>
      <c r="R514" s="1">
        <v>44865</v>
      </c>
      <c r="S514">
        <v>-15.0549</v>
      </c>
      <c r="U514" s="1">
        <v>44865</v>
      </c>
      <c r="V514">
        <v>-10.299899999999999</v>
      </c>
      <c r="BL514" s="1"/>
    </row>
    <row r="515" spans="9:64">
      <c r="I515" s="1">
        <v>46167</v>
      </c>
      <c r="J515">
        <v>33.78</v>
      </c>
      <c r="K515">
        <v>66207</v>
      </c>
      <c r="O515" s="1">
        <v>44866</v>
      </c>
      <c r="P515">
        <v>-52.456299999999999</v>
      </c>
      <c r="R515" s="1">
        <v>44866</v>
      </c>
      <c r="S515">
        <v>-14.5101</v>
      </c>
      <c r="U515" s="1">
        <v>44866</v>
      </c>
      <c r="V515">
        <v>-10.2407</v>
      </c>
      <c r="BL515" s="1"/>
    </row>
    <row r="516" spans="9:64">
      <c r="I516" s="1">
        <v>46168</v>
      </c>
      <c r="J516">
        <v>33.72</v>
      </c>
      <c r="K516">
        <v>94203</v>
      </c>
      <c r="O516" s="1">
        <v>44867</v>
      </c>
      <c r="P516">
        <v>-52.42</v>
      </c>
      <c r="R516" s="1">
        <v>44867</v>
      </c>
      <c r="S516">
        <v>-15.0357</v>
      </c>
      <c r="U516" s="1">
        <v>44867</v>
      </c>
      <c r="V516">
        <v>-11.997999999999999</v>
      </c>
      <c r="BL516" s="1"/>
    </row>
    <row r="517" spans="9:64">
      <c r="I517" s="1">
        <v>46169</v>
      </c>
      <c r="J517">
        <v>34.479999999999997</v>
      </c>
      <c r="K517">
        <v>107294</v>
      </c>
      <c r="O517" s="1">
        <v>44868</v>
      </c>
      <c r="P517">
        <v>-52.710500000000003</v>
      </c>
      <c r="R517" s="1">
        <v>44868</v>
      </c>
      <c r="S517">
        <v>-15.8467</v>
      </c>
      <c r="U517" s="1">
        <v>44868</v>
      </c>
      <c r="V517">
        <v>-13.419600000000001</v>
      </c>
      <c r="BL517" s="1"/>
    </row>
    <row r="518" spans="9:64">
      <c r="I518" s="1">
        <v>46170</v>
      </c>
      <c r="J518">
        <v>34.299999999999997</v>
      </c>
      <c r="K518">
        <v>67730</v>
      </c>
      <c r="O518" s="1">
        <v>44869</v>
      </c>
      <c r="P518">
        <v>-49.841200000000001</v>
      </c>
      <c r="R518" s="1">
        <v>44869</v>
      </c>
      <c r="S518">
        <v>-13.7339</v>
      </c>
      <c r="U518" s="1">
        <v>44869</v>
      </c>
      <c r="V518">
        <v>-12.0967</v>
      </c>
      <c r="BL518" s="1"/>
    </row>
    <row r="519" spans="9:64">
      <c r="I519" s="1">
        <v>46171</v>
      </c>
      <c r="J519">
        <v>33.76</v>
      </c>
      <c r="K519">
        <v>136161</v>
      </c>
      <c r="O519" s="1">
        <v>44870</v>
      </c>
      <c r="P519">
        <v>-49.841200000000001</v>
      </c>
      <c r="R519" s="1">
        <v>44870</v>
      </c>
      <c r="S519">
        <v>-13.7339</v>
      </c>
      <c r="U519" s="1">
        <v>44870</v>
      </c>
      <c r="V519">
        <v>-12.0967</v>
      </c>
      <c r="BL519" s="1"/>
    </row>
    <row r="520" spans="9:64">
      <c r="I520" s="1">
        <v>46172</v>
      </c>
      <c r="J520">
        <v>33.76</v>
      </c>
      <c r="K520">
        <v>136161</v>
      </c>
      <c r="O520" s="1">
        <v>44871</v>
      </c>
      <c r="P520">
        <v>-49.841200000000001</v>
      </c>
      <c r="R520" s="1">
        <v>44871</v>
      </c>
      <c r="S520">
        <v>-13.7339</v>
      </c>
      <c r="U520" s="1">
        <v>44871</v>
      </c>
      <c r="V520">
        <v>-12.0967</v>
      </c>
      <c r="BL520" s="1"/>
    </row>
    <row r="521" spans="9:64">
      <c r="I521" s="1">
        <v>46173</v>
      </c>
      <c r="J521">
        <v>33.76</v>
      </c>
      <c r="K521">
        <v>136161</v>
      </c>
      <c r="O521" s="1">
        <v>44872</v>
      </c>
      <c r="P521">
        <v>-49.1511</v>
      </c>
      <c r="R521" s="1">
        <v>44872</v>
      </c>
      <c r="S521">
        <v>-13.261699999999999</v>
      </c>
      <c r="U521" s="1">
        <v>44872</v>
      </c>
      <c r="V521">
        <v>-12.0375</v>
      </c>
      <c r="BL521" s="1"/>
    </row>
    <row r="522" spans="9:64">
      <c r="I522" s="1">
        <v>46174</v>
      </c>
      <c r="J522">
        <v>33.58</v>
      </c>
      <c r="K522">
        <v>162755</v>
      </c>
      <c r="O522" s="1">
        <v>44873</v>
      </c>
      <c r="P522">
        <v>-48.025199999999998</v>
      </c>
      <c r="R522" s="1">
        <v>44873</v>
      </c>
      <c r="S522">
        <v>-12.2668</v>
      </c>
      <c r="U522" s="1">
        <v>44873</v>
      </c>
      <c r="V522">
        <v>-11.919</v>
      </c>
      <c r="BL522" s="1"/>
    </row>
    <row r="523" spans="9:64">
      <c r="I523" s="1">
        <v>46175</v>
      </c>
      <c r="J523">
        <v>34.58</v>
      </c>
      <c r="K523">
        <v>66641</v>
      </c>
      <c r="O523" s="1">
        <v>44874</v>
      </c>
      <c r="P523">
        <v>-47.5167</v>
      </c>
      <c r="R523" s="1">
        <v>44874</v>
      </c>
      <c r="S523">
        <v>-12.410600000000001</v>
      </c>
      <c r="U523" s="1">
        <v>44874</v>
      </c>
      <c r="V523">
        <v>-13.3011</v>
      </c>
      <c r="BL523" s="1"/>
    </row>
    <row r="524" spans="9:64">
      <c r="I524" s="1">
        <v>46176</v>
      </c>
      <c r="J524">
        <v>34.74</v>
      </c>
      <c r="K524">
        <v>108393</v>
      </c>
      <c r="O524" s="1">
        <v>44875</v>
      </c>
      <c r="P524">
        <v>-46.354399999999998</v>
      </c>
      <c r="R524" s="1">
        <v>44875</v>
      </c>
      <c r="S524">
        <v>-9.3356999999999992</v>
      </c>
      <c r="U524" s="1">
        <v>44875</v>
      </c>
      <c r="V524">
        <v>-9.8458000000000006</v>
      </c>
      <c r="BL524" s="1"/>
    </row>
    <row r="525" spans="9:64">
      <c r="I525" s="1">
        <v>46177</v>
      </c>
      <c r="J525">
        <v>34.6</v>
      </c>
      <c r="K525">
        <v>105760</v>
      </c>
      <c r="O525" s="1">
        <v>44876</v>
      </c>
      <c r="P525">
        <v>-44.429400000000001</v>
      </c>
      <c r="R525" s="1">
        <v>44876</v>
      </c>
      <c r="S525">
        <v>-8.8308</v>
      </c>
      <c r="U525" s="1">
        <v>44876</v>
      </c>
      <c r="V525">
        <v>-11.563599999999999</v>
      </c>
      <c r="BL525" s="1"/>
    </row>
    <row r="526" spans="9:64">
      <c r="I526" s="1">
        <v>46178</v>
      </c>
      <c r="J526">
        <v>33.82</v>
      </c>
      <c r="K526">
        <v>105051</v>
      </c>
      <c r="O526" s="1">
        <v>44877</v>
      </c>
      <c r="P526">
        <v>-44.429400000000001</v>
      </c>
      <c r="R526" s="1">
        <v>44877</v>
      </c>
      <c r="S526">
        <v>-8.8308</v>
      </c>
      <c r="U526" s="1">
        <v>44877</v>
      </c>
      <c r="V526">
        <v>-11.563599999999999</v>
      </c>
      <c r="BL526" s="1"/>
    </row>
    <row r="527" spans="9:64">
      <c r="I527" s="1">
        <v>46179</v>
      </c>
      <c r="J527">
        <v>33.82</v>
      </c>
      <c r="K527">
        <v>105051</v>
      </c>
      <c r="O527" s="1">
        <v>44878</v>
      </c>
      <c r="P527">
        <v>-44.429400000000001</v>
      </c>
      <c r="R527" s="1">
        <v>44878</v>
      </c>
      <c r="S527">
        <v>-8.8308</v>
      </c>
      <c r="U527" s="1">
        <v>44878</v>
      </c>
      <c r="V527">
        <v>-11.563599999999999</v>
      </c>
      <c r="BL527" s="1"/>
    </row>
    <row r="528" spans="9:64">
      <c r="I528" s="1">
        <v>46180</v>
      </c>
      <c r="J528">
        <v>33.82</v>
      </c>
      <c r="K528">
        <v>105051</v>
      </c>
      <c r="O528" s="1">
        <v>44879</v>
      </c>
      <c r="P528">
        <v>-44.502099999999999</v>
      </c>
      <c r="R528" s="1">
        <v>44879</v>
      </c>
      <c r="S528">
        <v>-8.2639999999999993</v>
      </c>
      <c r="U528" s="1">
        <v>44879</v>
      </c>
      <c r="V528">
        <v>-11.6623</v>
      </c>
      <c r="BL528" s="1"/>
    </row>
    <row r="529" spans="9:64">
      <c r="I529" s="1">
        <v>46181</v>
      </c>
      <c r="J529">
        <v>34.08</v>
      </c>
      <c r="K529">
        <v>103656</v>
      </c>
      <c r="O529" s="1">
        <v>44880</v>
      </c>
      <c r="P529">
        <v>-44.901600000000002</v>
      </c>
      <c r="R529" s="1">
        <v>44880</v>
      </c>
      <c r="S529">
        <v>-7.8460999999999999</v>
      </c>
      <c r="U529" s="1">
        <v>44880</v>
      </c>
      <c r="V529">
        <v>-11.346399999999999</v>
      </c>
      <c r="BL529" s="1"/>
    </row>
    <row r="530" spans="9:64">
      <c r="I530" s="1">
        <v>46182</v>
      </c>
      <c r="J530">
        <v>33.86</v>
      </c>
      <c r="K530">
        <v>79876</v>
      </c>
      <c r="O530" s="1">
        <v>44881</v>
      </c>
      <c r="P530">
        <v>-46.390700000000002</v>
      </c>
      <c r="R530" s="1">
        <v>44881</v>
      </c>
      <c r="S530">
        <v>-8.7721</v>
      </c>
      <c r="U530" s="1">
        <v>44881</v>
      </c>
      <c r="V530">
        <v>-12.353400000000001</v>
      </c>
      <c r="BL530" s="1"/>
    </row>
    <row r="531" spans="9:64">
      <c r="I531" s="1">
        <v>46183</v>
      </c>
      <c r="J531">
        <v>32.72</v>
      </c>
      <c r="K531">
        <v>67499</v>
      </c>
      <c r="O531" s="1">
        <v>44882</v>
      </c>
      <c r="P531">
        <v>-46.2455</v>
      </c>
      <c r="R531" s="1">
        <v>44882</v>
      </c>
      <c r="S531">
        <v>-8.5647000000000002</v>
      </c>
      <c r="U531" s="1">
        <v>44882</v>
      </c>
      <c r="V531">
        <v>-8.0096000000000007</v>
      </c>
      <c r="BL531" s="1"/>
    </row>
    <row r="532" spans="9:64">
      <c r="I532" s="1">
        <v>46184</v>
      </c>
      <c r="J532">
        <v>33.020000000000003</v>
      </c>
      <c r="K532">
        <v>99010</v>
      </c>
      <c r="O532" s="1">
        <v>44883</v>
      </c>
      <c r="P532">
        <v>-45.8459</v>
      </c>
      <c r="R532" s="1">
        <v>44883</v>
      </c>
      <c r="S532">
        <v>-7.5041000000000002</v>
      </c>
      <c r="U532" s="1">
        <v>44883</v>
      </c>
      <c r="V532">
        <v>-5.6402000000000001</v>
      </c>
      <c r="BL532" s="1"/>
    </row>
    <row r="533" spans="9:64">
      <c r="I533" s="1">
        <v>46185</v>
      </c>
      <c r="J533">
        <v>33.96</v>
      </c>
      <c r="K533">
        <v>80205</v>
      </c>
      <c r="O533" s="1">
        <v>44884</v>
      </c>
      <c r="P533">
        <v>-45.8459</v>
      </c>
      <c r="R533" s="1">
        <v>44884</v>
      </c>
      <c r="S533">
        <v>-7.5041000000000002</v>
      </c>
      <c r="U533" s="1">
        <v>44884</v>
      </c>
      <c r="V533">
        <v>-5.6402000000000001</v>
      </c>
      <c r="BL533" s="1"/>
    </row>
    <row r="534" spans="9:64">
      <c r="I534" s="1">
        <v>46186</v>
      </c>
      <c r="J534">
        <v>33.96</v>
      </c>
      <c r="K534">
        <v>80205</v>
      </c>
      <c r="O534" s="1">
        <v>44885</v>
      </c>
      <c r="P534">
        <v>-45.8459</v>
      </c>
      <c r="R534" s="1">
        <v>44885</v>
      </c>
      <c r="S534">
        <v>-7.5041000000000002</v>
      </c>
      <c r="U534" s="1">
        <v>44885</v>
      </c>
      <c r="V534">
        <v>-5.6402000000000001</v>
      </c>
      <c r="BL534" s="1"/>
    </row>
    <row r="535" spans="9:64">
      <c r="I535" s="1">
        <v>46187</v>
      </c>
      <c r="J535">
        <v>33.96</v>
      </c>
      <c r="K535">
        <v>80205</v>
      </c>
      <c r="O535" s="1">
        <v>44886</v>
      </c>
      <c r="P535">
        <v>-46.209099999999999</v>
      </c>
      <c r="R535" s="1">
        <v>44886</v>
      </c>
      <c r="S535">
        <v>-7.8369999999999997</v>
      </c>
      <c r="U535" s="1">
        <v>44886</v>
      </c>
      <c r="V535">
        <v>-5.9757999999999996</v>
      </c>
      <c r="BL535" s="1"/>
    </row>
    <row r="536" spans="9:64">
      <c r="I536" s="1">
        <v>46188</v>
      </c>
      <c r="J536">
        <v>34.479999999999997</v>
      </c>
      <c r="K536">
        <v>116736</v>
      </c>
      <c r="O536" s="1">
        <v>44887</v>
      </c>
      <c r="P536">
        <v>-45.954900000000002</v>
      </c>
      <c r="R536" s="1">
        <v>44887</v>
      </c>
      <c r="S536">
        <v>-7.5651000000000002</v>
      </c>
      <c r="U536" s="1">
        <v>44887</v>
      </c>
      <c r="V536">
        <v>-4.4752999999999998</v>
      </c>
      <c r="BL536" s="1"/>
    </row>
    <row r="537" spans="9:64">
      <c r="I537" s="1">
        <v>46189</v>
      </c>
      <c r="J537">
        <v>34.9</v>
      </c>
      <c r="K537">
        <v>94177</v>
      </c>
      <c r="O537" s="1">
        <v>44888</v>
      </c>
      <c r="P537">
        <v>-45.555399999999999</v>
      </c>
      <c r="R537" s="1">
        <v>44888</v>
      </c>
      <c r="S537">
        <v>-7.5315000000000003</v>
      </c>
      <c r="U537" s="1">
        <v>44888</v>
      </c>
      <c r="V537">
        <v>-4.1001000000000003</v>
      </c>
      <c r="BL537" s="1"/>
    </row>
    <row r="538" spans="9:64">
      <c r="I538" s="1">
        <v>46190</v>
      </c>
      <c r="J538">
        <v>33.9</v>
      </c>
      <c r="K538">
        <v>194066</v>
      </c>
      <c r="O538" s="1">
        <v>44889</v>
      </c>
      <c r="P538">
        <v>-45.083199999999998</v>
      </c>
      <c r="R538" s="1">
        <v>44889</v>
      </c>
      <c r="S538">
        <v>-6.8139000000000003</v>
      </c>
      <c r="U538" s="1">
        <v>44889</v>
      </c>
      <c r="V538">
        <v>-4.1001000000000003</v>
      </c>
      <c r="BL538" s="1"/>
    </row>
    <row r="539" spans="9:64">
      <c r="I539" s="1">
        <v>46191</v>
      </c>
      <c r="J539">
        <v>33.92</v>
      </c>
      <c r="K539">
        <v>256337</v>
      </c>
      <c r="O539" s="1">
        <v>44890</v>
      </c>
      <c r="P539">
        <v>-44.284100000000002</v>
      </c>
      <c r="R539" s="1">
        <v>44890</v>
      </c>
      <c r="S539">
        <v>-6.8022</v>
      </c>
      <c r="U539" s="1">
        <v>44890</v>
      </c>
      <c r="V539">
        <v>-4.4358000000000004</v>
      </c>
      <c r="BL539" s="1"/>
    </row>
    <row r="540" spans="9:64">
      <c r="I540" s="1">
        <v>46192</v>
      </c>
      <c r="J540">
        <v>33.14</v>
      </c>
      <c r="K540">
        <v>159734</v>
      </c>
      <c r="O540" s="1">
        <v>44891</v>
      </c>
      <c r="P540">
        <v>-44.284100000000002</v>
      </c>
      <c r="R540" s="1">
        <v>44891</v>
      </c>
      <c r="S540">
        <v>-6.8022</v>
      </c>
      <c r="U540" s="1">
        <v>44891</v>
      </c>
      <c r="V540">
        <v>-4.4358000000000004</v>
      </c>
      <c r="BL540" s="1"/>
    </row>
    <row r="541" spans="9:64">
      <c r="I541" s="1">
        <v>46193</v>
      </c>
      <c r="J541">
        <v>33.14</v>
      </c>
      <c r="K541">
        <v>159734</v>
      </c>
      <c r="O541" s="1">
        <v>44892</v>
      </c>
      <c r="P541">
        <v>-44.284100000000002</v>
      </c>
      <c r="R541" s="1">
        <v>44892</v>
      </c>
      <c r="S541">
        <v>-6.8022</v>
      </c>
      <c r="U541" s="1">
        <v>44892</v>
      </c>
      <c r="V541">
        <v>-4.4358000000000004</v>
      </c>
      <c r="BL541" s="1"/>
    </row>
    <row r="542" spans="9:64">
      <c r="I542" s="1">
        <v>46194</v>
      </c>
      <c r="J542">
        <v>33.14</v>
      </c>
      <c r="K542">
        <v>159734</v>
      </c>
      <c r="O542" s="1">
        <v>44893</v>
      </c>
      <c r="P542">
        <v>-45.8459</v>
      </c>
      <c r="R542" s="1">
        <v>44893</v>
      </c>
      <c r="S542">
        <v>-7.8150000000000004</v>
      </c>
      <c r="U542" s="1">
        <v>44893</v>
      </c>
      <c r="V542">
        <v>-5.0675999999999997</v>
      </c>
      <c r="BL542" s="1"/>
    </row>
    <row r="543" spans="9:64">
      <c r="I543" s="1">
        <v>46195</v>
      </c>
      <c r="J543">
        <v>33.06</v>
      </c>
      <c r="K543">
        <v>244916</v>
      </c>
      <c r="O543" s="1">
        <v>44894</v>
      </c>
      <c r="P543">
        <v>-45.337400000000002</v>
      </c>
      <c r="R543" s="1">
        <v>44894</v>
      </c>
      <c r="S543">
        <v>-7.9939</v>
      </c>
      <c r="U543" s="1">
        <v>44894</v>
      </c>
      <c r="V543">
        <v>-4.6726999999999999</v>
      </c>
      <c r="BL543" s="1"/>
    </row>
    <row r="544" spans="9:64">
      <c r="I544" s="1">
        <v>46196</v>
      </c>
      <c r="J544">
        <v>32.18</v>
      </c>
      <c r="K544">
        <v>104072</v>
      </c>
      <c r="O544" s="1">
        <v>44895</v>
      </c>
      <c r="P544">
        <v>-44.756300000000003</v>
      </c>
      <c r="R544" s="1">
        <v>44895</v>
      </c>
      <c r="S544">
        <v>-7.7272999999999996</v>
      </c>
      <c r="U544" s="1">
        <v>44895</v>
      </c>
      <c r="V544">
        <v>-1.8294999999999999</v>
      </c>
      <c r="BL544" s="1"/>
    </row>
    <row r="545" spans="9:64">
      <c r="I545" s="1">
        <v>46197</v>
      </c>
      <c r="J545">
        <v>31.56</v>
      </c>
      <c r="K545">
        <v>139271</v>
      </c>
      <c r="O545" s="1">
        <v>44896</v>
      </c>
      <c r="P545">
        <v>-44.5747</v>
      </c>
      <c r="R545" s="1">
        <v>44896</v>
      </c>
      <c r="S545">
        <v>-7.1295999999999999</v>
      </c>
      <c r="U545" s="1">
        <v>44896</v>
      </c>
      <c r="V545">
        <v>-1.3359000000000001</v>
      </c>
      <c r="BL545" s="1"/>
    </row>
    <row r="546" spans="9:64">
      <c r="I546" s="1">
        <v>46198</v>
      </c>
      <c r="J546">
        <v>32.56</v>
      </c>
      <c r="K546">
        <v>98145</v>
      </c>
      <c r="O546" s="1">
        <v>44897</v>
      </c>
      <c r="P546">
        <v>-44.1389</v>
      </c>
      <c r="R546" s="1">
        <v>44897</v>
      </c>
      <c r="S546">
        <v>-6.8791000000000002</v>
      </c>
      <c r="U546" s="1">
        <v>44897</v>
      </c>
      <c r="V546">
        <v>-1.869</v>
      </c>
      <c r="BL546" s="1"/>
    </row>
    <row r="547" spans="9:64">
      <c r="I547" s="1">
        <v>46199</v>
      </c>
      <c r="J547">
        <v>31.94</v>
      </c>
      <c r="K547">
        <v>285381</v>
      </c>
      <c r="O547" s="1">
        <v>44898</v>
      </c>
      <c r="P547">
        <v>-44.1389</v>
      </c>
      <c r="R547" s="1">
        <v>44898</v>
      </c>
      <c r="S547">
        <v>-6.8791000000000002</v>
      </c>
      <c r="U547" s="1">
        <v>44898</v>
      </c>
      <c r="V547">
        <v>-1.869</v>
      </c>
      <c r="BL547" s="1"/>
    </row>
    <row r="548" spans="9:64">
      <c r="I548" s="1">
        <v>46200</v>
      </c>
      <c r="J548">
        <v>31.94</v>
      </c>
      <c r="K548">
        <v>285381</v>
      </c>
      <c r="O548" s="1">
        <v>44899</v>
      </c>
      <c r="P548">
        <v>-44.1389</v>
      </c>
      <c r="R548" s="1">
        <v>44899</v>
      </c>
      <c r="S548">
        <v>-6.8791000000000002</v>
      </c>
      <c r="U548" s="1">
        <v>44899</v>
      </c>
      <c r="V548">
        <v>-1.869</v>
      </c>
      <c r="BL548" s="1"/>
    </row>
    <row r="549" spans="9:64">
      <c r="I549" s="1">
        <v>46201</v>
      </c>
      <c r="J549">
        <v>31.94</v>
      </c>
      <c r="K549">
        <v>285381</v>
      </c>
      <c r="O549" s="1">
        <v>44900</v>
      </c>
      <c r="P549">
        <v>-45.519100000000002</v>
      </c>
      <c r="R549" s="1">
        <v>44900</v>
      </c>
      <c r="S549">
        <v>-7.4032</v>
      </c>
      <c r="U549" s="1">
        <v>44900</v>
      </c>
      <c r="V549">
        <v>-2.5994999999999999</v>
      </c>
      <c r="BL549" s="1"/>
    </row>
    <row r="550" spans="9:64">
      <c r="I550" s="1">
        <v>46202</v>
      </c>
      <c r="J550">
        <v>31.88</v>
      </c>
      <c r="K550">
        <v>191899</v>
      </c>
      <c r="O550" s="1">
        <v>44901</v>
      </c>
      <c r="P550">
        <v>-45.991199999999999</v>
      </c>
      <c r="R550" s="1">
        <v>44901</v>
      </c>
      <c r="S550">
        <v>-8.0724</v>
      </c>
      <c r="U550" s="1">
        <v>44901</v>
      </c>
      <c r="V550">
        <v>-4.0606</v>
      </c>
      <c r="BL550" s="1"/>
    </row>
    <row r="551" spans="9:64">
      <c r="I551" s="1">
        <v>46203</v>
      </c>
      <c r="J551">
        <v>33.18</v>
      </c>
      <c r="K551">
        <v>162807</v>
      </c>
      <c r="O551" s="1">
        <v>44902</v>
      </c>
      <c r="P551">
        <v>-47.2624</v>
      </c>
      <c r="R551" s="1">
        <v>44902</v>
      </c>
      <c r="S551">
        <v>-8.5980000000000008</v>
      </c>
      <c r="U551" s="1">
        <v>44902</v>
      </c>
      <c r="V551">
        <v>-4.8700999999999999</v>
      </c>
      <c r="BL551" s="1"/>
    </row>
    <row r="552" spans="9:64">
      <c r="I552" s="1">
        <v>46204</v>
      </c>
      <c r="J552">
        <v>33.36</v>
      </c>
      <c r="K552">
        <v>177312</v>
      </c>
      <c r="O552" s="1">
        <v>44903</v>
      </c>
      <c r="P552">
        <v>-46.971899999999998</v>
      </c>
      <c r="R552" s="1">
        <v>44903</v>
      </c>
      <c r="S552">
        <v>-8.5763999999999996</v>
      </c>
      <c r="U552" s="1">
        <v>44903</v>
      </c>
      <c r="V552">
        <v>-3.2707999999999999</v>
      </c>
      <c r="BL552" s="1"/>
    </row>
    <row r="553" spans="9:64">
      <c r="I553" s="1">
        <v>46205</v>
      </c>
      <c r="J553">
        <v>33.5</v>
      </c>
      <c r="K553">
        <v>18895</v>
      </c>
      <c r="O553" s="1">
        <v>44904</v>
      </c>
      <c r="P553">
        <v>-45.628</v>
      </c>
      <c r="R553" s="1">
        <v>44904</v>
      </c>
      <c r="S553">
        <v>-7.8959999999999999</v>
      </c>
      <c r="U553" s="1">
        <v>44904</v>
      </c>
      <c r="V553">
        <v>-4.3173000000000004</v>
      </c>
      <c r="BL553" s="1"/>
    </row>
    <row r="554" spans="9:64">
      <c r="I554" s="1"/>
      <c r="O554" s="1">
        <v>44905</v>
      </c>
      <c r="P554">
        <v>-45.628</v>
      </c>
      <c r="R554" s="1">
        <v>44905</v>
      </c>
      <c r="S554">
        <v>-7.8959999999999999</v>
      </c>
      <c r="U554" s="1">
        <v>44905</v>
      </c>
      <c r="V554">
        <v>-4.3173000000000004</v>
      </c>
      <c r="BL554" s="1"/>
    </row>
    <row r="555" spans="9:64">
      <c r="I555" s="1"/>
      <c r="O555" s="1">
        <v>44906</v>
      </c>
      <c r="P555">
        <v>-45.628</v>
      </c>
      <c r="R555" s="1">
        <v>44906</v>
      </c>
      <c r="S555">
        <v>-7.8959999999999999</v>
      </c>
      <c r="U555" s="1">
        <v>44906</v>
      </c>
      <c r="V555">
        <v>-4.3173000000000004</v>
      </c>
      <c r="BL555" s="1"/>
    </row>
    <row r="556" spans="9:64">
      <c r="I556" s="1"/>
      <c r="O556" s="1">
        <v>44907</v>
      </c>
      <c r="P556">
        <v>-46.645000000000003</v>
      </c>
      <c r="R556" s="1">
        <v>44907</v>
      </c>
      <c r="S556">
        <v>-8.3068000000000008</v>
      </c>
      <c r="U556" s="1">
        <v>44907</v>
      </c>
      <c r="V556">
        <v>-2.6587000000000001</v>
      </c>
      <c r="BL556" s="1"/>
    </row>
    <row r="557" spans="9:64">
      <c r="I557" s="1"/>
      <c r="O557" s="1">
        <v>44908</v>
      </c>
      <c r="P557">
        <v>-45.954900000000002</v>
      </c>
      <c r="R557" s="1">
        <v>44908</v>
      </c>
      <c r="S557">
        <v>-7.0808999999999997</v>
      </c>
      <c r="U557" s="1">
        <v>44908</v>
      </c>
      <c r="V557">
        <v>-1.9874000000000001</v>
      </c>
      <c r="BL557" s="1"/>
    </row>
    <row r="558" spans="9:64">
      <c r="I558" s="1"/>
      <c r="O558" s="1">
        <v>44909</v>
      </c>
      <c r="P558">
        <v>-46.4634</v>
      </c>
      <c r="R558" s="1">
        <v>44909</v>
      </c>
      <c r="S558">
        <v>-7.3224999999999998</v>
      </c>
      <c r="U558" s="1">
        <v>44909</v>
      </c>
      <c r="V558">
        <v>-2.6587000000000001</v>
      </c>
      <c r="BL558" s="1"/>
    </row>
    <row r="559" spans="9:64">
      <c r="I559" s="1"/>
      <c r="O559" s="1">
        <v>44910</v>
      </c>
      <c r="P559">
        <v>-47.843600000000002</v>
      </c>
      <c r="R559" s="1">
        <v>44910</v>
      </c>
      <c r="S559">
        <v>-10.360300000000001</v>
      </c>
      <c r="U559" s="1">
        <v>44910</v>
      </c>
      <c r="V559">
        <v>-4.9294000000000002</v>
      </c>
      <c r="BL559" s="1"/>
    </row>
    <row r="560" spans="9:64">
      <c r="I560" s="1"/>
      <c r="O560" s="1">
        <v>44911</v>
      </c>
      <c r="P560">
        <v>-48.025199999999998</v>
      </c>
      <c r="R560" s="1">
        <v>44911</v>
      </c>
      <c r="S560">
        <v>-10.9573</v>
      </c>
      <c r="U560" s="1">
        <v>44911</v>
      </c>
      <c r="V560">
        <v>-5.6006999999999998</v>
      </c>
      <c r="BL560" s="1"/>
    </row>
    <row r="561" spans="9:64">
      <c r="I561" s="1"/>
      <c r="O561" s="1">
        <v>44912</v>
      </c>
      <c r="P561">
        <v>-48.025199999999998</v>
      </c>
      <c r="R561" s="1">
        <v>44912</v>
      </c>
      <c r="S561">
        <v>-10.9573</v>
      </c>
      <c r="U561" s="1">
        <v>44912</v>
      </c>
      <c r="V561">
        <v>-5.6006999999999998</v>
      </c>
      <c r="BL561" s="1"/>
    </row>
    <row r="562" spans="9:64">
      <c r="I562" s="1"/>
      <c r="O562" s="1">
        <v>44913</v>
      </c>
      <c r="P562">
        <v>-48.025199999999998</v>
      </c>
      <c r="R562" s="1">
        <v>44913</v>
      </c>
      <c r="S562">
        <v>-10.9573</v>
      </c>
      <c r="U562" s="1">
        <v>44913</v>
      </c>
      <c r="V562">
        <v>-5.6006999999999998</v>
      </c>
      <c r="BL562" s="1"/>
    </row>
    <row r="563" spans="9:64">
      <c r="I563" s="1"/>
      <c r="O563" s="1">
        <v>44914</v>
      </c>
      <c r="P563">
        <v>-47.552999999999997</v>
      </c>
      <c r="R563" s="1">
        <v>44914</v>
      </c>
      <c r="S563">
        <v>-10.638199999999999</v>
      </c>
      <c r="U563" s="1">
        <v>44914</v>
      </c>
      <c r="V563">
        <v>-6.4101999999999997</v>
      </c>
      <c r="BL563" s="1"/>
    </row>
    <row r="564" spans="9:64">
      <c r="I564" s="1"/>
      <c r="O564" s="1">
        <v>44915</v>
      </c>
      <c r="P564">
        <v>-47.988900000000001</v>
      </c>
      <c r="R564" s="1">
        <v>44915</v>
      </c>
      <c r="S564">
        <v>-11.011200000000001</v>
      </c>
      <c r="U564" s="1">
        <v>44915</v>
      </c>
      <c r="V564">
        <v>-6.4695</v>
      </c>
      <c r="BL564" s="1"/>
    </row>
    <row r="565" spans="9:64">
      <c r="I565" s="1"/>
      <c r="O565" s="1">
        <v>44916</v>
      </c>
      <c r="P565">
        <v>-47.807200000000002</v>
      </c>
      <c r="R565" s="1">
        <v>44916</v>
      </c>
      <c r="S565">
        <v>-9.6450999999999993</v>
      </c>
      <c r="U565" s="1">
        <v>44916</v>
      </c>
      <c r="V565">
        <v>-5.8968999999999996</v>
      </c>
      <c r="BL565" s="1"/>
    </row>
    <row r="566" spans="9:64">
      <c r="I566" s="1"/>
      <c r="O566" s="1">
        <v>44917</v>
      </c>
      <c r="P566">
        <v>-49.296399999999998</v>
      </c>
      <c r="R566" s="1">
        <v>44917</v>
      </c>
      <c r="S566">
        <v>-10.822699999999999</v>
      </c>
      <c r="U566" s="1">
        <v>44917</v>
      </c>
      <c r="V566">
        <v>-6.5682</v>
      </c>
      <c r="BL566" s="1"/>
    </row>
    <row r="567" spans="9:64">
      <c r="I567" s="1"/>
      <c r="O567" s="1">
        <v>44918</v>
      </c>
      <c r="P567">
        <v>-48.388399999999997</v>
      </c>
      <c r="R567" s="1">
        <v>44918</v>
      </c>
      <c r="S567">
        <v>-10.650600000000001</v>
      </c>
      <c r="U567" s="1">
        <v>44918</v>
      </c>
      <c r="V567">
        <v>-6.2523</v>
      </c>
      <c r="BL567" s="1"/>
    </row>
    <row r="568" spans="9:64">
      <c r="I568" s="1"/>
      <c r="O568" s="1">
        <v>44919</v>
      </c>
      <c r="P568">
        <v>-48.388399999999997</v>
      </c>
      <c r="R568" s="1">
        <v>44919</v>
      </c>
      <c r="S568">
        <v>-10.650600000000001</v>
      </c>
      <c r="U568" s="1">
        <v>44919</v>
      </c>
      <c r="V568">
        <v>-6.2523</v>
      </c>
      <c r="BL568" s="1"/>
    </row>
    <row r="569" spans="9:64">
      <c r="I569" s="1"/>
      <c r="O569" s="1">
        <v>44920</v>
      </c>
      <c r="P569">
        <v>-48.388399999999997</v>
      </c>
      <c r="R569" s="1">
        <v>44920</v>
      </c>
      <c r="S569">
        <v>-10.650600000000001</v>
      </c>
      <c r="U569" s="1">
        <v>44920</v>
      </c>
      <c r="V569">
        <v>-6.2523</v>
      </c>
      <c r="BL569" s="1"/>
    </row>
    <row r="570" spans="9:64">
      <c r="I570" s="1"/>
      <c r="O570" s="1">
        <v>44921</v>
      </c>
      <c r="P570">
        <v>-48.388399999999997</v>
      </c>
      <c r="R570" s="1">
        <v>44921</v>
      </c>
      <c r="S570">
        <v>-10.650600000000001</v>
      </c>
      <c r="U570" s="1">
        <v>44921</v>
      </c>
      <c r="V570">
        <v>-6.2523</v>
      </c>
      <c r="BL570" s="1"/>
    </row>
    <row r="571" spans="9:64">
      <c r="I571" s="1"/>
      <c r="O571" s="1">
        <v>44922</v>
      </c>
      <c r="P571">
        <v>-48.170499999999997</v>
      </c>
      <c r="R571" s="1">
        <v>44922</v>
      </c>
      <c r="S571">
        <v>-10.3034</v>
      </c>
      <c r="U571" s="1">
        <v>44922</v>
      </c>
      <c r="V571">
        <v>-6.1536</v>
      </c>
      <c r="BL571" s="1"/>
    </row>
    <row r="572" spans="9:64">
      <c r="I572" s="1"/>
      <c r="O572" s="1">
        <v>44923</v>
      </c>
      <c r="P572">
        <v>-49.078499999999998</v>
      </c>
      <c r="R572" s="1">
        <v>44923</v>
      </c>
      <c r="S572">
        <v>-10.748799999999999</v>
      </c>
      <c r="U572" s="1">
        <v>44923</v>
      </c>
      <c r="V572">
        <v>-7.0617999999999999</v>
      </c>
      <c r="BL572" s="1"/>
    </row>
    <row r="573" spans="9:64">
      <c r="I573" s="1"/>
      <c r="O573" s="1">
        <v>44924</v>
      </c>
      <c r="P573">
        <v>-48.497300000000003</v>
      </c>
      <c r="R573" s="1">
        <v>44924</v>
      </c>
      <c r="S573">
        <v>-9.8123000000000005</v>
      </c>
      <c r="U573" s="1">
        <v>44924</v>
      </c>
      <c r="V573">
        <v>-6.2127999999999997</v>
      </c>
      <c r="BL573" s="1"/>
    </row>
    <row r="574" spans="9:64">
      <c r="I574" s="1"/>
      <c r="O574" s="1">
        <v>44925</v>
      </c>
      <c r="P574">
        <v>-48.678899999999999</v>
      </c>
      <c r="R574" s="1">
        <v>44925</v>
      </c>
      <c r="S574">
        <v>-10.761699999999999</v>
      </c>
      <c r="U574" s="1">
        <v>44925</v>
      </c>
      <c r="V574">
        <v>-5.9363999999999999</v>
      </c>
      <c r="BL574" s="1"/>
    </row>
    <row r="575" spans="9:64">
      <c r="I575" s="1"/>
      <c r="O575" s="1">
        <v>44926</v>
      </c>
      <c r="P575">
        <v>-48.678899999999999</v>
      </c>
      <c r="R575" s="1">
        <v>44926</v>
      </c>
      <c r="S575">
        <v>-10.761699999999999</v>
      </c>
      <c r="U575" s="1">
        <v>44926</v>
      </c>
      <c r="V575">
        <v>-5.9363999999999999</v>
      </c>
      <c r="BL575" s="1"/>
    </row>
    <row r="576" spans="9:64">
      <c r="I576" s="1"/>
      <c r="O576" s="1">
        <v>44927</v>
      </c>
      <c r="P576">
        <v>-48.678899999999999</v>
      </c>
      <c r="R576" s="1">
        <v>44927</v>
      </c>
      <c r="S576">
        <v>-10.761699999999999</v>
      </c>
      <c r="U576" s="1">
        <v>44927</v>
      </c>
      <c r="V576">
        <v>-5.9363999999999999</v>
      </c>
      <c r="BL576" s="1"/>
    </row>
    <row r="577" spans="9:64">
      <c r="I577" s="1"/>
      <c r="O577" s="1">
        <v>44928</v>
      </c>
      <c r="P577">
        <v>-47.552999999999997</v>
      </c>
      <c r="R577" s="1">
        <v>44928</v>
      </c>
      <c r="S577">
        <v>-9.8280999999999992</v>
      </c>
      <c r="U577" s="1">
        <v>44928</v>
      </c>
      <c r="V577">
        <v>-5.9363999999999999</v>
      </c>
      <c r="BL577" s="1"/>
    </row>
    <row r="578" spans="9:64">
      <c r="I578" s="1"/>
      <c r="O578" s="1">
        <v>44929</v>
      </c>
      <c r="P578">
        <v>-47.480400000000003</v>
      </c>
      <c r="R578" s="1">
        <v>44929</v>
      </c>
      <c r="S578">
        <v>-9.1075999999999997</v>
      </c>
      <c r="U578" s="1">
        <v>44929</v>
      </c>
      <c r="V578">
        <v>-5.3440000000000003</v>
      </c>
      <c r="BL578" s="1"/>
    </row>
    <row r="579" spans="9:64">
      <c r="I579" s="1"/>
      <c r="O579" s="1">
        <v>44930</v>
      </c>
      <c r="P579">
        <v>-46.862900000000003</v>
      </c>
      <c r="R579" s="1">
        <v>44930</v>
      </c>
      <c r="S579">
        <v>-7.1265000000000001</v>
      </c>
      <c r="U579" s="1">
        <v>44930</v>
      </c>
      <c r="V579">
        <v>-5.3638000000000003</v>
      </c>
      <c r="BL579" s="1"/>
    </row>
    <row r="580" spans="9:64">
      <c r="I580" s="1"/>
      <c r="O580" s="1">
        <v>44931</v>
      </c>
      <c r="P580">
        <v>-45.954900000000002</v>
      </c>
      <c r="R580" s="1">
        <v>44931</v>
      </c>
      <c r="S580">
        <v>-7.4756</v>
      </c>
      <c r="U580" s="1">
        <v>44931</v>
      </c>
      <c r="V580">
        <v>-6.6971999999999996</v>
      </c>
      <c r="BL580" s="1"/>
    </row>
    <row r="581" spans="9:64">
      <c r="I581" s="1"/>
      <c r="O581" s="1">
        <v>44932</v>
      </c>
      <c r="P581">
        <v>-44.865299999999998</v>
      </c>
      <c r="R581" s="1">
        <v>44932</v>
      </c>
      <c r="S581">
        <v>-6.3623000000000003</v>
      </c>
      <c r="U581" s="1">
        <v>44932</v>
      </c>
      <c r="V581">
        <v>-3.8313000000000001</v>
      </c>
      <c r="BL581" s="1"/>
    </row>
    <row r="582" spans="9:64">
      <c r="I582" s="1"/>
      <c r="O582" s="1">
        <v>44933</v>
      </c>
      <c r="P582">
        <v>-44.865299999999998</v>
      </c>
      <c r="R582" s="1">
        <v>44933</v>
      </c>
      <c r="S582">
        <v>-6.3623000000000003</v>
      </c>
      <c r="U582" s="1">
        <v>44933</v>
      </c>
      <c r="V582">
        <v>-3.8313000000000001</v>
      </c>
      <c r="BL582" s="1"/>
    </row>
    <row r="583" spans="9:64">
      <c r="I583" s="1"/>
      <c r="O583" s="1">
        <v>44934</v>
      </c>
      <c r="P583">
        <v>-44.865299999999998</v>
      </c>
      <c r="R583" s="1">
        <v>44934</v>
      </c>
      <c r="S583">
        <v>-6.3623000000000003</v>
      </c>
      <c r="U583" s="1">
        <v>44934</v>
      </c>
      <c r="V583">
        <v>-3.8313000000000001</v>
      </c>
      <c r="BL583" s="1"/>
    </row>
    <row r="584" spans="9:64">
      <c r="I584" s="1"/>
      <c r="O584" s="1">
        <v>44935</v>
      </c>
      <c r="P584">
        <v>-45.301099999999998</v>
      </c>
      <c r="R584" s="1">
        <v>44935</v>
      </c>
      <c r="S584">
        <v>-5.1905999999999999</v>
      </c>
      <c r="U584" s="1">
        <v>44935</v>
      </c>
      <c r="V584">
        <v>-3.3138000000000001</v>
      </c>
      <c r="BL584" s="1"/>
    </row>
    <row r="585" spans="9:64">
      <c r="I585" s="1"/>
      <c r="O585" s="1">
        <v>44936</v>
      </c>
      <c r="P585">
        <v>-45.773299999999999</v>
      </c>
      <c r="R585" s="1">
        <v>44936</v>
      </c>
      <c r="S585">
        <v>-5.3075000000000001</v>
      </c>
      <c r="U585" s="1">
        <v>44936</v>
      </c>
      <c r="V585">
        <v>-2.8561000000000001</v>
      </c>
      <c r="BL585" s="1"/>
    </row>
    <row r="586" spans="9:64">
      <c r="I586" s="1"/>
      <c r="O586" s="1">
        <v>44937</v>
      </c>
      <c r="P586">
        <v>-44.756300000000003</v>
      </c>
      <c r="R586" s="1">
        <v>44937</v>
      </c>
      <c r="S586">
        <v>-4.1966999999999999</v>
      </c>
      <c r="U586" s="1">
        <v>44937</v>
      </c>
      <c r="V586">
        <v>-2.06</v>
      </c>
      <c r="BL586" s="1"/>
    </row>
    <row r="587" spans="9:64">
      <c r="I587" s="1"/>
      <c r="O587" s="1">
        <v>44938</v>
      </c>
      <c r="P587">
        <v>-42.758699999999997</v>
      </c>
      <c r="R587" s="1">
        <v>44938</v>
      </c>
      <c r="S587">
        <v>-3.4891999999999999</v>
      </c>
      <c r="U587" s="1">
        <v>44938</v>
      </c>
      <c r="V587">
        <v>-2.4779</v>
      </c>
      <c r="BL587" s="1"/>
    </row>
    <row r="588" spans="9:64">
      <c r="I588" s="1"/>
      <c r="O588" s="1">
        <v>44939</v>
      </c>
      <c r="P588">
        <v>-43.012900000000002</v>
      </c>
      <c r="R588" s="1">
        <v>44939</v>
      </c>
      <c r="S588">
        <v>-3.3083</v>
      </c>
      <c r="U588" s="1">
        <v>44939</v>
      </c>
      <c r="V588">
        <v>-2.7166999999999999</v>
      </c>
      <c r="BL588" s="1"/>
    </row>
    <row r="589" spans="9:64">
      <c r="I589" s="1"/>
      <c r="O589" s="1">
        <v>44940</v>
      </c>
      <c r="P589">
        <v>-43.012900000000002</v>
      </c>
      <c r="R589" s="1">
        <v>44940</v>
      </c>
      <c r="S589">
        <v>-3.3083</v>
      </c>
      <c r="U589" s="1">
        <v>44940</v>
      </c>
      <c r="V589">
        <v>-2.7166999999999999</v>
      </c>
      <c r="BL589" s="1"/>
    </row>
    <row r="590" spans="9:64">
      <c r="I590" s="1"/>
      <c r="O590" s="1">
        <v>44941</v>
      </c>
      <c r="P590">
        <v>-43.012900000000002</v>
      </c>
      <c r="R590" s="1">
        <v>44941</v>
      </c>
      <c r="S590">
        <v>-3.3083</v>
      </c>
      <c r="U590" s="1">
        <v>44941</v>
      </c>
      <c r="V590">
        <v>-2.7166999999999999</v>
      </c>
      <c r="BL590" s="1"/>
    </row>
    <row r="591" spans="9:64">
      <c r="I591" s="1"/>
      <c r="O591" s="1">
        <v>44942</v>
      </c>
      <c r="P591">
        <v>-42.976599999999998</v>
      </c>
      <c r="R591" s="1">
        <v>44942</v>
      </c>
      <c r="S591">
        <v>-3.0038</v>
      </c>
      <c r="U591" s="1">
        <v>44942</v>
      </c>
      <c r="V591">
        <v>-2.7166999999999999</v>
      </c>
      <c r="BL591" s="1"/>
    </row>
    <row r="592" spans="9:64">
      <c r="I592" s="1"/>
      <c r="O592" s="1">
        <v>44943</v>
      </c>
      <c r="P592">
        <v>-42.395499999999998</v>
      </c>
      <c r="R592" s="1">
        <v>44943</v>
      </c>
      <c r="S592">
        <v>-2.6638999999999999</v>
      </c>
      <c r="U592" s="1">
        <v>44943</v>
      </c>
      <c r="V592">
        <v>-4.3089000000000004</v>
      </c>
      <c r="BL592" s="1"/>
    </row>
    <row r="593" spans="9:64">
      <c r="I593" s="1"/>
      <c r="O593" s="1">
        <v>44944</v>
      </c>
      <c r="P593">
        <v>-40.216200000000001</v>
      </c>
      <c r="R593" s="1">
        <v>44944</v>
      </c>
      <c r="S593">
        <v>-2.6977000000000002</v>
      </c>
      <c r="U593" s="1">
        <v>44944</v>
      </c>
      <c r="V593">
        <v>-6.6574</v>
      </c>
      <c r="BL593" s="1"/>
    </row>
    <row r="594" spans="9:64">
      <c r="I594" s="1"/>
      <c r="O594" s="1">
        <v>44945</v>
      </c>
      <c r="P594">
        <v>-41.6691</v>
      </c>
      <c r="R594" s="1">
        <v>44945</v>
      </c>
      <c r="S594">
        <v>-4.3733000000000004</v>
      </c>
      <c r="U594" s="1">
        <v>44945</v>
      </c>
      <c r="V594">
        <v>-7.5331000000000001</v>
      </c>
      <c r="BL594" s="1"/>
    </row>
    <row r="595" spans="9:64">
      <c r="I595" s="1"/>
      <c r="O595" s="1">
        <v>44946</v>
      </c>
      <c r="P595">
        <v>-41.196899999999999</v>
      </c>
      <c r="R595" s="1">
        <v>44946</v>
      </c>
      <c r="S595">
        <v>-3.6478000000000002</v>
      </c>
      <c r="U595" s="1">
        <v>44946</v>
      </c>
      <c r="V595">
        <v>-6.8963000000000001</v>
      </c>
      <c r="BL595" s="1"/>
    </row>
    <row r="596" spans="9:64">
      <c r="I596" s="1"/>
      <c r="O596" s="1">
        <v>44947</v>
      </c>
      <c r="P596">
        <v>-41.196899999999999</v>
      </c>
      <c r="R596" s="1">
        <v>44947</v>
      </c>
      <c r="S596">
        <v>-3.6478000000000002</v>
      </c>
      <c r="U596" s="1">
        <v>44947</v>
      </c>
      <c r="V596">
        <v>-6.8963000000000001</v>
      </c>
      <c r="BL596" s="1"/>
    </row>
    <row r="597" spans="9:64">
      <c r="I597" s="1"/>
      <c r="O597" s="1">
        <v>44948</v>
      </c>
      <c r="P597">
        <v>-41.196899999999999</v>
      </c>
      <c r="R597" s="1">
        <v>44948</v>
      </c>
      <c r="S597">
        <v>-3.6478000000000002</v>
      </c>
      <c r="U597" s="1">
        <v>44948</v>
      </c>
      <c r="V597">
        <v>-6.8963000000000001</v>
      </c>
      <c r="BL597" s="1"/>
    </row>
    <row r="598" spans="9:64">
      <c r="I598" s="1"/>
      <c r="O598" s="1">
        <v>44949</v>
      </c>
      <c r="P598">
        <v>-40.761000000000003</v>
      </c>
      <c r="R598" s="1">
        <v>44949</v>
      </c>
      <c r="S598">
        <v>-3.2029999999999998</v>
      </c>
      <c r="U598" s="1">
        <v>44949</v>
      </c>
      <c r="V598">
        <v>-5.4633000000000003</v>
      </c>
      <c r="BL598" s="1"/>
    </row>
    <row r="599" spans="9:64">
      <c r="I599" s="1"/>
      <c r="O599" s="1">
        <v>44950</v>
      </c>
      <c r="P599">
        <v>-41.523800000000001</v>
      </c>
      <c r="R599" s="1">
        <v>44950</v>
      </c>
      <c r="S599">
        <v>-3.2660999999999998</v>
      </c>
      <c r="U599" s="1">
        <v>44950</v>
      </c>
      <c r="V599">
        <v>-4.8463000000000003</v>
      </c>
      <c r="BL599" s="1"/>
    </row>
    <row r="600" spans="9:64">
      <c r="I600" s="1"/>
      <c r="O600" s="1">
        <v>44951</v>
      </c>
      <c r="P600">
        <v>-41.741700000000002</v>
      </c>
      <c r="R600" s="1">
        <v>44951</v>
      </c>
      <c r="S600">
        <v>-3.3395999999999999</v>
      </c>
      <c r="U600" s="1">
        <v>44951</v>
      </c>
      <c r="V600">
        <v>-4.508</v>
      </c>
      <c r="BL600" s="1"/>
    </row>
    <row r="601" spans="9:64">
      <c r="I601" s="1"/>
      <c r="O601" s="1">
        <v>44952</v>
      </c>
      <c r="P601">
        <v>-41.923299999999998</v>
      </c>
      <c r="R601" s="1">
        <v>44952</v>
      </c>
      <c r="S601">
        <v>-3.0114000000000001</v>
      </c>
      <c r="U601" s="1">
        <v>44952</v>
      </c>
      <c r="V601">
        <v>-3.7915000000000001</v>
      </c>
      <c r="BL601" s="1"/>
    </row>
    <row r="602" spans="9:64">
      <c r="I602" s="1"/>
      <c r="O602" s="1">
        <v>44953</v>
      </c>
      <c r="P602">
        <v>-41.087899999999998</v>
      </c>
      <c r="R602" s="1">
        <v>44953</v>
      </c>
      <c r="S602">
        <v>-2.9013</v>
      </c>
      <c r="U602" s="1">
        <v>44953</v>
      </c>
      <c r="V602">
        <v>-3.4531000000000001</v>
      </c>
      <c r="BL602" s="1"/>
    </row>
    <row r="603" spans="9:64">
      <c r="I603" s="1"/>
      <c r="O603" s="1">
        <v>44954</v>
      </c>
      <c r="P603">
        <v>-41.087899999999998</v>
      </c>
      <c r="R603" s="1">
        <v>44954</v>
      </c>
      <c r="S603">
        <v>-2.9013</v>
      </c>
      <c r="U603" s="1">
        <v>44954</v>
      </c>
      <c r="V603">
        <v>-3.4531000000000001</v>
      </c>
      <c r="BL603" s="1"/>
    </row>
    <row r="604" spans="9:64">
      <c r="I604" s="1"/>
      <c r="O604" s="1">
        <v>44955</v>
      </c>
      <c r="P604">
        <v>-41.087899999999998</v>
      </c>
      <c r="R604" s="1">
        <v>44955</v>
      </c>
      <c r="S604">
        <v>-2.9013</v>
      </c>
      <c r="U604" s="1">
        <v>44955</v>
      </c>
      <c r="V604">
        <v>-3.4531000000000001</v>
      </c>
      <c r="BL604" s="1"/>
    </row>
    <row r="605" spans="9:64">
      <c r="I605" s="1"/>
      <c r="O605" s="1">
        <v>44956</v>
      </c>
      <c r="P605">
        <v>-41.923299999999998</v>
      </c>
      <c r="R605" s="1">
        <v>44956</v>
      </c>
      <c r="S605">
        <v>-3.0548000000000002</v>
      </c>
      <c r="U605" s="1">
        <v>44956</v>
      </c>
      <c r="V605">
        <v>-4.0303000000000004</v>
      </c>
      <c r="BL605" s="1"/>
    </row>
    <row r="606" spans="9:64">
      <c r="I606" s="1"/>
      <c r="O606" s="1">
        <v>44957</v>
      </c>
      <c r="P606">
        <v>-42.4681</v>
      </c>
      <c r="R606" s="1">
        <v>44957</v>
      </c>
      <c r="S606">
        <v>-3.0407999999999999</v>
      </c>
      <c r="U606" s="1">
        <v>44957</v>
      </c>
      <c r="V606">
        <v>-3.1347</v>
      </c>
      <c r="BL606" s="1"/>
    </row>
    <row r="607" spans="9:64">
      <c r="I607" s="1"/>
      <c r="O607" s="1">
        <v>44958</v>
      </c>
      <c r="P607">
        <v>-41.887</v>
      </c>
      <c r="R607" s="1">
        <v>44958</v>
      </c>
      <c r="S607">
        <v>-2.7044999999999999</v>
      </c>
      <c r="U607" s="1">
        <v>44958</v>
      </c>
      <c r="V607">
        <v>-3.3336999999999999</v>
      </c>
      <c r="BL607" s="1"/>
    </row>
    <row r="608" spans="9:64">
      <c r="I608" s="1"/>
      <c r="O608" s="1">
        <v>44959</v>
      </c>
      <c r="P608">
        <v>-41.015300000000003</v>
      </c>
      <c r="R608" s="1">
        <v>44959</v>
      </c>
      <c r="S608">
        <v>-0.59940000000000004</v>
      </c>
      <c r="U608" s="1">
        <v>44959</v>
      </c>
      <c r="V608">
        <v>-1.841</v>
      </c>
      <c r="BL608" s="1"/>
    </row>
    <row r="609" spans="9:64">
      <c r="I609" s="1"/>
      <c r="O609" s="1">
        <v>44960</v>
      </c>
      <c r="P609">
        <v>-40.978999999999999</v>
      </c>
      <c r="R609" s="1">
        <v>44960</v>
      </c>
      <c r="S609">
        <v>-0.80930000000000002</v>
      </c>
      <c r="U609" s="1">
        <v>44960</v>
      </c>
      <c r="V609">
        <v>-3.2143000000000002</v>
      </c>
      <c r="BL609" s="1"/>
    </row>
    <row r="610" spans="9:64">
      <c r="I610" s="1"/>
      <c r="O610" s="1">
        <v>44961</v>
      </c>
      <c r="P610">
        <v>-40.978999999999999</v>
      </c>
      <c r="R610" s="1">
        <v>44961</v>
      </c>
      <c r="S610">
        <v>-0.80930000000000002</v>
      </c>
      <c r="U610" s="1">
        <v>44961</v>
      </c>
      <c r="V610">
        <v>-3.2143000000000002</v>
      </c>
      <c r="BL610" s="1"/>
    </row>
    <row r="611" spans="9:64">
      <c r="I611" s="1"/>
      <c r="O611" s="1">
        <v>44962</v>
      </c>
      <c r="P611">
        <v>-40.978999999999999</v>
      </c>
      <c r="R611" s="1">
        <v>44962</v>
      </c>
      <c r="S611">
        <v>-0.80930000000000002</v>
      </c>
      <c r="U611" s="1">
        <v>44962</v>
      </c>
      <c r="V611">
        <v>-3.2143000000000002</v>
      </c>
      <c r="BL611" s="1"/>
    </row>
    <row r="612" spans="9:64">
      <c r="I612" s="1"/>
      <c r="O612" s="1">
        <v>44963</v>
      </c>
      <c r="P612">
        <v>-41.160600000000002</v>
      </c>
      <c r="R612" s="1">
        <v>44963</v>
      </c>
      <c r="S612">
        <v>-1.6458999999999999</v>
      </c>
      <c r="U612" s="1">
        <v>44963</v>
      </c>
      <c r="V612">
        <v>-5.3239999999999998</v>
      </c>
      <c r="BL612" s="1"/>
    </row>
    <row r="613" spans="9:64">
      <c r="I613" s="1"/>
      <c r="O613" s="1">
        <v>44964</v>
      </c>
      <c r="P613">
        <v>-40.325200000000002</v>
      </c>
      <c r="R613" s="1">
        <v>44964</v>
      </c>
      <c r="S613">
        <v>-1.8063</v>
      </c>
      <c r="U613" s="1">
        <v>44964</v>
      </c>
      <c r="V613">
        <v>-4.7866</v>
      </c>
      <c r="BL613" s="1"/>
    </row>
    <row r="614" spans="9:64">
      <c r="I614" s="1"/>
      <c r="O614" s="1">
        <v>44965</v>
      </c>
      <c r="P614">
        <v>-42.032299999999999</v>
      </c>
      <c r="R614" s="1">
        <v>44965</v>
      </c>
      <c r="S614">
        <v>-1.222</v>
      </c>
      <c r="U614" s="1">
        <v>44965</v>
      </c>
      <c r="V614">
        <v>-6.5380000000000003</v>
      </c>
      <c r="BL614" s="1"/>
    </row>
    <row r="615" spans="9:64">
      <c r="I615" s="1"/>
      <c r="O615" s="1">
        <v>44966</v>
      </c>
      <c r="P615">
        <v>-40.688400000000001</v>
      </c>
      <c r="R615" s="1">
        <v>44966</v>
      </c>
      <c r="S615">
        <v>-0.50819999999999999</v>
      </c>
      <c r="U615" s="1">
        <v>44966</v>
      </c>
      <c r="V615">
        <v>-6.9958</v>
      </c>
      <c r="BL615" s="1"/>
    </row>
    <row r="616" spans="9:64">
      <c r="I616" s="1"/>
      <c r="O616" s="1">
        <v>44967</v>
      </c>
      <c r="P616">
        <v>-41.596400000000003</v>
      </c>
      <c r="R616" s="1">
        <v>44967</v>
      </c>
      <c r="S616">
        <v>-1.889</v>
      </c>
      <c r="U616" s="1">
        <v>44967</v>
      </c>
      <c r="V616">
        <v>-5.9409000000000001</v>
      </c>
      <c r="BL616" s="1"/>
    </row>
    <row r="617" spans="9:64">
      <c r="I617" s="1"/>
      <c r="O617" s="1">
        <v>44968</v>
      </c>
      <c r="P617">
        <v>-41.596400000000003</v>
      </c>
      <c r="R617" s="1">
        <v>44968</v>
      </c>
      <c r="S617">
        <v>-1.889</v>
      </c>
      <c r="U617" s="1">
        <v>44968</v>
      </c>
      <c r="V617">
        <v>-5.9409000000000001</v>
      </c>
      <c r="BL617" s="1"/>
    </row>
    <row r="618" spans="9:64">
      <c r="I618" s="1"/>
      <c r="O618" s="1">
        <v>44969</v>
      </c>
      <c r="P618">
        <v>-41.596400000000003</v>
      </c>
      <c r="R618" s="1">
        <v>44969</v>
      </c>
      <c r="S618">
        <v>-1.889</v>
      </c>
      <c r="U618" s="1">
        <v>44969</v>
      </c>
      <c r="V618">
        <v>-5.9409000000000001</v>
      </c>
      <c r="BL618" s="1"/>
    </row>
    <row r="619" spans="9:64">
      <c r="I619" s="1"/>
      <c r="O619" s="1">
        <v>44970</v>
      </c>
      <c r="P619">
        <v>-41.887</v>
      </c>
      <c r="R619" s="1">
        <v>44970</v>
      </c>
      <c r="S619">
        <v>-1.3162</v>
      </c>
      <c r="U619" s="1">
        <v>44970</v>
      </c>
      <c r="V619">
        <v>-4.7468000000000004</v>
      </c>
      <c r="BL619" s="1"/>
    </row>
    <row r="620" spans="9:64">
      <c r="I620" s="1"/>
      <c r="O620" s="1">
        <v>44971</v>
      </c>
      <c r="P620">
        <v>-42.177599999999998</v>
      </c>
      <c r="R620" s="1">
        <v>44971</v>
      </c>
      <c r="S620">
        <v>-1.4238</v>
      </c>
      <c r="U620" s="1">
        <v>44971</v>
      </c>
      <c r="V620">
        <v>-5.0651999999999999</v>
      </c>
      <c r="BL620" s="1"/>
    </row>
    <row r="621" spans="9:64">
      <c r="I621" s="1"/>
      <c r="O621" s="1">
        <v>44972</v>
      </c>
      <c r="P621">
        <v>-42.322800000000001</v>
      </c>
      <c r="R621" s="1">
        <v>44972</v>
      </c>
      <c r="S621">
        <v>-0.61760000000000004</v>
      </c>
      <c r="U621" s="1">
        <v>44972</v>
      </c>
      <c r="V621">
        <v>-3.5724999999999998</v>
      </c>
      <c r="BL621" s="1"/>
    </row>
    <row r="622" spans="9:64">
      <c r="I622" s="1"/>
      <c r="O622" s="1">
        <v>44973</v>
      </c>
      <c r="P622">
        <v>-42.359200000000001</v>
      </c>
      <c r="R622" s="1">
        <v>44973</v>
      </c>
      <c r="S622">
        <v>-0.44269999999999998</v>
      </c>
      <c r="U622" s="1">
        <v>44973</v>
      </c>
      <c r="V622">
        <v>1.4826999999999999</v>
      </c>
      <c r="BL622" s="1"/>
    </row>
    <row r="623" spans="9:64">
      <c r="I623" s="1"/>
      <c r="O623" s="1">
        <v>44974</v>
      </c>
      <c r="P623">
        <v>-42.322800000000001</v>
      </c>
      <c r="R623" s="1">
        <v>44974</v>
      </c>
      <c r="S623">
        <v>-0.77359999999999995</v>
      </c>
      <c r="U623" s="1">
        <v>44974</v>
      </c>
      <c r="V623">
        <v>1.0448</v>
      </c>
      <c r="BL623" s="1"/>
    </row>
    <row r="624" spans="9:64">
      <c r="I624" s="1"/>
      <c r="O624" s="1">
        <v>44975</v>
      </c>
      <c r="P624">
        <v>-42.322800000000001</v>
      </c>
      <c r="R624" s="1">
        <v>44975</v>
      </c>
      <c r="S624">
        <v>-0.77359999999999995</v>
      </c>
      <c r="U624" s="1">
        <v>44975</v>
      </c>
      <c r="V624">
        <v>1.0448</v>
      </c>
      <c r="BL624" s="1"/>
    </row>
    <row r="625" spans="9:64">
      <c r="I625" s="1"/>
      <c r="O625" s="1">
        <v>44976</v>
      </c>
      <c r="P625">
        <v>-42.322800000000001</v>
      </c>
      <c r="R625" s="1">
        <v>44976</v>
      </c>
      <c r="S625">
        <v>-0.77359999999999995</v>
      </c>
      <c r="U625" s="1">
        <v>44976</v>
      </c>
      <c r="V625">
        <v>1.0448</v>
      </c>
      <c r="BL625" s="1"/>
    </row>
    <row r="626" spans="9:64">
      <c r="I626" s="1"/>
      <c r="O626" s="1">
        <v>44977</v>
      </c>
      <c r="P626">
        <v>-42.4681</v>
      </c>
      <c r="R626" s="1">
        <v>44977</v>
      </c>
      <c r="S626">
        <v>-0.80220000000000002</v>
      </c>
      <c r="U626" s="1">
        <v>44977</v>
      </c>
      <c r="V626">
        <v>1.0448</v>
      </c>
      <c r="BL626" s="1"/>
    </row>
    <row r="627" spans="9:64">
      <c r="I627" s="1"/>
      <c r="O627" s="1">
        <v>44978</v>
      </c>
      <c r="P627">
        <v>-43.703000000000003</v>
      </c>
      <c r="R627" s="1">
        <v>44978</v>
      </c>
      <c r="S627">
        <v>-1.3145</v>
      </c>
      <c r="U627" s="1">
        <v>44978</v>
      </c>
      <c r="V627">
        <v>-1.1046</v>
      </c>
      <c r="BL627" s="1"/>
    </row>
    <row r="628" spans="9:64">
      <c r="I628" s="1"/>
      <c r="O628" s="1">
        <v>44979</v>
      </c>
      <c r="P628">
        <v>-44.429400000000001</v>
      </c>
      <c r="R628" s="1">
        <v>44979</v>
      </c>
      <c r="S628">
        <v>-1.2999000000000001</v>
      </c>
      <c r="U628" s="1">
        <v>44979</v>
      </c>
      <c r="V628">
        <v>-1.8609</v>
      </c>
      <c r="BL628" s="1"/>
    </row>
    <row r="629" spans="9:64">
      <c r="I629" s="1"/>
      <c r="O629" s="1">
        <v>44980</v>
      </c>
      <c r="P629">
        <v>-43.775700000000001</v>
      </c>
      <c r="R629" s="1">
        <v>44980</v>
      </c>
      <c r="S629">
        <v>-0.81410000000000005</v>
      </c>
      <c r="U629" s="1">
        <v>44980</v>
      </c>
      <c r="V629">
        <v>-2.06</v>
      </c>
      <c r="BL629" s="1"/>
    </row>
    <row r="630" spans="9:64">
      <c r="I630" s="1"/>
      <c r="O630" s="1">
        <v>44981</v>
      </c>
      <c r="P630">
        <v>-44.247799999999998</v>
      </c>
      <c r="R630" s="1">
        <v>44981</v>
      </c>
      <c r="S630">
        <v>-2.5186000000000002</v>
      </c>
      <c r="U630" s="1">
        <v>44981</v>
      </c>
      <c r="V630">
        <v>-3.5127999999999999</v>
      </c>
      <c r="BL630" s="1"/>
    </row>
    <row r="631" spans="9:64">
      <c r="I631" s="1"/>
      <c r="O631" s="1">
        <v>44982</v>
      </c>
      <c r="P631">
        <v>-44.247799999999998</v>
      </c>
      <c r="R631" s="1">
        <v>44982</v>
      </c>
      <c r="S631">
        <v>-2.5186000000000002</v>
      </c>
      <c r="U631" s="1">
        <v>44982</v>
      </c>
      <c r="V631">
        <v>-3.5127999999999999</v>
      </c>
      <c r="BL631" s="1"/>
    </row>
    <row r="632" spans="9:64">
      <c r="I632" s="1"/>
      <c r="O632" s="1">
        <v>44983</v>
      </c>
      <c r="P632">
        <v>-44.247799999999998</v>
      </c>
      <c r="R632" s="1">
        <v>44983</v>
      </c>
      <c r="S632">
        <v>-2.5186000000000002</v>
      </c>
      <c r="U632" s="1">
        <v>44983</v>
      </c>
      <c r="V632">
        <v>-3.5127999999999999</v>
      </c>
      <c r="BL632" s="1"/>
    </row>
    <row r="633" spans="9:64">
      <c r="I633" s="1"/>
      <c r="O633" s="1">
        <v>44984</v>
      </c>
      <c r="P633">
        <v>-43.666699999999999</v>
      </c>
      <c r="R633" s="1">
        <v>44984</v>
      </c>
      <c r="S633">
        <v>-1.4181999999999999</v>
      </c>
      <c r="U633" s="1">
        <v>44984</v>
      </c>
      <c r="V633">
        <v>-3.0152999999999999</v>
      </c>
      <c r="BL633" s="1"/>
    </row>
    <row r="634" spans="9:64">
      <c r="I634" s="1"/>
      <c r="O634" s="1">
        <v>44985</v>
      </c>
      <c r="P634">
        <v>-43.811999999999998</v>
      </c>
      <c r="R634" s="1">
        <v>44985</v>
      </c>
      <c r="S634">
        <v>-1.5226</v>
      </c>
      <c r="U634" s="1">
        <v>44985</v>
      </c>
      <c r="V634">
        <v>-3.6322000000000001</v>
      </c>
      <c r="BL634" s="1"/>
    </row>
    <row r="635" spans="9:64">
      <c r="I635" s="1"/>
      <c r="O635" s="1">
        <v>44986</v>
      </c>
      <c r="P635">
        <v>-43.703000000000003</v>
      </c>
      <c r="R635" s="1">
        <v>44986</v>
      </c>
      <c r="S635">
        <v>-1.9078999999999999</v>
      </c>
      <c r="U635" s="1">
        <v>44986</v>
      </c>
      <c r="V635">
        <v>-3.7915000000000001</v>
      </c>
      <c r="BL635" s="1"/>
    </row>
    <row r="636" spans="9:64">
      <c r="I636" s="1"/>
      <c r="O636" s="1">
        <v>44987</v>
      </c>
      <c r="P636">
        <v>-42.940300000000001</v>
      </c>
      <c r="R636" s="1">
        <v>44987</v>
      </c>
      <c r="S636">
        <v>-1.7629999999999999</v>
      </c>
      <c r="U636" s="1">
        <v>44987</v>
      </c>
      <c r="V636">
        <v>-3.4133</v>
      </c>
      <c r="BL636" s="1"/>
    </row>
    <row r="637" spans="9:64">
      <c r="I637" s="1"/>
      <c r="O637" s="1">
        <v>44988</v>
      </c>
      <c r="P637">
        <v>-41.451099999999997</v>
      </c>
      <c r="R637" s="1">
        <v>44988</v>
      </c>
      <c r="S637">
        <v>-0.15590000000000001</v>
      </c>
      <c r="U637" s="1">
        <v>44988</v>
      </c>
      <c r="V637">
        <v>-1.9206000000000001</v>
      </c>
      <c r="BL637" s="1"/>
    </row>
    <row r="638" spans="9:64">
      <c r="I638" s="1"/>
      <c r="O638" s="1">
        <v>44989</v>
      </c>
      <c r="P638">
        <v>-41.451099999999997</v>
      </c>
      <c r="R638" s="1">
        <v>44989</v>
      </c>
      <c r="S638">
        <v>-0.15590000000000001</v>
      </c>
      <c r="U638" s="1">
        <v>44989</v>
      </c>
      <c r="V638">
        <v>-1.9206000000000001</v>
      </c>
      <c r="BL638" s="1"/>
    </row>
    <row r="639" spans="9:64">
      <c r="I639" s="1"/>
      <c r="O639" s="1">
        <v>44990</v>
      </c>
      <c r="P639">
        <v>-41.451099999999997</v>
      </c>
      <c r="R639" s="1">
        <v>44990</v>
      </c>
      <c r="S639">
        <v>-0.15590000000000001</v>
      </c>
      <c r="U639" s="1">
        <v>44990</v>
      </c>
      <c r="V639">
        <v>-1.9206000000000001</v>
      </c>
      <c r="BL639" s="1"/>
    </row>
    <row r="640" spans="9:64">
      <c r="I640" s="1"/>
      <c r="O640" s="1">
        <v>44991</v>
      </c>
      <c r="P640">
        <v>-38.327599999999997</v>
      </c>
      <c r="R640" s="1">
        <v>44991</v>
      </c>
      <c r="S640">
        <v>0.32600000000000001</v>
      </c>
      <c r="U640" s="1">
        <v>44991</v>
      </c>
      <c r="V640">
        <v>-1.6419999999999999</v>
      </c>
      <c r="BL640" s="1"/>
    </row>
    <row r="641" spans="9:64">
      <c r="I641" s="1"/>
      <c r="O641" s="1">
        <v>44992</v>
      </c>
      <c r="P641">
        <v>-34.695500000000003</v>
      </c>
      <c r="R641" s="1">
        <v>44992</v>
      </c>
      <c r="S641">
        <v>-0.2767</v>
      </c>
      <c r="U641" s="1">
        <v>44992</v>
      </c>
      <c r="V641">
        <v>-2.657</v>
      </c>
      <c r="BL641" s="1"/>
    </row>
    <row r="642" spans="9:64">
      <c r="I642" s="1"/>
      <c r="O642" s="1">
        <v>44993</v>
      </c>
      <c r="P642">
        <v>-34.622900000000001</v>
      </c>
      <c r="R642" s="1">
        <v>44993</v>
      </c>
      <c r="S642">
        <v>0.18690000000000001</v>
      </c>
      <c r="U642" s="1">
        <v>44993</v>
      </c>
      <c r="V642">
        <v>-2.2589999999999999</v>
      </c>
      <c r="BL642" s="1"/>
    </row>
    <row r="643" spans="9:64">
      <c r="I643" s="1"/>
      <c r="O643" s="1">
        <v>44994</v>
      </c>
      <c r="P643">
        <v>-33.823799999999999</v>
      </c>
      <c r="R643" s="1">
        <v>44994</v>
      </c>
      <c r="S643">
        <v>0.19550000000000001</v>
      </c>
      <c r="U643" s="1">
        <v>44994</v>
      </c>
      <c r="V643">
        <v>-2.8561000000000001</v>
      </c>
      <c r="BL643" s="1"/>
    </row>
    <row r="644" spans="9:64">
      <c r="I644" s="1"/>
      <c r="O644" s="1">
        <v>44995</v>
      </c>
      <c r="P644">
        <v>-34.7318</v>
      </c>
      <c r="R644" s="1">
        <v>44995</v>
      </c>
      <c r="S644">
        <v>-1.1198999999999999</v>
      </c>
      <c r="U644" s="1">
        <v>44995</v>
      </c>
      <c r="V644">
        <v>-3.3536000000000001</v>
      </c>
      <c r="BL644" s="1"/>
    </row>
    <row r="645" spans="9:64">
      <c r="I645" s="1"/>
      <c r="O645" s="1">
        <v>44996</v>
      </c>
      <c r="P645">
        <v>-34.7318</v>
      </c>
      <c r="R645" s="1">
        <v>44996</v>
      </c>
      <c r="S645">
        <v>-1.1198999999999999</v>
      </c>
      <c r="U645" s="1">
        <v>44996</v>
      </c>
      <c r="V645">
        <v>-3.3536000000000001</v>
      </c>
      <c r="BL645" s="1"/>
    </row>
    <row r="646" spans="9:64">
      <c r="I646" s="1"/>
      <c r="O646" s="1">
        <v>44997</v>
      </c>
      <c r="P646">
        <v>-34.7318</v>
      </c>
      <c r="R646" s="1">
        <v>44997</v>
      </c>
      <c r="S646">
        <v>-1.1198999999999999</v>
      </c>
      <c r="U646" s="1">
        <v>44997</v>
      </c>
      <c r="V646">
        <v>-3.3536000000000001</v>
      </c>
      <c r="BL646" s="1"/>
    </row>
    <row r="647" spans="9:64">
      <c r="I647" s="1"/>
      <c r="O647" s="1">
        <v>44998</v>
      </c>
      <c r="P647">
        <v>-38.000700000000002</v>
      </c>
      <c r="R647" s="1">
        <v>44998</v>
      </c>
      <c r="S647">
        <v>-4.1226000000000003</v>
      </c>
      <c r="U647" s="1">
        <v>44998</v>
      </c>
      <c r="V647">
        <v>-3.6522000000000001</v>
      </c>
      <c r="BL647" s="1"/>
    </row>
    <row r="648" spans="9:64">
      <c r="I648" s="1"/>
      <c r="O648" s="1">
        <v>44999</v>
      </c>
      <c r="P648">
        <v>-36.293599999999998</v>
      </c>
      <c r="R648" s="1">
        <v>44999</v>
      </c>
      <c r="S648">
        <v>-2.3706</v>
      </c>
      <c r="U648" s="1">
        <v>44999</v>
      </c>
      <c r="V648">
        <v>-2.3784000000000001</v>
      </c>
      <c r="BL648" s="1"/>
    </row>
    <row r="649" spans="9:64">
      <c r="I649" s="1"/>
      <c r="O649" s="1">
        <v>45000</v>
      </c>
      <c r="P649">
        <v>-39.707700000000003</v>
      </c>
      <c r="R649" s="1">
        <v>45000</v>
      </c>
      <c r="S649">
        <v>-5.5595999999999997</v>
      </c>
      <c r="U649" s="1">
        <v>45000</v>
      </c>
      <c r="V649">
        <v>-2.3584999999999998</v>
      </c>
      <c r="BL649" s="1"/>
    </row>
    <row r="650" spans="9:64">
      <c r="I650" s="1"/>
      <c r="O650" s="1">
        <v>45001</v>
      </c>
      <c r="P650">
        <v>-37.8917</v>
      </c>
      <c r="R650" s="1">
        <v>45001</v>
      </c>
      <c r="S650">
        <v>-4.0736999999999997</v>
      </c>
      <c r="U650" s="1">
        <v>45001</v>
      </c>
      <c r="V650">
        <v>-0.24879999999999999</v>
      </c>
      <c r="BL650" s="1"/>
    </row>
    <row r="651" spans="9:64">
      <c r="I651" s="1"/>
      <c r="O651" s="1">
        <v>45002</v>
      </c>
      <c r="P651">
        <v>-38.908700000000003</v>
      </c>
      <c r="R651" s="1">
        <v>45002</v>
      </c>
      <c r="S651">
        <v>-5.3484999999999996</v>
      </c>
      <c r="U651" s="1">
        <v>45002</v>
      </c>
      <c r="V651">
        <v>-0.1095</v>
      </c>
      <c r="BL651" s="1"/>
    </row>
    <row r="652" spans="9:64">
      <c r="I652" s="1"/>
      <c r="O652" s="1">
        <v>45003</v>
      </c>
      <c r="P652">
        <v>-38.908700000000003</v>
      </c>
      <c r="R652" s="1">
        <v>45003</v>
      </c>
      <c r="S652">
        <v>-5.3484999999999996</v>
      </c>
      <c r="U652" s="1">
        <v>45003</v>
      </c>
      <c r="V652">
        <v>-0.1095</v>
      </c>
      <c r="BL652" s="1"/>
    </row>
    <row r="653" spans="9:64">
      <c r="I653" s="1"/>
      <c r="O653" s="1">
        <v>45004</v>
      </c>
      <c r="P653">
        <v>-38.908700000000003</v>
      </c>
      <c r="R653" s="1">
        <v>45004</v>
      </c>
      <c r="S653">
        <v>-5.3484999999999996</v>
      </c>
      <c r="U653" s="1">
        <v>45004</v>
      </c>
      <c r="V653">
        <v>-0.1095</v>
      </c>
      <c r="BL653" s="1"/>
    </row>
    <row r="654" spans="9:64">
      <c r="I654" s="1"/>
      <c r="O654" s="1">
        <v>45005</v>
      </c>
      <c r="P654">
        <v>-38.218600000000002</v>
      </c>
      <c r="R654" s="1">
        <v>45005</v>
      </c>
      <c r="S654">
        <v>-4.2897999999999996</v>
      </c>
      <c r="U654" s="1">
        <v>45005</v>
      </c>
      <c r="V654">
        <v>1.3832</v>
      </c>
      <c r="BL654" s="1"/>
    </row>
    <row r="655" spans="9:64">
      <c r="I655" s="1"/>
      <c r="O655" s="1">
        <v>45006</v>
      </c>
      <c r="P655">
        <v>-36.6205</v>
      </c>
      <c r="R655" s="1">
        <v>45006</v>
      </c>
      <c r="S655">
        <v>-2.6109</v>
      </c>
      <c r="U655" s="1">
        <v>45006</v>
      </c>
      <c r="V655">
        <v>0.8458</v>
      </c>
      <c r="BL655" s="1"/>
    </row>
    <row r="656" spans="9:64">
      <c r="I656" s="1"/>
      <c r="O656" s="1">
        <v>45007</v>
      </c>
      <c r="P656">
        <v>-35.894100000000002</v>
      </c>
      <c r="R656" s="1">
        <v>45007</v>
      </c>
      <c r="S656">
        <v>-2.4773000000000001</v>
      </c>
      <c r="U656" s="1">
        <v>45007</v>
      </c>
      <c r="V656">
        <v>-1.5624</v>
      </c>
      <c r="BL656" s="1"/>
    </row>
    <row r="657" spans="9:64">
      <c r="I657" s="1"/>
      <c r="O657" s="1">
        <v>45008</v>
      </c>
      <c r="P657">
        <v>-36.765799999999999</v>
      </c>
      <c r="R657" s="1">
        <v>45008</v>
      </c>
      <c r="S657">
        <v>-2.5144000000000002</v>
      </c>
      <c r="U657" s="1">
        <v>45008</v>
      </c>
      <c r="V657">
        <v>-1.0249999999999999</v>
      </c>
      <c r="BL657" s="1"/>
    </row>
    <row r="658" spans="9:64">
      <c r="I658" s="1"/>
      <c r="O658" s="1">
        <v>45009</v>
      </c>
      <c r="P658">
        <v>-38.291200000000003</v>
      </c>
      <c r="R658" s="1">
        <v>45009</v>
      </c>
      <c r="S658">
        <v>-4.1369999999999996</v>
      </c>
      <c r="U658" s="1">
        <v>45009</v>
      </c>
      <c r="V658">
        <v>0.52739999999999998</v>
      </c>
      <c r="BL658" s="1"/>
    </row>
    <row r="659" spans="9:64">
      <c r="I659" s="1"/>
      <c r="O659" s="1">
        <v>45010</v>
      </c>
      <c r="P659">
        <v>-38.291200000000003</v>
      </c>
      <c r="R659" s="1">
        <v>45010</v>
      </c>
      <c r="S659">
        <v>-4.1369999999999996</v>
      </c>
      <c r="U659" s="1">
        <v>45010</v>
      </c>
      <c r="V659">
        <v>0.52739999999999998</v>
      </c>
      <c r="BL659" s="1"/>
    </row>
    <row r="660" spans="9:64">
      <c r="I660" s="1"/>
      <c r="O660" s="1">
        <v>45011</v>
      </c>
      <c r="P660">
        <v>-38.291200000000003</v>
      </c>
      <c r="R660" s="1">
        <v>45011</v>
      </c>
      <c r="S660">
        <v>-4.1369999999999996</v>
      </c>
      <c r="U660" s="1">
        <v>45011</v>
      </c>
      <c r="V660">
        <v>0.52739999999999998</v>
      </c>
      <c r="BL660" s="1"/>
    </row>
    <row r="661" spans="9:64">
      <c r="I661" s="1"/>
      <c r="O661" s="1">
        <v>45012</v>
      </c>
      <c r="P661">
        <v>-36.511499999999998</v>
      </c>
      <c r="R661" s="1">
        <v>45012</v>
      </c>
      <c r="S661">
        <v>-3.0445000000000002</v>
      </c>
      <c r="U661" s="1">
        <v>45012</v>
      </c>
      <c r="V661">
        <v>0.58709999999999996</v>
      </c>
      <c r="BL661" s="1"/>
    </row>
    <row r="662" spans="9:64">
      <c r="I662" s="1"/>
      <c r="O662" s="1">
        <v>45013</v>
      </c>
      <c r="P662">
        <v>-36.039400000000001</v>
      </c>
      <c r="R662" s="1">
        <v>45013</v>
      </c>
      <c r="S662">
        <v>-2.9525999999999999</v>
      </c>
      <c r="U662" s="1">
        <v>45013</v>
      </c>
      <c r="V662">
        <v>0.28849999999999998</v>
      </c>
      <c r="BL662" s="1"/>
    </row>
    <row r="663" spans="9:64">
      <c r="I663" s="1"/>
      <c r="O663" s="1">
        <v>45014</v>
      </c>
      <c r="P663">
        <v>-36.003</v>
      </c>
      <c r="R663" s="1">
        <v>45014</v>
      </c>
      <c r="S663">
        <v>-1.7557</v>
      </c>
      <c r="U663" s="1">
        <v>45014</v>
      </c>
      <c r="V663">
        <v>1.8409</v>
      </c>
      <c r="BL663" s="1"/>
    </row>
    <row r="664" spans="9:64">
      <c r="I664" s="1"/>
      <c r="O664" s="1">
        <v>45015</v>
      </c>
      <c r="P664">
        <v>-34.622900000000001</v>
      </c>
      <c r="R664" s="1">
        <v>45015</v>
      </c>
      <c r="S664">
        <v>-0.51470000000000005</v>
      </c>
      <c r="U664" s="1">
        <v>45015</v>
      </c>
      <c r="V664">
        <v>2.3584000000000001</v>
      </c>
      <c r="BL664" s="1"/>
    </row>
    <row r="665" spans="9:64">
      <c r="I665" s="1"/>
      <c r="O665" s="1">
        <v>45016</v>
      </c>
      <c r="P665">
        <v>-34.5139</v>
      </c>
      <c r="R665" s="1">
        <v>45016</v>
      </c>
      <c r="S665">
        <v>0.16750000000000001</v>
      </c>
      <c r="U665" s="1">
        <v>45016</v>
      </c>
      <c r="V665">
        <v>4.0401999999999996</v>
      </c>
      <c r="BL665" s="1"/>
    </row>
    <row r="666" spans="9:64">
      <c r="I666" s="1"/>
      <c r="O666" s="1">
        <v>45017</v>
      </c>
      <c r="P666">
        <v>-34.5139</v>
      </c>
      <c r="R666" s="1">
        <v>45017</v>
      </c>
      <c r="S666">
        <v>0.16750000000000001</v>
      </c>
      <c r="U666" s="1">
        <v>45017</v>
      </c>
      <c r="V666">
        <v>4.0401999999999996</v>
      </c>
      <c r="BL666" s="1"/>
    </row>
    <row r="667" spans="9:64">
      <c r="I667" s="1"/>
      <c r="O667" s="1">
        <v>45018</v>
      </c>
      <c r="P667">
        <v>-34.5139</v>
      </c>
      <c r="R667" s="1">
        <v>45018</v>
      </c>
      <c r="S667">
        <v>0.16750000000000001</v>
      </c>
      <c r="U667" s="1">
        <v>45018</v>
      </c>
      <c r="V667">
        <v>4.0401999999999996</v>
      </c>
      <c r="BL667" s="1"/>
    </row>
    <row r="668" spans="9:64">
      <c r="I668" s="1"/>
      <c r="O668" s="1">
        <v>45019</v>
      </c>
      <c r="P668">
        <v>-34.223300000000002</v>
      </c>
      <c r="R668" s="1">
        <v>45019</v>
      </c>
      <c r="S668">
        <v>-0.13969999999999999</v>
      </c>
      <c r="U668" s="1">
        <v>45019</v>
      </c>
      <c r="V668">
        <v>4.1097999999999999</v>
      </c>
      <c r="BL668" s="1"/>
    </row>
    <row r="669" spans="9:64">
      <c r="I669" s="1"/>
      <c r="O669" s="1">
        <v>45020</v>
      </c>
      <c r="P669">
        <v>-32.6252</v>
      </c>
      <c r="R669" s="1">
        <v>45020</v>
      </c>
      <c r="S669">
        <v>4.8999999999999998E-3</v>
      </c>
      <c r="U669" s="1">
        <v>45020</v>
      </c>
      <c r="V669">
        <v>3.9108000000000001</v>
      </c>
      <c r="BL669" s="1"/>
    </row>
    <row r="670" spans="9:64">
      <c r="I670" s="1"/>
      <c r="O670" s="1">
        <v>45021</v>
      </c>
      <c r="P670">
        <v>-34.7318</v>
      </c>
      <c r="R670" s="1">
        <v>45021</v>
      </c>
      <c r="S670">
        <v>-0.52900000000000003</v>
      </c>
      <c r="U670" s="1">
        <v>45021</v>
      </c>
      <c r="V670">
        <v>3.9108000000000001</v>
      </c>
      <c r="BL670" s="1"/>
    </row>
    <row r="671" spans="9:64">
      <c r="I671" s="1"/>
      <c r="O671" s="1">
        <v>45022</v>
      </c>
      <c r="P671">
        <v>-36.547899999999998</v>
      </c>
      <c r="R671" s="1">
        <v>45022</v>
      </c>
      <c r="S671">
        <v>-3.09E-2</v>
      </c>
      <c r="U671" s="1">
        <v>45022</v>
      </c>
      <c r="V671">
        <v>2.8079000000000001</v>
      </c>
      <c r="BL671" s="1"/>
    </row>
    <row r="672" spans="9:64">
      <c r="I672" s="1"/>
      <c r="O672" s="1">
        <v>45023</v>
      </c>
      <c r="P672">
        <v>-36.547899999999998</v>
      </c>
      <c r="R672" s="1">
        <v>45023</v>
      </c>
      <c r="S672">
        <v>-3.09E-2</v>
      </c>
      <c r="U672" s="1">
        <v>45023</v>
      </c>
      <c r="V672">
        <v>2.8079000000000001</v>
      </c>
      <c r="BL672" s="1"/>
    </row>
    <row r="673" spans="9:64">
      <c r="I673" s="1"/>
      <c r="O673" s="1">
        <v>45024</v>
      </c>
      <c r="P673">
        <v>-36.547899999999998</v>
      </c>
      <c r="R673" s="1">
        <v>45024</v>
      </c>
      <c r="S673">
        <v>-3.09E-2</v>
      </c>
      <c r="U673" s="1">
        <v>45024</v>
      </c>
      <c r="V673">
        <v>2.8079000000000001</v>
      </c>
      <c r="BL673" s="1"/>
    </row>
    <row r="674" spans="9:64">
      <c r="I674" s="1"/>
      <c r="O674" s="1">
        <v>45025</v>
      </c>
      <c r="P674">
        <v>-36.547899999999998</v>
      </c>
      <c r="R674" s="1">
        <v>45025</v>
      </c>
      <c r="S674">
        <v>-3.09E-2</v>
      </c>
      <c r="U674" s="1">
        <v>45025</v>
      </c>
      <c r="V674">
        <v>2.8079000000000001</v>
      </c>
      <c r="BL674" s="1"/>
    </row>
    <row r="675" spans="9:64">
      <c r="I675" s="1"/>
      <c r="O675" s="1">
        <v>45026</v>
      </c>
      <c r="P675">
        <v>-36.547899999999998</v>
      </c>
      <c r="R675" s="1">
        <v>45026</v>
      </c>
      <c r="S675">
        <v>-3.09E-2</v>
      </c>
      <c r="U675" s="1">
        <v>45026</v>
      </c>
      <c r="V675">
        <v>2.9281999999999999</v>
      </c>
      <c r="BL675" s="1"/>
    </row>
    <row r="676" spans="9:64">
      <c r="I676" s="1"/>
      <c r="O676" s="1">
        <v>45027</v>
      </c>
      <c r="P676">
        <v>-35.712499999999999</v>
      </c>
      <c r="R676" s="1">
        <v>45027</v>
      </c>
      <c r="S676">
        <v>0.3362</v>
      </c>
      <c r="U676" s="1">
        <v>45027</v>
      </c>
      <c r="V676">
        <v>1.5044999999999999</v>
      </c>
      <c r="BL676" s="1"/>
    </row>
    <row r="677" spans="9:64">
      <c r="I677" s="1"/>
      <c r="O677" s="1">
        <v>45028</v>
      </c>
      <c r="P677">
        <v>-31.063400000000001</v>
      </c>
      <c r="R677" s="1">
        <v>45028</v>
      </c>
      <c r="S677">
        <v>0.64659999999999995</v>
      </c>
      <c r="U677" s="1">
        <v>45028</v>
      </c>
      <c r="V677">
        <v>0.48180000000000001</v>
      </c>
      <c r="BL677" s="1"/>
    </row>
    <row r="678" spans="9:64">
      <c r="I678" s="1"/>
      <c r="O678" s="1">
        <v>45029</v>
      </c>
      <c r="P678">
        <v>-30.482299999999999</v>
      </c>
      <c r="R678" s="1">
        <v>45029</v>
      </c>
      <c r="S678">
        <v>0.81240000000000001</v>
      </c>
      <c r="U678" s="1">
        <v>45029</v>
      </c>
      <c r="V678">
        <v>1.8654999999999999</v>
      </c>
      <c r="BL678" s="1"/>
    </row>
    <row r="679" spans="9:64">
      <c r="I679" s="1"/>
      <c r="O679" s="1">
        <v>45030</v>
      </c>
      <c r="P679">
        <v>-29.538</v>
      </c>
      <c r="R679" s="1">
        <v>45030</v>
      </c>
      <c r="S679">
        <v>1.3125</v>
      </c>
      <c r="U679" s="1">
        <v>45030</v>
      </c>
      <c r="V679">
        <v>1.3441000000000001</v>
      </c>
      <c r="BL679" s="1"/>
    </row>
    <row r="680" spans="9:64">
      <c r="I680" s="1"/>
      <c r="O680" s="1">
        <v>45031</v>
      </c>
      <c r="P680">
        <v>-29.538</v>
      </c>
      <c r="R680" s="1">
        <v>45031</v>
      </c>
      <c r="S680">
        <v>1.3125</v>
      </c>
      <c r="U680" s="1">
        <v>45031</v>
      </c>
      <c r="V680">
        <v>1.3441000000000001</v>
      </c>
      <c r="BL680" s="1"/>
    </row>
    <row r="681" spans="9:64">
      <c r="I681" s="1"/>
      <c r="O681" s="1">
        <v>45032</v>
      </c>
      <c r="P681">
        <v>-29.538</v>
      </c>
      <c r="R681" s="1">
        <v>45032</v>
      </c>
      <c r="S681">
        <v>1.3125</v>
      </c>
      <c r="U681" s="1">
        <v>45032</v>
      </c>
      <c r="V681">
        <v>1.3441000000000001</v>
      </c>
      <c r="BL681" s="1"/>
    </row>
    <row r="682" spans="9:64">
      <c r="I682" s="1"/>
      <c r="O682" s="1">
        <v>45033</v>
      </c>
      <c r="P682">
        <v>-24.8889</v>
      </c>
      <c r="R682" s="1">
        <v>45033</v>
      </c>
      <c r="S682">
        <v>1.1974</v>
      </c>
      <c r="U682" s="1">
        <v>45033</v>
      </c>
      <c r="V682">
        <v>0.82269999999999999</v>
      </c>
      <c r="BL682" s="1"/>
    </row>
    <row r="683" spans="9:64">
      <c r="I683" s="1"/>
      <c r="O683" s="1">
        <v>45034</v>
      </c>
      <c r="P683">
        <v>-24.453099999999999</v>
      </c>
      <c r="R683" s="1">
        <v>45034</v>
      </c>
      <c r="S683">
        <v>1.7943</v>
      </c>
      <c r="U683" s="1">
        <v>45034</v>
      </c>
      <c r="V683">
        <v>0.88290000000000002</v>
      </c>
      <c r="BL683" s="1"/>
    </row>
    <row r="684" spans="9:64">
      <c r="I684" s="1"/>
      <c r="O684" s="1">
        <v>45035</v>
      </c>
      <c r="P684">
        <v>-25.833300000000001</v>
      </c>
      <c r="R684" s="1">
        <v>45035</v>
      </c>
      <c r="S684">
        <v>1.8746</v>
      </c>
      <c r="U684" s="1">
        <v>45035</v>
      </c>
      <c r="V684">
        <v>-3.669</v>
      </c>
      <c r="BL684" s="1"/>
    </row>
    <row r="685" spans="9:64">
      <c r="I685" s="1"/>
      <c r="O685" s="1">
        <v>45036</v>
      </c>
      <c r="P685">
        <v>-24.670999999999999</v>
      </c>
      <c r="R685" s="1">
        <v>45036</v>
      </c>
      <c r="S685">
        <v>1.2385999999999999</v>
      </c>
      <c r="U685" s="1">
        <v>45036</v>
      </c>
      <c r="V685">
        <v>-6.5965999999999996</v>
      </c>
      <c r="BL685" s="1"/>
    </row>
    <row r="686" spans="9:64">
      <c r="I686" s="1"/>
      <c r="O686" s="1">
        <v>45037</v>
      </c>
      <c r="P686">
        <v>-27.140799999999999</v>
      </c>
      <c r="R686" s="1">
        <v>45037</v>
      </c>
      <c r="S686">
        <v>1.7878000000000001</v>
      </c>
      <c r="U686" s="1">
        <v>45037</v>
      </c>
      <c r="V686">
        <v>-5.6942000000000004</v>
      </c>
      <c r="BL686" s="1"/>
    </row>
    <row r="687" spans="9:64">
      <c r="I687" s="1"/>
      <c r="O687" s="1">
        <v>45038</v>
      </c>
      <c r="P687">
        <v>-27.140799999999999</v>
      </c>
      <c r="R687" s="1">
        <v>45038</v>
      </c>
      <c r="S687">
        <v>1.7878000000000001</v>
      </c>
      <c r="U687" s="1">
        <v>45038</v>
      </c>
      <c r="V687">
        <v>-5.6942000000000004</v>
      </c>
      <c r="BL687" s="1"/>
    </row>
    <row r="688" spans="9:64">
      <c r="I688" s="1"/>
      <c r="O688" s="1">
        <v>45039</v>
      </c>
      <c r="P688">
        <v>-27.140799999999999</v>
      </c>
      <c r="R688" s="1">
        <v>45039</v>
      </c>
      <c r="S688">
        <v>1.7878000000000001</v>
      </c>
      <c r="U688" s="1">
        <v>45039</v>
      </c>
      <c r="V688">
        <v>-5.6942000000000004</v>
      </c>
      <c r="BL688" s="1"/>
    </row>
    <row r="689" spans="9:64">
      <c r="I689" s="1"/>
      <c r="O689" s="1">
        <v>45040</v>
      </c>
      <c r="P689">
        <v>-26.414400000000001</v>
      </c>
      <c r="R689" s="1">
        <v>45040</v>
      </c>
      <c r="S689">
        <v>1.6742999999999999</v>
      </c>
      <c r="U689" s="1">
        <v>45040</v>
      </c>
      <c r="V689">
        <v>-4.9724000000000004</v>
      </c>
      <c r="BL689" s="1"/>
    </row>
    <row r="690" spans="9:64">
      <c r="I690" s="1"/>
      <c r="O690" s="1">
        <v>45041</v>
      </c>
      <c r="P690">
        <v>-25.833300000000001</v>
      </c>
      <c r="R690" s="1">
        <v>45041</v>
      </c>
      <c r="S690">
        <v>1.7267999999999999</v>
      </c>
      <c r="U690" s="1">
        <v>45041</v>
      </c>
      <c r="V690">
        <v>-5.5739000000000001</v>
      </c>
      <c r="BL690" s="1"/>
    </row>
    <row r="691" spans="9:64">
      <c r="I691" s="1"/>
      <c r="O691" s="1">
        <v>45042</v>
      </c>
      <c r="P691">
        <v>-25.252099999999999</v>
      </c>
      <c r="R691" s="1">
        <v>45042</v>
      </c>
      <c r="S691">
        <v>1.2371000000000001</v>
      </c>
      <c r="U691" s="1">
        <v>45042</v>
      </c>
      <c r="V691">
        <v>-6.6768000000000001</v>
      </c>
      <c r="BL691" s="1"/>
    </row>
    <row r="692" spans="9:64">
      <c r="I692" s="1"/>
      <c r="O692" s="1">
        <v>45043</v>
      </c>
      <c r="P692">
        <v>-25.3248</v>
      </c>
      <c r="R692" s="1">
        <v>45043</v>
      </c>
      <c r="S692">
        <v>1.2673000000000001</v>
      </c>
      <c r="U692" s="1">
        <v>45043</v>
      </c>
      <c r="V692">
        <v>-6.6367000000000003</v>
      </c>
      <c r="BL692" s="1"/>
    </row>
    <row r="693" spans="9:64">
      <c r="I693" s="1"/>
      <c r="O693" s="1">
        <v>45044</v>
      </c>
      <c r="P693">
        <v>-24.017199999999999</v>
      </c>
      <c r="R693" s="1">
        <v>45044</v>
      </c>
      <c r="S693">
        <v>2.0488</v>
      </c>
      <c r="U693" s="1">
        <v>45044</v>
      </c>
      <c r="V693">
        <v>-5.2530999999999999</v>
      </c>
      <c r="BL693" s="1"/>
    </row>
    <row r="694" spans="9:64">
      <c r="I694" s="1"/>
      <c r="O694" s="1">
        <v>45045</v>
      </c>
      <c r="P694">
        <v>-24.017199999999999</v>
      </c>
      <c r="R694" s="1">
        <v>45045</v>
      </c>
      <c r="S694">
        <v>2.0488</v>
      </c>
      <c r="U694" s="1">
        <v>45045</v>
      </c>
      <c r="V694">
        <v>-5.2530999999999999</v>
      </c>
      <c r="BL694" s="1"/>
    </row>
    <row r="695" spans="9:64">
      <c r="I695" s="1"/>
      <c r="O695" s="1">
        <v>45046</v>
      </c>
      <c r="P695">
        <v>-24.017199999999999</v>
      </c>
      <c r="R695" s="1">
        <v>45046</v>
      </c>
      <c r="S695">
        <v>2.0488</v>
      </c>
      <c r="U695" s="1">
        <v>45046</v>
      </c>
      <c r="V695">
        <v>-5.2530999999999999</v>
      </c>
      <c r="BL695" s="1"/>
    </row>
    <row r="696" spans="9:64">
      <c r="I696" s="1"/>
      <c r="O696" s="1">
        <v>45047</v>
      </c>
      <c r="P696">
        <v>-24.017199999999999</v>
      </c>
      <c r="R696" s="1">
        <v>45047</v>
      </c>
      <c r="S696">
        <v>2.0488</v>
      </c>
      <c r="U696" s="1">
        <v>45047</v>
      </c>
      <c r="V696">
        <v>-5.0726000000000004</v>
      </c>
      <c r="BL696" s="1"/>
    </row>
    <row r="697" spans="9:64">
      <c r="I697" s="1"/>
      <c r="O697" s="1">
        <v>45048</v>
      </c>
      <c r="P697">
        <v>-26.922899999999998</v>
      </c>
      <c r="R697" s="1">
        <v>45048</v>
      </c>
      <c r="S697">
        <v>0.79620000000000002</v>
      </c>
      <c r="U697" s="1">
        <v>45048</v>
      </c>
      <c r="V697">
        <v>-7.0377000000000001</v>
      </c>
      <c r="BL697" s="1"/>
    </row>
    <row r="698" spans="9:64">
      <c r="I698" s="1"/>
      <c r="O698" s="1">
        <v>45049</v>
      </c>
      <c r="P698">
        <v>-26.7776</v>
      </c>
      <c r="R698" s="1">
        <v>45049</v>
      </c>
      <c r="S698">
        <v>1.361</v>
      </c>
      <c r="U698" s="1">
        <v>45049</v>
      </c>
      <c r="V698">
        <v>-7.8398000000000003</v>
      </c>
      <c r="BL698" s="1"/>
    </row>
    <row r="699" spans="9:64">
      <c r="I699" s="1"/>
      <c r="O699" s="1">
        <v>45050</v>
      </c>
      <c r="P699">
        <v>-26.922899999999998</v>
      </c>
      <c r="R699" s="1">
        <v>45050</v>
      </c>
      <c r="S699">
        <v>0.84299999999999997</v>
      </c>
      <c r="U699" s="1">
        <v>45050</v>
      </c>
      <c r="V699">
        <v>-8.3612000000000002</v>
      </c>
      <c r="BL699" s="1"/>
    </row>
    <row r="700" spans="9:64">
      <c r="I700" s="1"/>
      <c r="O700" s="1">
        <v>45051</v>
      </c>
      <c r="P700">
        <v>-25.1069</v>
      </c>
      <c r="R700" s="1">
        <v>45051</v>
      </c>
      <c r="S700">
        <v>2.2965</v>
      </c>
      <c r="U700" s="1">
        <v>45051</v>
      </c>
      <c r="V700">
        <v>-7.2583000000000002</v>
      </c>
      <c r="BL700" s="1"/>
    </row>
    <row r="701" spans="9:64">
      <c r="I701" s="1"/>
      <c r="O701" s="1">
        <v>45052</v>
      </c>
      <c r="P701">
        <v>-25.1069</v>
      </c>
      <c r="R701" s="1">
        <v>45052</v>
      </c>
      <c r="S701">
        <v>2.2965</v>
      </c>
      <c r="U701" s="1">
        <v>45052</v>
      </c>
      <c r="V701">
        <v>-7.2583000000000002</v>
      </c>
      <c r="BL701" s="1"/>
    </row>
    <row r="702" spans="9:64">
      <c r="I702" s="1"/>
      <c r="O702" s="1">
        <v>45053</v>
      </c>
      <c r="P702">
        <v>-25.1069</v>
      </c>
      <c r="R702" s="1">
        <v>45053</v>
      </c>
      <c r="S702">
        <v>2.2965</v>
      </c>
      <c r="U702" s="1">
        <v>45053</v>
      </c>
      <c r="V702">
        <v>-7.2583000000000002</v>
      </c>
      <c r="BL702" s="1"/>
    </row>
    <row r="703" spans="9:64">
      <c r="I703" s="1"/>
      <c r="O703" s="1">
        <v>45054</v>
      </c>
      <c r="P703">
        <v>-25.1069</v>
      </c>
      <c r="R703" s="1">
        <v>45054</v>
      </c>
      <c r="S703">
        <v>2.2440000000000002</v>
      </c>
      <c r="U703" s="1">
        <v>45054</v>
      </c>
      <c r="V703">
        <v>-7.0778999999999996</v>
      </c>
      <c r="BL703" s="1"/>
    </row>
    <row r="704" spans="9:64">
      <c r="I704" s="1"/>
      <c r="O704" s="1">
        <v>45055</v>
      </c>
      <c r="P704">
        <v>-25.034199999999998</v>
      </c>
      <c r="R704" s="1">
        <v>45055</v>
      </c>
      <c r="S704">
        <v>2.2610000000000001</v>
      </c>
      <c r="U704" s="1">
        <v>45055</v>
      </c>
      <c r="V704">
        <v>-6.8171999999999997</v>
      </c>
      <c r="BL704" s="1"/>
    </row>
    <row r="705" spans="9:64">
      <c r="I705" s="1"/>
      <c r="O705" s="1">
        <v>45056</v>
      </c>
      <c r="P705">
        <v>-24.816299999999998</v>
      </c>
      <c r="R705" s="1">
        <v>45056</v>
      </c>
      <c r="S705">
        <v>1.8812</v>
      </c>
      <c r="U705" s="1">
        <v>45056</v>
      </c>
      <c r="V705">
        <v>-6.3358999999999996</v>
      </c>
      <c r="BL705" s="1"/>
    </row>
    <row r="706" spans="9:64">
      <c r="I706" s="1"/>
      <c r="O706" s="1">
        <v>45057</v>
      </c>
      <c r="P706">
        <v>-24.453099999999999</v>
      </c>
      <c r="R706" s="1">
        <v>45057</v>
      </c>
      <c r="S706">
        <v>1.4882</v>
      </c>
      <c r="U706" s="1">
        <v>45057</v>
      </c>
      <c r="V706">
        <v>-7.0176999999999996</v>
      </c>
      <c r="BL706" s="1"/>
    </row>
    <row r="707" spans="9:64">
      <c r="I707" s="1"/>
      <c r="O707" s="1">
        <v>45058</v>
      </c>
      <c r="P707">
        <v>-24.235199999999999</v>
      </c>
      <c r="R707" s="1">
        <v>45058</v>
      </c>
      <c r="S707">
        <v>1.9939</v>
      </c>
      <c r="U707" s="1">
        <v>45058</v>
      </c>
      <c r="V707">
        <v>-6.3358999999999996</v>
      </c>
      <c r="BL707" s="1"/>
    </row>
    <row r="708" spans="9:64">
      <c r="I708" s="1"/>
      <c r="O708" s="1">
        <v>45059</v>
      </c>
      <c r="P708">
        <v>-24.235199999999999</v>
      </c>
      <c r="R708" s="1">
        <v>45059</v>
      </c>
      <c r="S708">
        <v>1.9939</v>
      </c>
      <c r="U708" s="1">
        <v>45059</v>
      </c>
      <c r="V708">
        <v>-6.3358999999999996</v>
      </c>
      <c r="BL708" s="1"/>
    </row>
    <row r="709" spans="9:64">
      <c r="I709" s="1"/>
      <c r="O709" s="1">
        <v>45060</v>
      </c>
      <c r="P709">
        <v>-24.235199999999999</v>
      </c>
      <c r="R709" s="1">
        <v>45060</v>
      </c>
      <c r="S709">
        <v>1.9939</v>
      </c>
      <c r="U709" s="1">
        <v>45060</v>
      </c>
      <c r="V709">
        <v>-6.3358999999999996</v>
      </c>
      <c r="BL709" s="1"/>
    </row>
    <row r="710" spans="9:64">
      <c r="I710" s="1"/>
      <c r="O710" s="1">
        <v>45061</v>
      </c>
      <c r="P710">
        <v>-23.363499999999998</v>
      </c>
      <c r="R710" s="1">
        <v>45061</v>
      </c>
      <c r="S710">
        <v>2.0158999999999998</v>
      </c>
      <c r="U710" s="1">
        <v>45061</v>
      </c>
      <c r="V710">
        <v>-5.5538999999999996</v>
      </c>
      <c r="BL710" s="1"/>
    </row>
    <row r="711" spans="9:64">
      <c r="I711" s="1"/>
      <c r="O711" s="1">
        <v>45062</v>
      </c>
      <c r="P711">
        <v>-25.833300000000001</v>
      </c>
      <c r="R711" s="1">
        <v>45062</v>
      </c>
      <c r="S711">
        <v>1.8920999999999999</v>
      </c>
      <c r="U711" s="1">
        <v>45062</v>
      </c>
      <c r="V711">
        <v>-5.9147999999999996</v>
      </c>
      <c r="BL711" s="1"/>
    </row>
    <row r="712" spans="9:64">
      <c r="I712" s="1"/>
      <c r="O712" s="1">
        <v>45063</v>
      </c>
      <c r="P712">
        <v>-26.704999999999998</v>
      </c>
      <c r="R712" s="1">
        <v>45063</v>
      </c>
      <c r="S712">
        <v>2.2342</v>
      </c>
      <c r="U712" s="1">
        <v>45063</v>
      </c>
      <c r="V712">
        <v>-4.4911000000000003</v>
      </c>
      <c r="BL712" s="1"/>
    </row>
    <row r="713" spans="9:64">
      <c r="I713" s="1"/>
      <c r="O713" s="1">
        <v>45064</v>
      </c>
      <c r="P713">
        <v>-25.833300000000001</v>
      </c>
      <c r="R713" s="1">
        <v>45064</v>
      </c>
      <c r="S713">
        <v>3.5933000000000002</v>
      </c>
      <c r="U713" s="1">
        <v>45064</v>
      </c>
      <c r="V713">
        <v>-3.3481000000000001</v>
      </c>
      <c r="BL713" s="1"/>
    </row>
    <row r="714" spans="9:64">
      <c r="I714" s="1"/>
      <c r="O714" s="1">
        <v>45065</v>
      </c>
      <c r="P714">
        <v>-25.1069</v>
      </c>
      <c r="R714" s="1">
        <v>45065</v>
      </c>
      <c r="S714">
        <v>4.3112000000000004</v>
      </c>
      <c r="U714" s="1">
        <v>45065</v>
      </c>
      <c r="V714">
        <v>-1.4833000000000001</v>
      </c>
      <c r="BL714" s="1"/>
    </row>
    <row r="715" spans="9:64">
      <c r="I715" s="1"/>
      <c r="O715" s="1">
        <v>45066</v>
      </c>
      <c r="P715">
        <v>-25.1069</v>
      </c>
      <c r="R715" s="1">
        <v>45066</v>
      </c>
      <c r="S715">
        <v>4.3112000000000004</v>
      </c>
      <c r="U715" s="1">
        <v>45066</v>
      </c>
      <c r="V715">
        <v>-1.4833000000000001</v>
      </c>
      <c r="BL715" s="1"/>
    </row>
    <row r="716" spans="9:64">
      <c r="I716" s="1"/>
      <c r="O716" s="1">
        <v>45067</v>
      </c>
      <c r="P716">
        <v>-25.1069</v>
      </c>
      <c r="R716" s="1">
        <v>45067</v>
      </c>
      <c r="S716">
        <v>4.3112000000000004</v>
      </c>
      <c r="U716" s="1">
        <v>45067</v>
      </c>
      <c r="V716">
        <v>-1.4833000000000001</v>
      </c>
      <c r="BL716" s="1"/>
    </row>
    <row r="717" spans="9:64">
      <c r="I717" s="1"/>
      <c r="O717" s="1">
        <v>45068</v>
      </c>
      <c r="P717">
        <v>-25.905899999999999</v>
      </c>
      <c r="R717" s="1">
        <v>45068</v>
      </c>
      <c r="S717">
        <v>3.9819</v>
      </c>
      <c r="U717" s="1">
        <v>45068</v>
      </c>
      <c r="V717">
        <v>-2.1049000000000002</v>
      </c>
      <c r="BL717" s="1"/>
    </row>
    <row r="718" spans="9:64">
      <c r="I718" s="1"/>
      <c r="O718" s="1">
        <v>45069</v>
      </c>
      <c r="P718">
        <v>-26.269100000000002</v>
      </c>
      <c r="R718" s="1">
        <v>45069</v>
      </c>
      <c r="S718">
        <v>3.5259999999999998</v>
      </c>
      <c r="U718" s="1">
        <v>45069</v>
      </c>
      <c r="V718">
        <v>-1.9244000000000001</v>
      </c>
      <c r="BL718" s="1"/>
    </row>
    <row r="719" spans="9:64">
      <c r="I719" s="1"/>
      <c r="O719" s="1">
        <v>45070</v>
      </c>
      <c r="P719">
        <v>-28.847899999999999</v>
      </c>
      <c r="R719" s="1">
        <v>45070</v>
      </c>
      <c r="S719">
        <v>1.5345</v>
      </c>
      <c r="U719" s="1">
        <v>45070</v>
      </c>
      <c r="V719">
        <v>-2.927</v>
      </c>
      <c r="BL719" s="1"/>
    </row>
    <row r="720" spans="9:64">
      <c r="I720" s="1"/>
      <c r="O720" s="1">
        <v>45071</v>
      </c>
      <c r="P720">
        <v>-29.32</v>
      </c>
      <c r="R720" s="1">
        <v>45071</v>
      </c>
      <c r="S720">
        <v>1.2246999999999999</v>
      </c>
      <c r="U720" s="1">
        <v>45071</v>
      </c>
      <c r="V720">
        <v>-1.6838</v>
      </c>
      <c r="BL720" s="1"/>
    </row>
    <row r="721" spans="9:64">
      <c r="I721" s="1"/>
      <c r="O721" s="1">
        <v>45072</v>
      </c>
      <c r="P721">
        <v>-28.557300000000001</v>
      </c>
      <c r="R721" s="1">
        <v>45072</v>
      </c>
      <c r="S721">
        <v>2.4434999999999998</v>
      </c>
      <c r="U721" s="1">
        <v>45072</v>
      </c>
      <c r="V721">
        <v>-1.95E-2</v>
      </c>
      <c r="BL721" s="1"/>
    </row>
    <row r="722" spans="9:64">
      <c r="I722" s="1"/>
      <c r="O722" s="1">
        <v>45073</v>
      </c>
      <c r="P722">
        <v>-28.557300000000001</v>
      </c>
      <c r="R722" s="1">
        <v>45073</v>
      </c>
      <c r="S722">
        <v>2.4434999999999998</v>
      </c>
      <c r="U722" s="1">
        <v>45073</v>
      </c>
      <c r="V722">
        <v>-1.95E-2</v>
      </c>
      <c r="BL722" s="1"/>
    </row>
    <row r="723" spans="9:64">
      <c r="I723" s="1"/>
      <c r="O723" s="1">
        <v>45074</v>
      </c>
      <c r="P723">
        <v>-28.557300000000001</v>
      </c>
      <c r="R723" s="1">
        <v>45074</v>
      </c>
      <c r="S723">
        <v>2.4434999999999998</v>
      </c>
      <c r="U723" s="1">
        <v>45074</v>
      </c>
      <c r="V723">
        <v>-1.95E-2</v>
      </c>
      <c r="BL723" s="1"/>
    </row>
    <row r="724" spans="9:64">
      <c r="I724" s="1"/>
      <c r="O724" s="1">
        <v>45075</v>
      </c>
      <c r="P724">
        <v>-29.174800000000001</v>
      </c>
      <c r="R724" s="1">
        <v>45075</v>
      </c>
      <c r="S724">
        <v>2.2433000000000001</v>
      </c>
      <c r="U724" s="1">
        <v>45075</v>
      </c>
      <c r="V724">
        <v>-1.95E-2</v>
      </c>
      <c r="BL724" s="1"/>
    </row>
    <row r="725" spans="9:64">
      <c r="I725" s="1"/>
      <c r="O725" s="1">
        <v>45076</v>
      </c>
      <c r="P725">
        <v>-29.7196</v>
      </c>
      <c r="R725" s="1">
        <v>45076</v>
      </c>
      <c r="S725">
        <v>1.9624999999999999</v>
      </c>
      <c r="U725" s="1">
        <v>45076</v>
      </c>
      <c r="V725">
        <v>0.60219999999999996</v>
      </c>
      <c r="BL725" s="1"/>
    </row>
    <row r="726" spans="9:64">
      <c r="I726" s="1"/>
      <c r="O726" s="1">
        <v>45077</v>
      </c>
      <c r="P726">
        <v>-31.753499999999999</v>
      </c>
      <c r="R726" s="1">
        <v>45077</v>
      </c>
      <c r="S726">
        <v>0.39290000000000003</v>
      </c>
      <c r="U726" s="1">
        <v>45077</v>
      </c>
      <c r="V726">
        <v>-0.40039999999999998</v>
      </c>
      <c r="BL726" s="1"/>
    </row>
    <row r="727" spans="9:64">
      <c r="I727" s="1"/>
      <c r="O727" s="1">
        <v>45078</v>
      </c>
      <c r="P727">
        <v>-31.499300000000002</v>
      </c>
      <c r="R727" s="1">
        <v>45078</v>
      </c>
      <c r="S727">
        <v>1.6084000000000001</v>
      </c>
      <c r="U727" s="1">
        <v>45078</v>
      </c>
      <c r="V727">
        <v>-0.2601</v>
      </c>
      <c r="BL727" s="1"/>
    </row>
    <row r="728" spans="9:64">
      <c r="I728" s="1"/>
      <c r="O728" s="1">
        <v>45079</v>
      </c>
      <c r="P728">
        <v>-28.811599999999999</v>
      </c>
      <c r="R728" s="1">
        <v>45079</v>
      </c>
      <c r="S728">
        <v>2.8746</v>
      </c>
      <c r="U728" s="1">
        <v>45079</v>
      </c>
      <c r="V728">
        <v>0.3014</v>
      </c>
      <c r="BL728" s="1"/>
    </row>
    <row r="729" spans="9:64">
      <c r="I729" s="1"/>
      <c r="O729" s="1">
        <v>45080</v>
      </c>
      <c r="P729">
        <v>-28.811599999999999</v>
      </c>
      <c r="R729" s="1">
        <v>45080</v>
      </c>
      <c r="S729">
        <v>2.8746</v>
      </c>
      <c r="U729" s="1">
        <v>45080</v>
      </c>
      <c r="V729">
        <v>0.3014</v>
      </c>
      <c r="BL729" s="1"/>
    </row>
    <row r="730" spans="9:64">
      <c r="I730" s="1"/>
      <c r="O730" s="1">
        <v>45081</v>
      </c>
      <c r="P730">
        <v>-28.811599999999999</v>
      </c>
      <c r="R730" s="1">
        <v>45081</v>
      </c>
      <c r="S730">
        <v>2.8746</v>
      </c>
      <c r="U730" s="1">
        <v>45081</v>
      </c>
      <c r="V730">
        <v>0.3014</v>
      </c>
      <c r="BL730" s="1"/>
    </row>
    <row r="731" spans="9:64">
      <c r="I731" s="1"/>
      <c r="O731" s="1">
        <v>45082</v>
      </c>
      <c r="P731">
        <v>-28.434899999999999</v>
      </c>
      <c r="R731" s="1">
        <v>45082</v>
      </c>
      <c r="S731">
        <v>2.3149000000000002</v>
      </c>
      <c r="U731" s="1">
        <v>45082</v>
      </c>
      <c r="V731">
        <v>0.68240000000000001</v>
      </c>
      <c r="BL731" s="1"/>
    </row>
    <row r="732" spans="9:64">
      <c r="I732" s="1"/>
      <c r="O732" s="1">
        <v>45083</v>
      </c>
      <c r="P732">
        <v>-29.715499999999999</v>
      </c>
      <c r="R732" s="1">
        <v>45083</v>
      </c>
      <c r="S732">
        <v>2.4977999999999998</v>
      </c>
      <c r="U732" s="1">
        <v>45083</v>
      </c>
      <c r="V732">
        <v>-0.1197</v>
      </c>
      <c r="BL732" s="1"/>
    </row>
    <row r="733" spans="9:64">
      <c r="I733" s="1"/>
      <c r="O733" s="1">
        <v>45084</v>
      </c>
      <c r="P733">
        <v>-29.602499999999999</v>
      </c>
      <c r="R733" s="1">
        <v>45084</v>
      </c>
      <c r="S733">
        <v>2.2934999999999999</v>
      </c>
      <c r="U733" s="1">
        <v>45084</v>
      </c>
      <c r="V733">
        <v>-0.1799</v>
      </c>
      <c r="BL733" s="1"/>
    </row>
    <row r="734" spans="9:64">
      <c r="I734" s="1"/>
      <c r="O734" s="1">
        <v>45085</v>
      </c>
      <c r="P734">
        <v>-29.301200000000001</v>
      </c>
      <c r="R734" s="1">
        <v>45085</v>
      </c>
      <c r="S734">
        <v>2.4819</v>
      </c>
      <c r="U734" s="1">
        <v>45085</v>
      </c>
      <c r="V734">
        <v>-0.38040000000000002</v>
      </c>
      <c r="BL734" s="1"/>
    </row>
    <row r="735" spans="9:64">
      <c r="I735" s="1"/>
      <c r="O735" s="1">
        <v>45086</v>
      </c>
      <c r="P735">
        <v>-29.263500000000001</v>
      </c>
      <c r="R735" s="1">
        <v>45086</v>
      </c>
      <c r="S735">
        <v>2.2248000000000001</v>
      </c>
      <c r="U735" s="1">
        <v>45086</v>
      </c>
      <c r="V735">
        <v>-0.42049999999999998</v>
      </c>
      <c r="BL735" s="1"/>
    </row>
    <row r="736" spans="9:64">
      <c r="I736" s="1"/>
      <c r="O736" s="1">
        <v>45087</v>
      </c>
      <c r="P736">
        <v>-29.263500000000001</v>
      </c>
      <c r="R736" s="1">
        <v>45087</v>
      </c>
      <c r="S736">
        <v>2.2248000000000001</v>
      </c>
      <c r="U736" s="1">
        <v>45087</v>
      </c>
      <c r="V736">
        <v>-0.42049999999999998</v>
      </c>
      <c r="BL736" s="1"/>
    </row>
    <row r="737" spans="9:64">
      <c r="I737" s="1"/>
      <c r="O737" s="1">
        <v>45088</v>
      </c>
      <c r="P737">
        <v>-29.263500000000001</v>
      </c>
      <c r="R737" s="1">
        <v>45088</v>
      </c>
      <c r="S737">
        <v>2.2248000000000001</v>
      </c>
      <c r="U737" s="1">
        <v>45088</v>
      </c>
      <c r="V737">
        <v>-0.42049999999999998</v>
      </c>
      <c r="BL737" s="1"/>
    </row>
    <row r="738" spans="9:64">
      <c r="I738" s="1"/>
      <c r="O738" s="1">
        <v>45089</v>
      </c>
      <c r="P738">
        <v>-28.510200000000001</v>
      </c>
      <c r="R738" s="1">
        <v>45089</v>
      </c>
      <c r="S738">
        <v>3.1736</v>
      </c>
      <c r="U738" s="1">
        <v>45089</v>
      </c>
      <c r="V738">
        <v>1.2238</v>
      </c>
      <c r="BL738" s="1"/>
    </row>
    <row r="739" spans="9:64">
      <c r="I739" s="1"/>
      <c r="O739" s="1">
        <v>45090</v>
      </c>
      <c r="P739">
        <v>-27.417899999999999</v>
      </c>
      <c r="R739" s="1">
        <v>45090</v>
      </c>
      <c r="S739">
        <v>4.0247000000000002</v>
      </c>
      <c r="U739" s="1">
        <v>45090</v>
      </c>
      <c r="V739">
        <v>1.8654999999999999</v>
      </c>
      <c r="BL739" s="1"/>
    </row>
    <row r="740" spans="9:64">
      <c r="I740" s="1"/>
      <c r="O740" s="1">
        <v>45091</v>
      </c>
      <c r="P740">
        <v>-26.062000000000001</v>
      </c>
      <c r="R740" s="1">
        <v>45091</v>
      </c>
      <c r="S740">
        <v>4.5381999999999998</v>
      </c>
      <c r="U740" s="1">
        <v>45091</v>
      </c>
      <c r="V740">
        <v>2.1863000000000001</v>
      </c>
      <c r="BL740" s="1"/>
    </row>
    <row r="741" spans="9:64">
      <c r="I741" s="1"/>
      <c r="O741" s="1">
        <v>45092</v>
      </c>
      <c r="P741">
        <v>-26.7776</v>
      </c>
      <c r="R741" s="1">
        <v>45092</v>
      </c>
      <c r="S741">
        <v>4.4057000000000004</v>
      </c>
      <c r="U741" s="1">
        <v>45092</v>
      </c>
      <c r="V741">
        <v>4.1314000000000002</v>
      </c>
      <c r="BL741" s="1"/>
    </row>
    <row r="742" spans="9:64">
      <c r="I742" s="1"/>
      <c r="O742" s="1">
        <v>45093</v>
      </c>
      <c r="P742">
        <v>-25.8736</v>
      </c>
      <c r="R742" s="1">
        <v>45093</v>
      </c>
      <c r="S742">
        <v>4.8384</v>
      </c>
      <c r="U742" s="1">
        <v>45093</v>
      </c>
      <c r="V742">
        <v>4.4120999999999997</v>
      </c>
      <c r="BL742" s="1"/>
    </row>
    <row r="743" spans="9:64">
      <c r="I743" s="1"/>
      <c r="O743" s="1">
        <v>45094</v>
      </c>
      <c r="P743">
        <v>-25.8736</v>
      </c>
      <c r="R743" s="1">
        <v>45094</v>
      </c>
      <c r="S743">
        <v>4.8384</v>
      </c>
      <c r="U743" s="1">
        <v>45094</v>
      </c>
      <c r="V743">
        <v>4.4120999999999997</v>
      </c>
      <c r="BL743" s="1"/>
    </row>
    <row r="744" spans="9:64">
      <c r="I744" s="1"/>
      <c r="O744" s="1">
        <v>45095</v>
      </c>
      <c r="P744">
        <v>-25.8736</v>
      </c>
      <c r="R744" s="1">
        <v>45095</v>
      </c>
      <c r="S744">
        <v>4.8384</v>
      </c>
      <c r="U744" s="1">
        <v>45095</v>
      </c>
      <c r="V744">
        <v>4.4120999999999997</v>
      </c>
      <c r="BL744" s="1"/>
    </row>
    <row r="745" spans="9:64">
      <c r="I745" s="1"/>
      <c r="O745" s="1">
        <v>45096</v>
      </c>
      <c r="P745">
        <v>-26.551600000000001</v>
      </c>
      <c r="R745" s="1">
        <v>45096</v>
      </c>
      <c r="S745">
        <v>3.8357999999999999</v>
      </c>
      <c r="U745" s="1">
        <v>45096</v>
      </c>
      <c r="V745">
        <v>4.4120999999999997</v>
      </c>
      <c r="BL745" s="1"/>
    </row>
    <row r="746" spans="9:64">
      <c r="I746" s="1"/>
      <c r="O746" s="1">
        <v>45097</v>
      </c>
      <c r="P746">
        <v>-28.0959</v>
      </c>
      <c r="R746" s="1">
        <v>45097</v>
      </c>
      <c r="S746">
        <v>3.2597999999999998</v>
      </c>
      <c r="U746" s="1">
        <v>45097</v>
      </c>
      <c r="V746">
        <v>3.3694000000000002</v>
      </c>
      <c r="BL746" s="1"/>
    </row>
    <row r="747" spans="9:64">
      <c r="I747" s="1"/>
      <c r="O747" s="1">
        <v>45098</v>
      </c>
      <c r="P747">
        <v>-28.246600000000001</v>
      </c>
      <c r="R747" s="1">
        <v>45098</v>
      </c>
      <c r="S747">
        <v>2.6945000000000001</v>
      </c>
      <c r="U747" s="1">
        <v>45098</v>
      </c>
      <c r="V747">
        <v>1.9657</v>
      </c>
      <c r="BL747" s="1"/>
    </row>
    <row r="748" spans="9:64">
      <c r="I748" s="1"/>
      <c r="O748" s="1">
        <v>45099</v>
      </c>
      <c r="P748">
        <v>-29.150600000000001</v>
      </c>
      <c r="R748" s="1">
        <v>45099</v>
      </c>
      <c r="S748">
        <v>2.4704000000000002</v>
      </c>
      <c r="U748" s="1">
        <v>45099</v>
      </c>
      <c r="V748">
        <v>2.5070999999999999</v>
      </c>
      <c r="BL748" s="1"/>
    </row>
    <row r="749" spans="9:64">
      <c r="I749" s="1"/>
      <c r="O749" s="1">
        <v>45100</v>
      </c>
      <c r="P749">
        <v>-28.9999</v>
      </c>
      <c r="R749" s="1">
        <v>45100</v>
      </c>
      <c r="S749">
        <v>1.4562999999999999</v>
      </c>
      <c r="U749" s="1">
        <v>45100</v>
      </c>
      <c r="V749">
        <v>0.92300000000000004</v>
      </c>
      <c r="BL749" s="1"/>
    </row>
    <row r="750" spans="9:64">
      <c r="I750" s="1"/>
      <c r="O750" s="1">
        <v>45101</v>
      </c>
      <c r="P750">
        <v>-28.9999</v>
      </c>
      <c r="R750" s="1">
        <v>45101</v>
      </c>
      <c r="S750">
        <v>1.4562999999999999</v>
      </c>
      <c r="U750" s="1">
        <v>45101</v>
      </c>
      <c r="V750">
        <v>0.92300000000000004</v>
      </c>
      <c r="BL750" s="1"/>
    </row>
    <row r="751" spans="9:64">
      <c r="I751" s="1"/>
      <c r="O751" s="1">
        <v>45102</v>
      </c>
      <c r="P751">
        <v>-28.9999</v>
      </c>
      <c r="R751" s="1">
        <v>45102</v>
      </c>
      <c r="S751">
        <v>1.4562999999999999</v>
      </c>
      <c r="U751" s="1">
        <v>45102</v>
      </c>
      <c r="V751">
        <v>0.92300000000000004</v>
      </c>
      <c r="BL751" s="1"/>
    </row>
    <row r="752" spans="9:64">
      <c r="I752" s="1"/>
      <c r="O752" s="1">
        <v>45103</v>
      </c>
      <c r="P752">
        <v>-28.8492</v>
      </c>
      <c r="R752" s="1">
        <v>45103</v>
      </c>
      <c r="S752">
        <v>1.3482000000000001</v>
      </c>
      <c r="U752" s="1">
        <v>45103</v>
      </c>
      <c r="V752">
        <v>0.68240000000000001</v>
      </c>
      <c r="BL752" s="1"/>
    </row>
    <row r="753" spans="9:64">
      <c r="I753" s="1"/>
      <c r="O753" s="1">
        <v>45104</v>
      </c>
      <c r="P753">
        <v>-28.2089</v>
      </c>
      <c r="R753" s="1">
        <v>45104</v>
      </c>
      <c r="S753">
        <v>1.5648</v>
      </c>
      <c r="U753" s="1">
        <v>45104</v>
      </c>
      <c r="V753">
        <v>1.9858</v>
      </c>
      <c r="BL753" s="1"/>
    </row>
    <row r="754" spans="9:64">
      <c r="I754" s="1"/>
      <c r="O754" s="1">
        <v>45105</v>
      </c>
      <c r="P754">
        <v>-27.3049</v>
      </c>
      <c r="R754" s="1">
        <v>45105</v>
      </c>
      <c r="S754">
        <v>2.2193999999999998</v>
      </c>
      <c r="U754" s="1">
        <v>45105</v>
      </c>
      <c r="V754">
        <v>2.0057999999999998</v>
      </c>
      <c r="BL754" s="1"/>
    </row>
    <row r="755" spans="9:64">
      <c r="I755" s="1"/>
      <c r="O755" s="1">
        <v>45106</v>
      </c>
      <c r="P755">
        <v>-26.7776</v>
      </c>
      <c r="R755" s="1">
        <v>45106</v>
      </c>
      <c r="S755">
        <v>2.2048000000000001</v>
      </c>
      <c r="U755" s="1">
        <v>45106</v>
      </c>
      <c r="V755">
        <v>2.6876000000000002</v>
      </c>
      <c r="BL755" s="1"/>
    </row>
    <row r="756" spans="9:64">
      <c r="O756" s="1">
        <v>45107</v>
      </c>
      <c r="P756">
        <v>-26.174900000000001</v>
      </c>
      <c r="R756" s="1">
        <v>45107</v>
      </c>
      <c r="S756">
        <v>3.4942000000000002</v>
      </c>
      <c r="U756" s="1">
        <v>45107</v>
      </c>
      <c r="V756">
        <v>3.7504</v>
      </c>
      <c r="BL756" s="1"/>
    </row>
    <row r="757" spans="9:64">
      <c r="O757" s="1">
        <v>45108</v>
      </c>
      <c r="P757">
        <v>-26.174900000000001</v>
      </c>
      <c r="R757" s="1">
        <v>45108</v>
      </c>
      <c r="S757">
        <v>3.4942000000000002</v>
      </c>
      <c r="U757" s="1">
        <v>45108</v>
      </c>
      <c r="V757">
        <v>3.7504</v>
      </c>
      <c r="BL757" s="1"/>
    </row>
    <row r="758" spans="9:64">
      <c r="O758" s="1">
        <v>45109</v>
      </c>
      <c r="P758">
        <v>-26.174900000000001</v>
      </c>
      <c r="R758" s="1">
        <v>45109</v>
      </c>
      <c r="S758">
        <v>3.4942000000000002</v>
      </c>
      <c r="U758" s="1">
        <v>45109</v>
      </c>
      <c r="V758">
        <v>3.7504</v>
      </c>
      <c r="BL758" s="1"/>
    </row>
    <row r="759" spans="9:64">
      <c r="O759" s="1">
        <v>45110</v>
      </c>
      <c r="P759">
        <v>-27.719200000000001</v>
      </c>
      <c r="R759" s="1">
        <v>45110</v>
      </c>
      <c r="S759">
        <v>3.0657000000000001</v>
      </c>
      <c r="U759" s="1">
        <v>45110</v>
      </c>
      <c r="V759">
        <v>3.9108000000000001</v>
      </c>
      <c r="BL759" s="1"/>
    </row>
    <row r="760" spans="9:64">
      <c r="O760" s="1">
        <v>45111</v>
      </c>
      <c r="P760">
        <v>-29.188199999999998</v>
      </c>
      <c r="R760" s="1">
        <v>45111</v>
      </c>
      <c r="S760">
        <v>2.7972999999999999</v>
      </c>
      <c r="U760" s="1">
        <v>45111</v>
      </c>
      <c r="V760">
        <v>3.9108000000000001</v>
      </c>
      <c r="BL760" s="1"/>
    </row>
    <row r="761" spans="9:64">
      <c r="O761" s="1">
        <v>45112</v>
      </c>
      <c r="P761">
        <v>-29.188199999999998</v>
      </c>
      <c r="R761" s="1">
        <v>45112</v>
      </c>
      <c r="S761">
        <v>2.1461999999999999</v>
      </c>
      <c r="U761" s="1">
        <v>45112</v>
      </c>
      <c r="V761">
        <v>4.0712000000000002</v>
      </c>
      <c r="BL761" s="1"/>
    </row>
    <row r="762" spans="9:64">
      <c r="O762" s="1">
        <v>45113</v>
      </c>
      <c r="P762">
        <v>-31.4482</v>
      </c>
      <c r="R762" s="1">
        <v>45113</v>
      </c>
      <c r="S762">
        <v>-0.47539999999999999</v>
      </c>
      <c r="U762" s="1">
        <v>45113</v>
      </c>
      <c r="V762">
        <v>3.2629999999999999</v>
      </c>
      <c r="BL762" s="1"/>
    </row>
    <row r="763" spans="9:64">
      <c r="O763" s="1">
        <v>45114</v>
      </c>
      <c r="P763">
        <v>-30.845500000000001</v>
      </c>
      <c r="R763" s="1">
        <v>45114</v>
      </c>
      <c r="S763">
        <v>4.4000000000000003E-3</v>
      </c>
      <c r="U763" s="1">
        <v>45114</v>
      </c>
      <c r="V763">
        <v>3.0206</v>
      </c>
      <c r="BL763" s="1"/>
    </row>
    <row r="764" spans="9:64">
      <c r="O764" s="1">
        <v>45115</v>
      </c>
      <c r="P764">
        <v>-30.845500000000001</v>
      </c>
      <c r="R764" s="1">
        <v>45115</v>
      </c>
      <c r="S764">
        <v>4.4000000000000003E-3</v>
      </c>
      <c r="U764" s="1">
        <v>45115</v>
      </c>
      <c r="V764">
        <v>3.0206</v>
      </c>
      <c r="BL764" s="1"/>
    </row>
    <row r="765" spans="9:64">
      <c r="O765" s="1">
        <v>45116</v>
      </c>
      <c r="P765">
        <v>-30.845500000000001</v>
      </c>
      <c r="R765" s="1">
        <v>45116</v>
      </c>
      <c r="S765">
        <v>4.4000000000000003E-3</v>
      </c>
      <c r="U765" s="1">
        <v>45116</v>
      </c>
      <c r="V765">
        <v>3.0206</v>
      </c>
      <c r="BL765" s="1"/>
    </row>
    <row r="766" spans="9:64">
      <c r="O766" s="1">
        <v>45117</v>
      </c>
      <c r="P766">
        <v>-29.866199999999999</v>
      </c>
      <c r="R766" s="1">
        <v>45117</v>
      </c>
      <c r="S766">
        <v>0.45150000000000001</v>
      </c>
      <c r="U766" s="1">
        <v>45117</v>
      </c>
      <c r="V766">
        <v>3.8490000000000002</v>
      </c>
      <c r="BL766" s="1"/>
    </row>
    <row r="767" spans="9:64">
      <c r="O767" s="1">
        <v>45118</v>
      </c>
      <c r="P767">
        <v>-28.397200000000002</v>
      </c>
      <c r="R767" s="1">
        <v>45118</v>
      </c>
      <c r="S767">
        <v>1.2024999999999999</v>
      </c>
      <c r="U767" s="1">
        <v>45118</v>
      </c>
      <c r="V767">
        <v>5.3037000000000001</v>
      </c>
      <c r="BL767" s="1"/>
    </row>
    <row r="768" spans="9:64">
      <c r="O768" s="1">
        <v>45119</v>
      </c>
      <c r="P768">
        <v>-26.7776</v>
      </c>
      <c r="R768" s="1">
        <v>45119</v>
      </c>
      <c r="S768">
        <v>2.6937000000000002</v>
      </c>
      <c r="U768" s="1">
        <v>45119</v>
      </c>
      <c r="V768">
        <v>2.5154999999999998</v>
      </c>
      <c r="BL768" s="1"/>
    </row>
    <row r="769" spans="15:64">
      <c r="O769" s="1">
        <v>45120</v>
      </c>
      <c r="P769">
        <v>-26.1373</v>
      </c>
      <c r="R769" s="1">
        <v>45120</v>
      </c>
      <c r="S769">
        <v>3.4502000000000002</v>
      </c>
      <c r="U769" s="1">
        <v>45120</v>
      </c>
      <c r="V769">
        <v>4.1116000000000001</v>
      </c>
      <c r="BL769" s="1"/>
    </row>
    <row r="770" spans="15:64">
      <c r="O770" s="1">
        <v>45121</v>
      </c>
      <c r="P770">
        <v>-27.154299999999999</v>
      </c>
      <c r="R770" s="1">
        <v>45121</v>
      </c>
      <c r="S770">
        <v>3.2197</v>
      </c>
      <c r="U770" s="1">
        <v>45121</v>
      </c>
      <c r="V770">
        <v>1.7881</v>
      </c>
      <c r="BL770" s="1"/>
    </row>
    <row r="771" spans="15:64">
      <c r="O771" s="1">
        <v>45122</v>
      </c>
      <c r="P771">
        <v>-27.154299999999999</v>
      </c>
      <c r="R771" s="1">
        <v>45122</v>
      </c>
      <c r="S771">
        <v>3.2197</v>
      </c>
      <c r="U771" s="1">
        <v>45122</v>
      </c>
      <c r="V771">
        <v>1.7881</v>
      </c>
      <c r="BL771" s="1"/>
    </row>
    <row r="772" spans="15:64">
      <c r="O772" s="1">
        <v>45123</v>
      </c>
      <c r="P772">
        <v>-27.154299999999999</v>
      </c>
      <c r="R772" s="1">
        <v>45123</v>
      </c>
      <c r="S772">
        <v>3.2197</v>
      </c>
      <c r="U772" s="1">
        <v>45123</v>
      </c>
      <c r="V772">
        <v>1.7881</v>
      </c>
      <c r="BL772" s="1"/>
    </row>
    <row r="773" spans="15:64">
      <c r="O773" s="1">
        <v>45124</v>
      </c>
      <c r="P773">
        <v>-26.965900000000001</v>
      </c>
      <c r="R773" s="1">
        <v>45124</v>
      </c>
      <c r="S773">
        <v>2.9863</v>
      </c>
      <c r="U773" s="1">
        <v>45124</v>
      </c>
      <c r="V773">
        <v>2.6568999999999998</v>
      </c>
      <c r="BL773" s="1"/>
    </row>
    <row r="774" spans="15:64">
      <c r="O774" s="1">
        <v>45125</v>
      </c>
      <c r="P774">
        <v>-27.417899999999999</v>
      </c>
      <c r="R774" s="1">
        <v>45125</v>
      </c>
      <c r="S774">
        <v>3.3506</v>
      </c>
      <c r="U774" s="1">
        <v>45125</v>
      </c>
      <c r="V774">
        <v>3.5257000000000001</v>
      </c>
      <c r="BL774" s="1"/>
    </row>
    <row r="775" spans="15:64">
      <c r="O775" s="1">
        <v>45126</v>
      </c>
      <c r="P775">
        <v>-28.246600000000001</v>
      </c>
      <c r="R775" s="1">
        <v>45126</v>
      </c>
      <c r="S775">
        <v>3.2444000000000002</v>
      </c>
      <c r="U775" s="1">
        <v>45126</v>
      </c>
      <c r="V775">
        <v>5.93</v>
      </c>
      <c r="BL775" s="1"/>
    </row>
    <row r="776" spans="15:64">
      <c r="O776" s="1">
        <v>45127</v>
      </c>
      <c r="P776">
        <v>-28.020600000000002</v>
      </c>
      <c r="R776" s="1">
        <v>45127</v>
      </c>
      <c r="S776">
        <v>3.8552</v>
      </c>
      <c r="U776" s="1">
        <v>45127</v>
      </c>
      <c r="V776">
        <v>5.8087999999999997</v>
      </c>
      <c r="BL776" s="1"/>
    </row>
    <row r="777" spans="15:64">
      <c r="O777" s="1">
        <v>45128</v>
      </c>
      <c r="P777">
        <v>-28.510200000000001</v>
      </c>
      <c r="R777" s="1">
        <v>45128</v>
      </c>
      <c r="S777">
        <v>3.6821000000000002</v>
      </c>
      <c r="U777" s="1">
        <v>45128</v>
      </c>
      <c r="V777">
        <v>6.3341000000000003</v>
      </c>
      <c r="BL777" s="1"/>
    </row>
    <row r="778" spans="15:64">
      <c r="O778" s="1">
        <v>45129</v>
      </c>
      <c r="P778">
        <v>-28.510200000000001</v>
      </c>
      <c r="R778" s="1">
        <v>45129</v>
      </c>
      <c r="S778">
        <v>3.6821000000000002</v>
      </c>
      <c r="U778" s="1">
        <v>45129</v>
      </c>
      <c r="V778">
        <v>6.3341000000000003</v>
      </c>
      <c r="BL778" s="1"/>
    </row>
    <row r="779" spans="15:64">
      <c r="O779" s="1">
        <v>45130</v>
      </c>
      <c r="P779">
        <v>-28.510200000000001</v>
      </c>
      <c r="R779" s="1">
        <v>45130</v>
      </c>
      <c r="S779">
        <v>3.6821000000000002</v>
      </c>
      <c r="U779" s="1">
        <v>45130</v>
      </c>
      <c r="V779">
        <v>6.3341000000000003</v>
      </c>
      <c r="BL779" s="1"/>
    </row>
    <row r="780" spans="15:64">
      <c r="O780" s="1">
        <v>45131</v>
      </c>
      <c r="P780">
        <v>-26.852900000000002</v>
      </c>
      <c r="R780" s="1">
        <v>45131</v>
      </c>
      <c r="S780">
        <v>3.7700999999999998</v>
      </c>
      <c r="U780" s="1">
        <v>45131</v>
      </c>
      <c r="V780">
        <v>7.3038999999999996</v>
      </c>
      <c r="BL780" s="1"/>
    </row>
    <row r="781" spans="15:64">
      <c r="O781" s="1">
        <v>45132</v>
      </c>
      <c r="P781">
        <v>-26.890599999999999</v>
      </c>
      <c r="R781" s="1">
        <v>45132</v>
      </c>
      <c r="S781">
        <v>3.9024000000000001</v>
      </c>
      <c r="U781" s="1">
        <v>45132</v>
      </c>
      <c r="V781">
        <v>8.2939000000000007</v>
      </c>
      <c r="BL781" s="1"/>
    </row>
    <row r="782" spans="15:64">
      <c r="O782" s="1">
        <v>45133</v>
      </c>
      <c r="P782">
        <v>-25.8736</v>
      </c>
      <c r="R782" s="1">
        <v>45133</v>
      </c>
      <c r="S782">
        <v>3.3887999999999998</v>
      </c>
      <c r="U782" s="1">
        <v>45133</v>
      </c>
      <c r="V782">
        <v>7.5260999999999996</v>
      </c>
      <c r="BL782" s="1"/>
    </row>
    <row r="783" spans="15:64">
      <c r="O783" s="1">
        <v>45134</v>
      </c>
      <c r="P783">
        <v>-25.459299999999999</v>
      </c>
      <c r="R783" s="1">
        <v>45134</v>
      </c>
      <c r="S783">
        <v>5.1486000000000001</v>
      </c>
      <c r="U783" s="1">
        <v>45134</v>
      </c>
      <c r="V783">
        <v>7.0815999999999999</v>
      </c>
      <c r="BL783" s="1"/>
    </row>
    <row r="784" spans="15:64">
      <c r="O784" s="1">
        <v>45135</v>
      </c>
      <c r="P784">
        <v>-25.421600000000002</v>
      </c>
      <c r="R784" s="1">
        <v>45135</v>
      </c>
      <c r="S784">
        <v>5.5570000000000004</v>
      </c>
      <c r="U784" s="1">
        <v>45135</v>
      </c>
      <c r="V784">
        <v>5.2430000000000003</v>
      </c>
      <c r="BL784" s="1"/>
    </row>
    <row r="785" spans="15:64">
      <c r="O785" s="1">
        <v>45136</v>
      </c>
      <c r="P785">
        <v>-25.421600000000002</v>
      </c>
      <c r="R785" s="1">
        <v>45136</v>
      </c>
      <c r="S785">
        <v>5.5570000000000004</v>
      </c>
      <c r="U785" s="1">
        <v>45136</v>
      </c>
      <c r="V785">
        <v>5.2430000000000003</v>
      </c>
      <c r="BL785" s="1"/>
    </row>
    <row r="786" spans="15:64">
      <c r="O786" s="1">
        <v>45137</v>
      </c>
      <c r="P786">
        <v>-25.421600000000002</v>
      </c>
      <c r="R786" s="1">
        <v>45137</v>
      </c>
      <c r="S786">
        <v>5.5570000000000004</v>
      </c>
      <c r="U786" s="1">
        <v>45137</v>
      </c>
      <c r="V786">
        <v>5.2430000000000003</v>
      </c>
      <c r="BL786" s="1"/>
    </row>
    <row r="787" spans="15:64">
      <c r="O787" s="1">
        <v>45138</v>
      </c>
      <c r="P787">
        <v>-25.158000000000001</v>
      </c>
      <c r="R787" s="1">
        <v>45138</v>
      </c>
      <c r="S787">
        <v>5.4100999999999999</v>
      </c>
      <c r="U787" s="1">
        <v>45138</v>
      </c>
      <c r="V787">
        <v>5.1420000000000003</v>
      </c>
      <c r="BL787" s="1"/>
    </row>
    <row r="788" spans="15:64">
      <c r="O788" s="1">
        <v>45139</v>
      </c>
      <c r="P788">
        <v>-23.764299999999999</v>
      </c>
      <c r="R788" s="1">
        <v>45139</v>
      </c>
      <c r="S788">
        <v>4.0869999999999997</v>
      </c>
      <c r="U788" s="1">
        <v>45139</v>
      </c>
      <c r="V788">
        <v>6.3947000000000003</v>
      </c>
      <c r="BL788" s="1"/>
    </row>
    <row r="789" spans="15:64">
      <c r="O789" s="1">
        <v>45140</v>
      </c>
      <c r="P789">
        <v>-23.764299999999999</v>
      </c>
      <c r="R789" s="1">
        <v>45140</v>
      </c>
      <c r="S789">
        <v>2.6745999999999999</v>
      </c>
      <c r="U789" s="1">
        <v>45140</v>
      </c>
      <c r="V789">
        <v>6.2329999999999997</v>
      </c>
      <c r="BL789" s="1"/>
    </row>
    <row r="790" spans="15:64">
      <c r="O790" s="1">
        <v>45141</v>
      </c>
      <c r="P790">
        <v>-25.308599999999998</v>
      </c>
      <c r="R790" s="1">
        <v>45141</v>
      </c>
      <c r="S790">
        <v>1.8629</v>
      </c>
      <c r="U790" s="1">
        <v>45141</v>
      </c>
      <c r="V790">
        <v>7.3846999999999996</v>
      </c>
      <c r="BL790" s="1"/>
    </row>
    <row r="791" spans="15:64">
      <c r="O791" s="1">
        <v>45142</v>
      </c>
      <c r="P791">
        <v>-24.894300000000001</v>
      </c>
      <c r="R791" s="1">
        <v>45142</v>
      </c>
      <c r="S791">
        <v>2.2378</v>
      </c>
      <c r="U791" s="1">
        <v>45142</v>
      </c>
      <c r="V791">
        <v>6.3341000000000003</v>
      </c>
      <c r="BL791" s="1"/>
    </row>
    <row r="792" spans="15:64">
      <c r="O792" s="1">
        <v>45143</v>
      </c>
      <c r="P792">
        <v>-24.894300000000001</v>
      </c>
      <c r="R792" s="1">
        <v>45143</v>
      </c>
      <c r="S792">
        <v>2.2378</v>
      </c>
      <c r="U792" s="1">
        <v>45143</v>
      </c>
      <c r="V792">
        <v>6.3341000000000003</v>
      </c>
      <c r="BL792" s="1"/>
    </row>
    <row r="793" spans="15:64">
      <c r="O793" s="1">
        <v>45144</v>
      </c>
      <c r="P793">
        <v>-24.894300000000001</v>
      </c>
      <c r="R793" s="1">
        <v>45144</v>
      </c>
      <c r="S793">
        <v>2.2378</v>
      </c>
      <c r="U793" s="1">
        <v>45144</v>
      </c>
      <c r="V793">
        <v>6.3341000000000003</v>
      </c>
      <c r="BL793" s="1"/>
    </row>
    <row r="794" spans="15:64">
      <c r="O794" s="1">
        <v>45145</v>
      </c>
      <c r="P794">
        <v>-25.195599999999999</v>
      </c>
      <c r="R794" s="1">
        <v>45145</v>
      </c>
      <c r="S794">
        <v>2.2307000000000001</v>
      </c>
      <c r="U794" s="1">
        <v>45145</v>
      </c>
      <c r="V794">
        <v>7.1017999999999999</v>
      </c>
      <c r="BL794" s="1"/>
    </row>
    <row r="795" spans="15:64">
      <c r="O795" s="1">
        <v>45146</v>
      </c>
      <c r="P795">
        <v>-26.965900000000001</v>
      </c>
      <c r="R795" s="1">
        <v>45146</v>
      </c>
      <c r="S795">
        <v>1.1037999999999999</v>
      </c>
      <c r="U795" s="1">
        <v>45146</v>
      </c>
      <c r="V795">
        <v>7.2027999999999999</v>
      </c>
      <c r="BL795" s="1"/>
    </row>
    <row r="796" spans="15:64">
      <c r="O796" s="1">
        <v>45147</v>
      </c>
      <c r="P796">
        <v>-25.2333</v>
      </c>
      <c r="R796" s="1">
        <v>45147</v>
      </c>
      <c r="S796">
        <v>1.6014999999999999</v>
      </c>
      <c r="U796" s="1">
        <v>45147</v>
      </c>
      <c r="V796">
        <v>7.0613999999999999</v>
      </c>
      <c r="BL796" s="1"/>
    </row>
    <row r="797" spans="15:64">
      <c r="O797" s="1">
        <v>45148</v>
      </c>
      <c r="P797">
        <v>-23.990300000000001</v>
      </c>
      <c r="R797" s="1">
        <v>45148</v>
      </c>
      <c r="S797">
        <v>2.524</v>
      </c>
      <c r="U797" s="1">
        <v>45148</v>
      </c>
      <c r="V797">
        <v>7.8292000000000002</v>
      </c>
      <c r="BL797" s="1"/>
    </row>
    <row r="798" spans="15:64">
      <c r="O798" s="1">
        <v>45149</v>
      </c>
      <c r="P798">
        <v>-24.0657</v>
      </c>
      <c r="R798" s="1">
        <v>45149</v>
      </c>
      <c r="S798">
        <v>1.4705999999999999</v>
      </c>
      <c r="U798" s="1">
        <v>45149</v>
      </c>
      <c r="V798">
        <v>8.6776999999999997</v>
      </c>
      <c r="BL798" s="1"/>
    </row>
    <row r="799" spans="15:64">
      <c r="O799" s="1">
        <v>45150</v>
      </c>
      <c r="P799">
        <v>-24.0657</v>
      </c>
      <c r="R799" s="1">
        <v>45150</v>
      </c>
      <c r="S799">
        <v>1.4705999999999999</v>
      </c>
      <c r="U799" s="1">
        <v>45150</v>
      </c>
      <c r="V799">
        <v>8.6776999999999997</v>
      </c>
      <c r="BL799" s="1"/>
    </row>
    <row r="800" spans="15:64">
      <c r="O800" s="1">
        <v>45151</v>
      </c>
      <c r="P800">
        <v>-24.0657</v>
      </c>
      <c r="R800" s="1">
        <v>45151</v>
      </c>
      <c r="S800">
        <v>1.4705999999999999</v>
      </c>
      <c r="U800" s="1">
        <v>45151</v>
      </c>
      <c r="V800">
        <v>8.6776999999999997</v>
      </c>
      <c r="BL800" s="1"/>
    </row>
    <row r="801" spans="15:64">
      <c r="O801" s="1">
        <v>45152</v>
      </c>
      <c r="P801">
        <v>-23.5383</v>
      </c>
      <c r="R801" s="1">
        <v>45152</v>
      </c>
      <c r="S801">
        <v>1.9326000000000001</v>
      </c>
      <c r="U801" s="1">
        <v>45152</v>
      </c>
      <c r="V801">
        <v>8.8596000000000004</v>
      </c>
      <c r="BL801" s="1"/>
    </row>
    <row r="802" spans="15:64">
      <c r="O802" s="1">
        <v>45153</v>
      </c>
      <c r="P802">
        <v>-25.949000000000002</v>
      </c>
      <c r="R802" s="1">
        <v>45153</v>
      </c>
      <c r="S802">
        <v>1.0548</v>
      </c>
      <c r="U802" s="1">
        <v>45153</v>
      </c>
      <c r="V802">
        <v>7.7888000000000002</v>
      </c>
      <c r="BL802" s="1"/>
    </row>
    <row r="803" spans="15:64">
      <c r="O803" s="1">
        <v>45154</v>
      </c>
      <c r="P803">
        <v>-24.291699999999999</v>
      </c>
      <c r="R803" s="1">
        <v>45154</v>
      </c>
      <c r="S803">
        <v>1.1968000000000001</v>
      </c>
      <c r="U803" s="1">
        <v>45154</v>
      </c>
      <c r="V803">
        <v>7.0007999999999999</v>
      </c>
      <c r="BL803" s="1"/>
    </row>
    <row r="804" spans="15:64">
      <c r="O804" s="1">
        <v>45155</v>
      </c>
      <c r="P804">
        <v>-26.325600000000001</v>
      </c>
      <c r="R804" s="1">
        <v>45155</v>
      </c>
      <c r="S804">
        <v>0.47549999999999998</v>
      </c>
      <c r="U804" s="1">
        <v>45155</v>
      </c>
      <c r="V804">
        <v>10.5769</v>
      </c>
      <c r="BL804" s="1"/>
    </row>
    <row r="805" spans="15:64">
      <c r="O805" s="1">
        <v>45156</v>
      </c>
      <c r="P805">
        <v>-28.0959</v>
      </c>
      <c r="R805" s="1">
        <v>45156</v>
      </c>
      <c r="S805">
        <v>-0.18229999999999999</v>
      </c>
      <c r="U805" s="1">
        <v>45156</v>
      </c>
      <c r="V805">
        <v>11.203200000000001</v>
      </c>
      <c r="BL805" s="1"/>
    </row>
    <row r="806" spans="15:64">
      <c r="O806" s="1">
        <v>45157</v>
      </c>
      <c r="P806">
        <v>-28.0959</v>
      </c>
      <c r="R806" s="1">
        <v>45157</v>
      </c>
      <c r="S806">
        <v>-0.18229999999999999</v>
      </c>
      <c r="U806" s="1">
        <v>45157</v>
      </c>
      <c r="V806">
        <v>11.203200000000001</v>
      </c>
      <c r="BL806" s="1"/>
    </row>
    <row r="807" spans="15:64">
      <c r="O807" s="1">
        <v>45158</v>
      </c>
      <c r="P807">
        <v>-28.0959</v>
      </c>
      <c r="R807" s="1">
        <v>45158</v>
      </c>
      <c r="S807">
        <v>-0.18229999999999999</v>
      </c>
      <c r="U807" s="1">
        <v>45158</v>
      </c>
      <c r="V807">
        <v>11.203200000000001</v>
      </c>
      <c r="BL807" s="1"/>
    </row>
    <row r="808" spans="15:64">
      <c r="O808" s="1">
        <v>45159</v>
      </c>
      <c r="P808">
        <v>-27.869900000000001</v>
      </c>
      <c r="R808" s="1">
        <v>45159</v>
      </c>
      <c r="S808">
        <v>3.7000000000000002E-3</v>
      </c>
      <c r="U808" s="1">
        <v>45159</v>
      </c>
      <c r="V808">
        <v>12.0114</v>
      </c>
      <c r="BL808" s="1"/>
    </row>
    <row r="809" spans="15:64">
      <c r="O809" s="1">
        <v>45160</v>
      </c>
      <c r="P809">
        <v>-27.794599999999999</v>
      </c>
      <c r="R809" s="1">
        <v>45160</v>
      </c>
      <c r="S809">
        <v>0.65959999999999996</v>
      </c>
      <c r="U809" s="1">
        <v>45160</v>
      </c>
      <c r="V809">
        <v>12.0518</v>
      </c>
      <c r="BL809" s="1"/>
    </row>
    <row r="810" spans="15:64">
      <c r="O810" s="1">
        <v>45161</v>
      </c>
      <c r="P810">
        <v>-28.058199999999999</v>
      </c>
      <c r="R810" s="1">
        <v>45161</v>
      </c>
      <c r="S810">
        <v>0.80559999999999998</v>
      </c>
      <c r="U810" s="1">
        <v>45161</v>
      </c>
      <c r="V810">
        <v>13.102399999999999</v>
      </c>
      <c r="BL810" s="1"/>
    </row>
    <row r="811" spans="15:64">
      <c r="O811" s="1">
        <v>45162</v>
      </c>
      <c r="P811">
        <v>-29.3765</v>
      </c>
      <c r="R811" s="1">
        <v>45162</v>
      </c>
      <c r="S811">
        <v>0.12039999999999999</v>
      </c>
      <c r="U811" s="1">
        <v>45162</v>
      </c>
      <c r="V811">
        <v>11.6073</v>
      </c>
      <c r="BL811" s="1"/>
    </row>
    <row r="812" spans="15:64">
      <c r="O812" s="1">
        <v>45163</v>
      </c>
      <c r="P812">
        <v>-29.564900000000002</v>
      </c>
      <c r="R812" s="1">
        <v>45163</v>
      </c>
      <c r="S812">
        <v>0.18659999999999999</v>
      </c>
      <c r="U812" s="1">
        <v>45163</v>
      </c>
      <c r="V812">
        <v>12.5367</v>
      </c>
      <c r="BL812" s="1"/>
    </row>
    <row r="813" spans="15:64">
      <c r="O813" s="1">
        <v>45164</v>
      </c>
      <c r="P813">
        <v>-29.564900000000002</v>
      </c>
      <c r="R813" s="1">
        <v>45164</v>
      </c>
      <c r="S813">
        <v>0.18659999999999999</v>
      </c>
      <c r="U813" s="1">
        <v>45164</v>
      </c>
      <c r="V813">
        <v>12.5367</v>
      </c>
      <c r="BL813" s="1"/>
    </row>
    <row r="814" spans="15:64">
      <c r="O814" s="1">
        <v>45165</v>
      </c>
      <c r="P814">
        <v>-29.564900000000002</v>
      </c>
      <c r="R814" s="1">
        <v>45165</v>
      </c>
      <c r="S814">
        <v>0.18659999999999999</v>
      </c>
      <c r="U814" s="1">
        <v>45165</v>
      </c>
      <c r="V814">
        <v>12.5367</v>
      </c>
      <c r="BL814" s="1"/>
    </row>
    <row r="815" spans="15:64">
      <c r="O815" s="1">
        <v>45166</v>
      </c>
      <c r="P815">
        <v>-28.623200000000001</v>
      </c>
      <c r="R815" s="1">
        <v>45166</v>
      </c>
      <c r="S815">
        <v>1.2171000000000001</v>
      </c>
      <c r="U815" s="1">
        <v>45166</v>
      </c>
      <c r="V815">
        <v>13.546900000000001</v>
      </c>
      <c r="BL815" s="1"/>
    </row>
    <row r="816" spans="15:64">
      <c r="O816" s="1">
        <v>45167</v>
      </c>
      <c r="P816">
        <v>-28.0959</v>
      </c>
      <c r="R816" s="1">
        <v>45167</v>
      </c>
      <c r="S816">
        <v>2.1032999999999999</v>
      </c>
      <c r="U816" s="1">
        <v>45167</v>
      </c>
      <c r="V816">
        <v>14.2743</v>
      </c>
      <c r="BL816" s="1"/>
    </row>
    <row r="817" spans="15:64">
      <c r="O817" s="1">
        <v>45168</v>
      </c>
      <c r="P817">
        <v>-28.284199999999998</v>
      </c>
      <c r="R817" s="1">
        <v>45168</v>
      </c>
      <c r="S817">
        <v>1.8536999999999999</v>
      </c>
      <c r="U817" s="1">
        <v>45168</v>
      </c>
      <c r="V817">
        <v>14.779400000000001</v>
      </c>
      <c r="BL817" s="1"/>
    </row>
    <row r="818" spans="15:64">
      <c r="O818" s="1">
        <v>45169</v>
      </c>
      <c r="P818">
        <v>-28.4726</v>
      </c>
      <c r="R818" s="1">
        <v>45169</v>
      </c>
      <c r="S818">
        <v>2.2071000000000001</v>
      </c>
      <c r="U818" s="1">
        <v>45169</v>
      </c>
      <c r="V818">
        <v>15.8704</v>
      </c>
      <c r="BL818" s="1"/>
    </row>
    <row r="819" spans="15:64">
      <c r="O819" s="1">
        <v>45170</v>
      </c>
      <c r="P819">
        <v>-27.756900000000002</v>
      </c>
      <c r="R819" s="1">
        <v>45170</v>
      </c>
      <c r="S819">
        <v>1.5229999999999999</v>
      </c>
      <c r="U819" s="1">
        <v>45170</v>
      </c>
      <c r="V819">
        <v>16.860399999999998</v>
      </c>
      <c r="BL819" s="1"/>
    </row>
    <row r="820" spans="15:64">
      <c r="O820" s="1">
        <v>45171</v>
      </c>
      <c r="P820">
        <v>-27.756900000000002</v>
      </c>
      <c r="R820" s="1">
        <v>45171</v>
      </c>
      <c r="S820">
        <v>1.5229999999999999</v>
      </c>
      <c r="U820" s="1">
        <v>45171</v>
      </c>
      <c r="V820">
        <v>16.860399999999998</v>
      </c>
      <c r="BL820" s="1"/>
    </row>
    <row r="821" spans="15:64">
      <c r="O821" s="1">
        <v>45172</v>
      </c>
      <c r="P821">
        <v>-27.756900000000002</v>
      </c>
      <c r="R821" s="1">
        <v>45172</v>
      </c>
      <c r="S821">
        <v>1.5229999999999999</v>
      </c>
      <c r="U821" s="1">
        <v>45172</v>
      </c>
      <c r="V821">
        <v>16.860399999999998</v>
      </c>
      <c r="BL821" s="1"/>
    </row>
    <row r="822" spans="15:64">
      <c r="O822" s="1">
        <v>45173</v>
      </c>
      <c r="P822">
        <v>-27.380299999999998</v>
      </c>
      <c r="R822" s="1">
        <v>45173</v>
      </c>
      <c r="S822">
        <v>1.4237</v>
      </c>
      <c r="U822" s="1">
        <v>45173</v>
      </c>
      <c r="V822">
        <v>16.860399999999998</v>
      </c>
      <c r="BL822" s="1"/>
    </row>
    <row r="823" spans="15:64">
      <c r="O823" s="1">
        <v>45174</v>
      </c>
      <c r="P823">
        <v>-28.284199999999998</v>
      </c>
      <c r="R823" s="1">
        <v>45174</v>
      </c>
      <c r="S823">
        <v>1.0831</v>
      </c>
      <c r="U823" s="1">
        <v>45174</v>
      </c>
      <c r="V823">
        <v>15.688499999999999</v>
      </c>
      <c r="BL823" s="1"/>
    </row>
    <row r="824" spans="15:64">
      <c r="O824" s="1">
        <v>45175</v>
      </c>
      <c r="P824">
        <v>-28.397200000000002</v>
      </c>
      <c r="R824" s="1">
        <v>45175</v>
      </c>
      <c r="S824">
        <v>0.88870000000000005</v>
      </c>
      <c r="U824" s="1">
        <v>45175</v>
      </c>
      <c r="V824">
        <v>15.486499999999999</v>
      </c>
      <c r="BL824" s="1"/>
    </row>
    <row r="825" spans="15:64">
      <c r="O825" s="1">
        <v>45176</v>
      </c>
      <c r="P825">
        <v>-29.037600000000001</v>
      </c>
      <c r="R825" s="1">
        <v>45176</v>
      </c>
      <c r="S825">
        <v>0.74309999999999998</v>
      </c>
      <c r="U825" s="1">
        <v>45176</v>
      </c>
      <c r="V825">
        <v>14.739000000000001</v>
      </c>
      <c r="BL825" s="1"/>
    </row>
    <row r="826" spans="15:64">
      <c r="O826" s="1">
        <v>45177</v>
      </c>
      <c r="P826">
        <v>-29.225899999999999</v>
      </c>
      <c r="R826" s="1">
        <v>45177</v>
      </c>
      <c r="S826">
        <v>0.91039999999999999</v>
      </c>
      <c r="U826" s="1">
        <v>45177</v>
      </c>
      <c r="V826">
        <v>14.496499999999999</v>
      </c>
      <c r="BL826" s="1"/>
    </row>
    <row r="827" spans="15:64">
      <c r="O827" s="1">
        <v>45178</v>
      </c>
      <c r="P827">
        <v>-29.225899999999999</v>
      </c>
      <c r="R827" s="1">
        <v>45178</v>
      </c>
      <c r="S827">
        <v>0.91039999999999999</v>
      </c>
      <c r="U827" s="1">
        <v>45178</v>
      </c>
      <c r="V827">
        <v>14.496499999999999</v>
      </c>
      <c r="BL827" s="1"/>
    </row>
    <row r="828" spans="15:64">
      <c r="O828" s="1">
        <v>45179</v>
      </c>
      <c r="P828">
        <v>-29.225899999999999</v>
      </c>
      <c r="R828" s="1">
        <v>45179</v>
      </c>
      <c r="S828">
        <v>0.91039999999999999</v>
      </c>
      <c r="U828" s="1">
        <v>45179</v>
      </c>
      <c r="V828">
        <v>14.496499999999999</v>
      </c>
      <c r="BL828" s="1"/>
    </row>
    <row r="829" spans="15:64">
      <c r="O829" s="1">
        <v>45180</v>
      </c>
      <c r="P829">
        <v>-28.698599999999999</v>
      </c>
      <c r="R829" s="1">
        <v>45180</v>
      </c>
      <c r="S829">
        <v>1.2707999999999999</v>
      </c>
      <c r="U829" s="1">
        <v>45180</v>
      </c>
      <c r="V829">
        <v>14.84</v>
      </c>
      <c r="BL829" s="1"/>
    </row>
    <row r="830" spans="15:64">
      <c r="O830" s="1">
        <v>45181</v>
      </c>
      <c r="P830">
        <v>-29.188199999999998</v>
      </c>
      <c r="R830" s="1">
        <v>45181</v>
      </c>
      <c r="S830">
        <v>0.72309999999999997</v>
      </c>
      <c r="U830" s="1">
        <v>45181</v>
      </c>
      <c r="V830">
        <v>13.9308</v>
      </c>
      <c r="BL830" s="1"/>
    </row>
    <row r="831" spans="15:64">
      <c r="O831" s="1">
        <v>45182</v>
      </c>
      <c r="P831">
        <v>-30.129899999999999</v>
      </c>
      <c r="R831" s="1">
        <v>45182</v>
      </c>
      <c r="S831">
        <v>0.32890000000000003</v>
      </c>
      <c r="U831" s="1">
        <v>45182</v>
      </c>
      <c r="V831">
        <v>13.708500000000001</v>
      </c>
      <c r="BL831" s="1"/>
    </row>
    <row r="832" spans="15:64">
      <c r="O832" s="1">
        <v>45183</v>
      </c>
      <c r="P832">
        <v>-29.3765</v>
      </c>
      <c r="R832" s="1">
        <v>45183</v>
      </c>
      <c r="S832">
        <v>1.2984</v>
      </c>
      <c r="U832" s="1">
        <v>45183</v>
      </c>
      <c r="V832">
        <v>13.8904</v>
      </c>
      <c r="BL832" s="1"/>
    </row>
    <row r="833" spans="15:64">
      <c r="O833" s="1">
        <v>45184</v>
      </c>
      <c r="P833">
        <v>-29.188199999999998</v>
      </c>
      <c r="R833" s="1">
        <v>45184</v>
      </c>
      <c r="S833">
        <v>1.8638999999999999</v>
      </c>
      <c r="U833" s="1">
        <v>45184</v>
      </c>
      <c r="V833">
        <v>13.223699999999999</v>
      </c>
      <c r="BL833" s="1"/>
    </row>
    <row r="834" spans="15:64">
      <c r="O834" s="1">
        <v>45185</v>
      </c>
      <c r="P834">
        <v>-29.188199999999998</v>
      </c>
      <c r="R834" s="1">
        <v>45185</v>
      </c>
      <c r="S834">
        <v>1.8638999999999999</v>
      </c>
      <c r="U834" s="1">
        <v>45185</v>
      </c>
      <c r="V834">
        <v>13.223699999999999</v>
      </c>
      <c r="BL834" s="1"/>
    </row>
    <row r="835" spans="15:64">
      <c r="O835" s="1">
        <v>45186</v>
      </c>
      <c r="P835">
        <v>-29.188199999999998</v>
      </c>
      <c r="R835" s="1">
        <v>45186</v>
      </c>
      <c r="S835">
        <v>1.8638999999999999</v>
      </c>
      <c r="U835" s="1">
        <v>45186</v>
      </c>
      <c r="V835">
        <v>13.223699999999999</v>
      </c>
      <c r="BL835" s="1"/>
    </row>
    <row r="836" spans="15:64">
      <c r="O836" s="1">
        <v>45187</v>
      </c>
      <c r="P836">
        <v>-29.9039</v>
      </c>
      <c r="R836" s="1">
        <v>45187</v>
      </c>
      <c r="S836">
        <v>0.7974</v>
      </c>
      <c r="U836" s="1">
        <v>45187</v>
      </c>
      <c r="V836">
        <v>13.3651</v>
      </c>
      <c r="BL836" s="1"/>
    </row>
    <row r="837" spans="15:64">
      <c r="O837" s="1">
        <v>45188</v>
      </c>
      <c r="P837">
        <v>-29.3765</v>
      </c>
      <c r="R837" s="1">
        <v>45188</v>
      </c>
      <c r="S837">
        <v>0.39589999999999997</v>
      </c>
      <c r="U837" s="1">
        <v>45188</v>
      </c>
      <c r="V837">
        <v>12.819599999999999</v>
      </c>
      <c r="BL837" s="1"/>
    </row>
    <row r="838" spans="15:64">
      <c r="O838" s="1">
        <v>45189</v>
      </c>
      <c r="P838">
        <v>-28.321899999999999</v>
      </c>
      <c r="R838" s="1">
        <v>45189</v>
      </c>
      <c r="S838">
        <v>1.1465000000000001</v>
      </c>
      <c r="U838" s="1">
        <v>45189</v>
      </c>
      <c r="V838">
        <v>12.1326</v>
      </c>
      <c r="BL838" s="1"/>
    </row>
    <row r="839" spans="15:64">
      <c r="O839" s="1">
        <v>45190</v>
      </c>
      <c r="P839">
        <v>-29.1129</v>
      </c>
      <c r="R839" s="1">
        <v>45190</v>
      </c>
      <c r="S839">
        <v>-0.19769999999999999</v>
      </c>
      <c r="U839" s="1">
        <v>45190</v>
      </c>
      <c r="V839">
        <v>7.7685000000000004</v>
      </c>
      <c r="BL839" s="1"/>
    </row>
    <row r="840" spans="15:64">
      <c r="O840" s="1">
        <v>45191</v>
      </c>
      <c r="P840">
        <v>-28.2089</v>
      </c>
      <c r="R840" s="1">
        <v>45191</v>
      </c>
      <c r="S840">
        <v>-0.29110000000000003</v>
      </c>
      <c r="U840" s="1">
        <v>45191</v>
      </c>
      <c r="V840">
        <v>8.2332000000000001</v>
      </c>
      <c r="BL840" s="1"/>
    </row>
    <row r="841" spans="15:64">
      <c r="O841" s="1">
        <v>45192</v>
      </c>
      <c r="P841">
        <v>-28.2089</v>
      </c>
      <c r="R841" s="1">
        <v>45192</v>
      </c>
      <c r="S841">
        <v>-0.29110000000000003</v>
      </c>
      <c r="U841" s="1">
        <v>45192</v>
      </c>
      <c r="V841">
        <v>8.2332000000000001</v>
      </c>
      <c r="BL841" s="1"/>
    </row>
    <row r="842" spans="15:64">
      <c r="O842" s="1">
        <v>45193</v>
      </c>
      <c r="P842">
        <v>-28.2089</v>
      </c>
      <c r="R842" s="1">
        <v>45193</v>
      </c>
      <c r="S842">
        <v>-0.29110000000000003</v>
      </c>
      <c r="U842" s="1">
        <v>45193</v>
      </c>
      <c r="V842">
        <v>8.2332000000000001</v>
      </c>
      <c r="BL842" s="1"/>
    </row>
    <row r="843" spans="15:64">
      <c r="O843" s="1">
        <v>45194</v>
      </c>
      <c r="P843">
        <v>-27.530899999999999</v>
      </c>
      <c r="R843" s="1">
        <v>45194</v>
      </c>
      <c r="S843">
        <v>-1.264</v>
      </c>
      <c r="U843" s="1">
        <v>45194</v>
      </c>
      <c r="V843">
        <v>8.0513999999999992</v>
      </c>
      <c r="BL843" s="1"/>
    </row>
    <row r="844" spans="15:64">
      <c r="O844" s="1">
        <v>45195</v>
      </c>
      <c r="P844">
        <v>-28.284199999999998</v>
      </c>
      <c r="R844" s="1">
        <v>45195</v>
      </c>
      <c r="S844">
        <v>-2.2229000000000001</v>
      </c>
      <c r="U844" s="1">
        <v>45195</v>
      </c>
      <c r="V844">
        <v>6.4957000000000003</v>
      </c>
      <c r="BL844" s="1"/>
    </row>
    <row r="845" spans="15:64">
      <c r="O845" s="1">
        <v>45196</v>
      </c>
      <c r="P845">
        <v>-27.1919</v>
      </c>
      <c r="R845" s="1">
        <v>45196</v>
      </c>
      <c r="S845">
        <v>-2.4691999999999998</v>
      </c>
      <c r="U845" s="1">
        <v>45196</v>
      </c>
      <c r="V845">
        <v>7.4856999999999996</v>
      </c>
      <c r="BL845" s="1"/>
    </row>
    <row r="846" spans="15:64">
      <c r="O846" s="1">
        <v>45197</v>
      </c>
      <c r="P846">
        <v>-26.174900000000001</v>
      </c>
      <c r="R846" s="1">
        <v>45197</v>
      </c>
      <c r="S846">
        <v>-1.7895000000000001</v>
      </c>
      <c r="U846" s="1">
        <v>45197</v>
      </c>
      <c r="V846">
        <v>8.8596000000000004</v>
      </c>
      <c r="BL846" s="1"/>
    </row>
    <row r="847" spans="15:64">
      <c r="O847" s="1">
        <v>45198</v>
      </c>
      <c r="P847">
        <v>-24.931999999999999</v>
      </c>
      <c r="R847" s="1">
        <v>45198</v>
      </c>
      <c r="S847">
        <v>-1.3852</v>
      </c>
      <c r="U847" s="1">
        <v>45198</v>
      </c>
      <c r="V847">
        <v>8.6171000000000006</v>
      </c>
      <c r="BL847" s="1"/>
    </row>
    <row r="848" spans="15:64">
      <c r="O848" s="1">
        <v>45199</v>
      </c>
      <c r="P848">
        <v>-24.931999999999999</v>
      </c>
      <c r="R848" s="1">
        <v>45199</v>
      </c>
      <c r="S848">
        <v>-1.3852</v>
      </c>
      <c r="U848" s="1">
        <v>45199</v>
      </c>
      <c r="V848">
        <v>8.6171000000000006</v>
      </c>
      <c r="BL848" s="1"/>
    </row>
    <row r="849" spans="15:64">
      <c r="O849" s="1">
        <v>45200</v>
      </c>
      <c r="P849">
        <v>-24.931999999999999</v>
      </c>
      <c r="R849" s="1">
        <v>45200</v>
      </c>
      <c r="S849">
        <v>-1.3852</v>
      </c>
      <c r="U849" s="1">
        <v>45200</v>
      </c>
      <c r="V849">
        <v>8.6171000000000006</v>
      </c>
      <c r="BL849" s="1"/>
    </row>
    <row r="850" spans="15:64">
      <c r="O850" s="1">
        <v>45201</v>
      </c>
      <c r="P850">
        <v>-25.195599999999999</v>
      </c>
      <c r="R850" s="1">
        <v>45201</v>
      </c>
      <c r="S850">
        <v>-2.2785000000000002</v>
      </c>
      <c r="U850" s="1">
        <v>45201</v>
      </c>
      <c r="V850">
        <v>9.89</v>
      </c>
      <c r="BL850" s="1"/>
    </row>
    <row r="851" spans="15:64">
      <c r="O851" s="1">
        <v>45202</v>
      </c>
      <c r="P851">
        <v>-25.497</v>
      </c>
      <c r="R851" s="1">
        <v>45202</v>
      </c>
      <c r="S851">
        <v>-3.3167</v>
      </c>
      <c r="U851" s="1">
        <v>45202</v>
      </c>
      <c r="V851">
        <v>9.1828000000000003</v>
      </c>
      <c r="BL851" s="1"/>
    </row>
    <row r="852" spans="15:64">
      <c r="O852" s="1">
        <v>45203</v>
      </c>
      <c r="P852">
        <v>-25.2333</v>
      </c>
      <c r="R852" s="1">
        <v>45203</v>
      </c>
      <c r="S852">
        <v>-3.2225000000000001</v>
      </c>
      <c r="U852" s="1">
        <v>45203</v>
      </c>
      <c r="V852">
        <v>8.7758000000000003</v>
      </c>
      <c r="BL852" s="1"/>
    </row>
    <row r="853" spans="15:64">
      <c r="O853" s="1">
        <v>45204</v>
      </c>
      <c r="P853">
        <v>-25.949000000000002</v>
      </c>
      <c r="R853" s="1">
        <v>45204</v>
      </c>
      <c r="S853">
        <v>-3.4127999999999998</v>
      </c>
      <c r="U853" s="1">
        <v>45204</v>
      </c>
      <c r="V853">
        <v>8.0024999999999995</v>
      </c>
      <c r="BL853" s="1"/>
    </row>
    <row r="854" spans="15:64">
      <c r="O854" s="1">
        <v>45205</v>
      </c>
      <c r="P854">
        <v>-25.497</v>
      </c>
      <c r="R854" s="1">
        <v>45205</v>
      </c>
      <c r="S854">
        <v>-2.3902000000000001</v>
      </c>
      <c r="U854" s="1">
        <v>45205</v>
      </c>
      <c r="V854">
        <v>8.7758000000000003</v>
      </c>
      <c r="BL854" s="1"/>
    </row>
    <row r="855" spans="15:64">
      <c r="O855" s="1">
        <v>45206</v>
      </c>
      <c r="P855">
        <v>-25.497</v>
      </c>
      <c r="R855" s="1">
        <v>45206</v>
      </c>
      <c r="S855">
        <v>-2.3902000000000001</v>
      </c>
      <c r="U855" s="1">
        <v>45206</v>
      </c>
      <c r="V855">
        <v>8.7758000000000003</v>
      </c>
      <c r="BL855" s="1"/>
    </row>
    <row r="856" spans="15:64">
      <c r="O856" s="1">
        <v>45207</v>
      </c>
      <c r="P856">
        <v>-25.497</v>
      </c>
      <c r="R856" s="1">
        <v>45207</v>
      </c>
      <c r="S856">
        <v>-2.3902000000000001</v>
      </c>
      <c r="U856" s="1">
        <v>45207</v>
      </c>
      <c r="V856">
        <v>8.7758000000000003</v>
      </c>
      <c r="BL856" s="1"/>
    </row>
    <row r="857" spans="15:64">
      <c r="O857" s="1">
        <v>45208</v>
      </c>
      <c r="P857">
        <v>-29.527200000000001</v>
      </c>
      <c r="R857" s="1">
        <v>45208</v>
      </c>
      <c r="S857">
        <v>-3.0417999999999998</v>
      </c>
      <c r="U857" s="1">
        <v>45208</v>
      </c>
      <c r="V857">
        <v>9.7323000000000004</v>
      </c>
      <c r="BL857" s="1"/>
    </row>
    <row r="858" spans="15:64">
      <c r="O858" s="1">
        <v>45209</v>
      </c>
      <c r="P858">
        <v>-27.869900000000001</v>
      </c>
      <c r="R858" s="1">
        <v>45209</v>
      </c>
      <c r="S858">
        <v>-1.1485000000000001</v>
      </c>
      <c r="U858" s="1">
        <v>45209</v>
      </c>
      <c r="V858">
        <v>9.6305999999999994</v>
      </c>
      <c r="BL858" s="1"/>
    </row>
    <row r="859" spans="15:64">
      <c r="O859" s="1">
        <v>45210</v>
      </c>
      <c r="P859">
        <v>-26.9283</v>
      </c>
      <c r="R859" s="1">
        <v>45210</v>
      </c>
      <c r="S859">
        <v>-0.91459999999999997</v>
      </c>
      <c r="U859" s="1">
        <v>45210</v>
      </c>
      <c r="V859">
        <v>9.2032000000000007</v>
      </c>
      <c r="BL859" s="1"/>
    </row>
    <row r="860" spans="15:64">
      <c r="O860" s="1">
        <v>45211</v>
      </c>
      <c r="P860">
        <v>-26.325600000000001</v>
      </c>
      <c r="R860" s="1">
        <v>45211</v>
      </c>
      <c r="S860">
        <v>-1.1388</v>
      </c>
      <c r="U860" s="1">
        <v>45211</v>
      </c>
      <c r="V860">
        <v>9.5899000000000001</v>
      </c>
      <c r="BL860" s="1"/>
    </row>
    <row r="861" spans="15:64">
      <c r="O861" s="1">
        <v>45212</v>
      </c>
      <c r="P861">
        <v>-26.890599999999999</v>
      </c>
      <c r="R861" s="1">
        <v>45212</v>
      </c>
      <c r="S861">
        <v>-2.6665000000000001</v>
      </c>
      <c r="U861" s="1">
        <v>45212</v>
      </c>
      <c r="V861">
        <v>9.4269999999999996</v>
      </c>
      <c r="BL861" s="1"/>
    </row>
    <row r="862" spans="15:64">
      <c r="O862" s="1">
        <v>45213</v>
      </c>
      <c r="P862">
        <v>-26.890599999999999</v>
      </c>
      <c r="R862" s="1">
        <v>45213</v>
      </c>
      <c r="S862">
        <v>-2.6665000000000001</v>
      </c>
      <c r="U862" s="1">
        <v>45213</v>
      </c>
      <c r="V862">
        <v>9.4269999999999996</v>
      </c>
      <c r="BL862" s="1"/>
    </row>
    <row r="863" spans="15:64">
      <c r="O863" s="1">
        <v>45214</v>
      </c>
      <c r="P863">
        <v>-26.890599999999999</v>
      </c>
      <c r="R863" s="1">
        <v>45214</v>
      </c>
      <c r="S863">
        <v>-2.6665000000000001</v>
      </c>
      <c r="U863" s="1">
        <v>45214</v>
      </c>
      <c r="V863">
        <v>9.4269999999999996</v>
      </c>
      <c r="BL863" s="1"/>
    </row>
    <row r="864" spans="15:64">
      <c r="O864" s="1">
        <v>45215</v>
      </c>
      <c r="P864">
        <v>-26.815300000000001</v>
      </c>
      <c r="R864" s="1">
        <v>45215</v>
      </c>
      <c r="S864">
        <v>-2.3374999999999999</v>
      </c>
      <c r="U864" s="1">
        <v>45215</v>
      </c>
      <c r="V864">
        <v>10.220700000000001</v>
      </c>
      <c r="BL864" s="1"/>
    </row>
    <row r="865" spans="15:64">
      <c r="O865" s="1">
        <v>45216</v>
      </c>
      <c r="P865">
        <v>-27.5686</v>
      </c>
      <c r="R865" s="1">
        <v>45216</v>
      </c>
      <c r="S865">
        <v>-2.2496999999999998</v>
      </c>
      <c r="U865" s="1">
        <v>45216</v>
      </c>
      <c r="V865">
        <v>9.7729999999999997</v>
      </c>
      <c r="BL865" s="1"/>
    </row>
    <row r="866" spans="15:64">
      <c r="O866" s="1">
        <v>45217</v>
      </c>
      <c r="P866">
        <v>-27.530899999999999</v>
      </c>
      <c r="R866" s="1">
        <v>45217</v>
      </c>
      <c r="S866">
        <v>-3.2545999999999999</v>
      </c>
      <c r="U866" s="1">
        <v>45217</v>
      </c>
      <c r="V866">
        <v>9.4269999999999996</v>
      </c>
      <c r="BL866" s="1"/>
    </row>
    <row r="867" spans="15:64">
      <c r="O867" s="1">
        <v>45218</v>
      </c>
      <c r="P867">
        <v>-29.4895</v>
      </c>
      <c r="R867" s="1">
        <v>45218</v>
      </c>
      <c r="S867">
        <v>-3.573</v>
      </c>
      <c r="U867" s="1">
        <v>45218</v>
      </c>
      <c r="V867">
        <v>8.5113000000000003</v>
      </c>
      <c r="BL867" s="1"/>
    </row>
    <row r="868" spans="15:64">
      <c r="O868" s="1">
        <v>45219</v>
      </c>
      <c r="P868">
        <v>-31.3352</v>
      </c>
      <c r="R868" s="1">
        <v>45219</v>
      </c>
      <c r="S868">
        <v>-5.1544999999999996</v>
      </c>
      <c r="U868" s="1">
        <v>45219</v>
      </c>
      <c r="V868">
        <v>7.7176</v>
      </c>
      <c r="BL868" s="1"/>
    </row>
    <row r="869" spans="15:64">
      <c r="O869" s="1">
        <v>45220</v>
      </c>
      <c r="P869">
        <v>-31.3352</v>
      </c>
      <c r="R869" s="1">
        <v>45220</v>
      </c>
      <c r="S869">
        <v>-5.1544999999999996</v>
      </c>
      <c r="U869" s="1">
        <v>45220</v>
      </c>
      <c r="V869">
        <v>7.7176</v>
      </c>
      <c r="BL869" s="1"/>
    </row>
    <row r="870" spans="15:64">
      <c r="O870" s="1">
        <v>45221</v>
      </c>
      <c r="P870">
        <v>-31.3352</v>
      </c>
      <c r="R870" s="1">
        <v>45221</v>
      </c>
      <c r="S870">
        <v>-5.1544999999999996</v>
      </c>
      <c r="U870" s="1">
        <v>45221</v>
      </c>
      <c r="V870">
        <v>7.7176</v>
      </c>
      <c r="BL870" s="1"/>
    </row>
    <row r="871" spans="15:64">
      <c r="O871" s="1">
        <v>45222</v>
      </c>
      <c r="P871">
        <v>-31.787199999999999</v>
      </c>
      <c r="R871" s="1">
        <v>45222</v>
      </c>
      <c r="S871">
        <v>-5.1401000000000003</v>
      </c>
      <c r="U871" s="1">
        <v>45222</v>
      </c>
      <c r="V871">
        <v>6.2319000000000004</v>
      </c>
      <c r="BL871" s="1"/>
    </row>
    <row r="872" spans="15:64">
      <c r="O872" s="1">
        <v>45223</v>
      </c>
      <c r="P872">
        <v>-32.766500000000001</v>
      </c>
      <c r="R872" s="1">
        <v>45223</v>
      </c>
      <c r="S872">
        <v>-4.6322999999999999</v>
      </c>
      <c r="U872" s="1">
        <v>45223</v>
      </c>
      <c r="V872">
        <v>7.8803999999999998</v>
      </c>
      <c r="BL872" s="1"/>
    </row>
    <row r="873" spans="15:64">
      <c r="O873" s="1">
        <v>45224</v>
      </c>
      <c r="P873">
        <v>-33.143099999999997</v>
      </c>
      <c r="R873" s="1">
        <v>45224</v>
      </c>
      <c r="S873">
        <v>-4.5538999999999996</v>
      </c>
      <c r="U873" s="1">
        <v>45224</v>
      </c>
      <c r="V873">
        <v>6.6390000000000002</v>
      </c>
      <c r="BL873" s="1"/>
    </row>
    <row r="874" spans="15:64">
      <c r="O874" s="1">
        <v>45225</v>
      </c>
      <c r="P874">
        <v>-28.962199999999999</v>
      </c>
      <c r="R874" s="1">
        <v>45225</v>
      </c>
      <c r="S874">
        <v>-5.5865999999999998</v>
      </c>
      <c r="U874" s="1">
        <v>45225</v>
      </c>
      <c r="V874">
        <v>4.5427999999999997</v>
      </c>
      <c r="BL874" s="1"/>
    </row>
    <row r="875" spans="15:64">
      <c r="O875" s="1">
        <v>45226</v>
      </c>
      <c r="P875">
        <v>-28.8492</v>
      </c>
      <c r="R875" s="1">
        <v>45226</v>
      </c>
      <c r="S875">
        <v>-5.8662999999999998</v>
      </c>
      <c r="U875" s="1">
        <v>45226</v>
      </c>
      <c r="V875">
        <v>4.9295</v>
      </c>
      <c r="BL875" s="1"/>
    </row>
    <row r="876" spans="15:64">
      <c r="O876" s="1">
        <v>45227</v>
      </c>
      <c r="P876">
        <v>-28.8492</v>
      </c>
      <c r="R876" s="1">
        <v>45227</v>
      </c>
      <c r="S876">
        <v>-5.8662999999999998</v>
      </c>
      <c r="U876" s="1">
        <v>45227</v>
      </c>
      <c r="V876">
        <v>4.9295</v>
      </c>
      <c r="BL876" s="1"/>
    </row>
    <row r="877" spans="15:64">
      <c r="O877" s="1">
        <v>45228</v>
      </c>
      <c r="P877">
        <v>-28.8492</v>
      </c>
      <c r="R877" s="1">
        <v>45228</v>
      </c>
      <c r="S877">
        <v>-5.8662999999999998</v>
      </c>
      <c r="U877" s="1">
        <v>45228</v>
      </c>
      <c r="V877">
        <v>4.9295</v>
      </c>
      <c r="BL877" s="1"/>
    </row>
    <row r="878" spans="15:64">
      <c r="O878" s="1">
        <v>45229</v>
      </c>
      <c r="P878">
        <v>-29.715499999999999</v>
      </c>
      <c r="R878" s="1">
        <v>45229</v>
      </c>
      <c r="S878">
        <v>-5.6795999999999998</v>
      </c>
      <c r="U878" s="1">
        <v>45229</v>
      </c>
      <c r="V878">
        <v>4.9497999999999998</v>
      </c>
      <c r="BL878" s="1"/>
    </row>
    <row r="879" spans="15:64">
      <c r="O879" s="1">
        <v>45230</v>
      </c>
      <c r="P879">
        <v>-29.979199999999999</v>
      </c>
      <c r="R879" s="1">
        <v>45230</v>
      </c>
      <c r="S879">
        <v>-5.0784000000000002</v>
      </c>
      <c r="U879" s="1">
        <v>45230</v>
      </c>
      <c r="V879">
        <v>6.0895000000000001</v>
      </c>
      <c r="BL879" s="1"/>
    </row>
    <row r="880" spans="15:64">
      <c r="O880" s="1">
        <v>45231</v>
      </c>
      <c r="P880">
        <v>-30.506499999999999</v>
      </c>
      <c r="R880" s="1">
        <v>45231</v>
      </c>
      <c r="S880">
        <v>-4.3545999999999996</v>
      </c>
      <c r="U880" s="1">
        <v>45231</v>
      </c>
      <c r="V880">
        <v>6.2115999999999998</v>
      </c>
      <c r="BL880" s="1"/>
    </row>
    <row r="881" spans="15:64">
      <c r="O881" s="1">
        <v>45232</v>
      </c>
      <c r="P881">
        <v>-29.527200000000001</v>
      </c>
      <c r="R881" s="1">
        <v>45232</v>
      </c>
      <c r="S881">
        <v>-2.9424999999999999</v>
      </c>
      <c r="U881" s="1">
        <v>45232</v>
      </c>
      <c r="V881">
        <v>7.3512000000000004</v>
      </c>
      <c r="BL881" s="1"/>
    </row>
    <row r="882" spans="15:64">
      <c r="O882" s="1">
        <v>45233</v>
      </c>
      <c r="P882">
        <v>-28.321899999999999</v>
      </c>
      <c r="R882" s="1">
        <v>45233</v>
      </c>
      <c r="S882">
        <v>-2.6499000000000001</v>
      </c>
      <c r="U882" s="1">
        <v>45233</v>
      </c>
      <c r="V882">
        <v>7.8803999999999998</v>
      </c>
      <c r="BL882" s="1"/>
    </row>
    <row r="883" spans="15:64">
      <c r="O883" s="1">
        <v>45234</v>
      </c>
      <c r="P883">
        <v>-28.321899999999999</v>
      </c>
      <c r="R883" s="1">
        <v>45234</v>
      </c>
      <c r="S883">
        <v>-2.6499000000000001</v>
      </c>
      <c r="U883" s="1">
        <v>45234</v>
      </c>
      <c r="V883">
        <v>7.8803999999999998</v>
      </c>
      <c r="BL883" s="1"/>
    </row>
    <row r="884" spans="15:64">
      <c r="O884" s="1">
        <v>45235</v>
      </c>
      <c r="P884">
        <v>-28.321899999999999</v>
      </c>
      <c r="R884" s="1">
        <v>45235</v>
      </c>
      <c r="S884">
        <v>-2.6499000000000001</v>
      </c>
      <c r="U884" s="1">
        <v>45235</v>
      </c>
      <c r="V884">
        <v>7.8803999999999998</v>
      </c>
      <c r="BL884" s="1"/>
    </row>
    <row r="885" spans="15:64">
      <c r="O885" s="1">
        <v>45236</v>
      </c>
      <c r="P885">
        <v>-28.623200000000001</v>
      </c>
      <c r="R885" s="1">
        <v>45236</v>
      </c>
      <c r="S885">
        <v>-2.9914000000000001</v>
      </c>
      <c r="U885" s="1">
        <v>45236</v>
      </c>
      <c r="V885">
        <v>8.4502000000000006</v>
      </c>
      <c r="BL885" s="1"/>
    </row>
    <row r="886" spans="15:64">
      <c r="O886" s="1">
        <v>45237</v>
      </c>
      <c r="P886">
        <v>-30.0169</v>
      </c>
      <c r="R886" s="1">
        <v>45237</v>
      </c>
      <c r="S886">
        <v>-2.8845999999999998</v>
      </c>
      <c r="U886" s="1">
        <v>45237</v>
      </c>
      <c r="V886">
        <v>8.1245999999999992</v>
      </c>
      <c r="BL886" s="1"/>
    </row>
    <row r="887" spans="15:64">
      <c r="O887" s="1">
        <v>45238</v>
      </c>
      <c r="P887">
        <v>-28.7362</v>
      </c>
      <c r="R887" s="1">
        <v>45238</v>
      </c>
      <c r="S887">
        <v>-2.3913000000000002</v>
      </c>
      <c r="U887" s="1">
        <v>45238</v>
      </c>
      <c r="V887">
        <v>7.86</v>
      </c>
      <c r="BL887" s="1"/>
    </row>
    <row r="888" spans="15:64">
      <c r="O888" s="1">
        <v>45239</v>
      </c>
      <c r="P888">
        <v>-28.660900000000002</v>
      </c>
      <c r="R888" s="1">
        <v>45239</v>
      </c>
      <c r="S888">
        <v>-1.6033999999999999</v>
      </c>
      <c r="U888" s="1">
        <v>45239</v>
      </c>
      <c r="V888">
        <v>5.8249000000000004</v>
      </c>
      <c r="BL888" s="1"/>
    </row>
    <row r="889" spans="15:64">
      <c r="O889" s="1">
        <v>45240</v>
      </c>
      <c r="P889">
        <v>-29.6402</v>
      </c>
      <c r="R889" s="1">
        <v>45240</v>
      </c>
      <c r="S889">
        <v>-2.3605999999999998</v>
      </c>
      <c r="U889" s="1">
        <v>45240</v>
      </c>
      <c r="V889">
        <v>7.0255999999999998</v>
      </c>
      <c r="BL889" s="1"/>
    </row>
    <row r="890" spans="15:64">
      <c r="O890" s="1">
        <v>45241</v>
      </c>
      <c r="P890">
        <v>-29.6402</v>
      </c>
      <c r="R890" s="1">
        <v>45241</v>
      </c>
      <c r="S890">
        <v>-2.3605999999999998</v>
      </c>
      <c r="U890" s="1">
        <v>45241</v>
      </c>
      <c r="V890">
        <v>7.0255999999999998</v>
      </c>
      <c r="BL890" s="1"/>
    </row>
    <row r="891" spans="15:64">
      <c r="O891" s="1">
        <v>45242</v>
      </c>
      <c r="P891">
        <v>-29.6402</v>
      </c>
      <c r="R891" s="1">
        <v>45242</v>
      </c>
      <c r="S891">
        <v>-2.3605999999999998</v>
      </c>
      <c r="U891" s="1">
        <v>45242</v>
      </c>
      <c r="V891">
        <v>7.0255999999999998</v>
      </c>
      <c r="BL891" s="1"/>
    </row>
    <row r="892" spans="15:64">
      <c r="O892" s="1">
        <v>45243</v>
      </c>
      <c r="P892">
        <v>-29.7532</v>
      </c>
      <c r="R892" s="1">
        <v>45243</v>
      </c>
      <c r="S892">
        <v>-1.6516999999999999</v>
      </c>
      <c r="U892" s="1">
        <v>45243</v>
      </c>
      <c r="V892">
        <v>6.2930000000000001</v>
      </c>
      <c r="BL892" s="1"/>
    </row>
    <row r="893" spans="15:64">
      <c r="O893" s="1">
        <v>45244</v>
      </c>
      <c r="P893">
        <v>-28.547899999999998</v>
      </c>
      <c r="R893" s="1">
        <v>45244</v>
      </c>
      <c r="S893">
        <v>7.51E-2</v>
      </c>
      <c r="U893" s="1">
        <v>45244</v>
      </c>
      <c r="V893">
        <v>8.2059999999999995</v>
      </c>
      <c r="BL893" s="1"/>
    </row>
    <row r="894" spans="15:64">
      <c r="O894" s="1">
        <v>45245</v>
      </c>
      <c r="P894">
        <v>-27.380299999999998</v>
      </c>
      <c r="R894" s="1">
        <v>45245</v>
      </c>
      <c r="S894">
        <v>0.93230000000000002</v>
      </c>
      <c r="U894" s="1">
        <v>45245</v>
      </c>
      <c r="V894">
        <v>8.4298999999999999</v>
      </c>
      <c r="BL894" s="1"/>
    </row>
    <row r="895" spans="15:64">
      <c r="O895" s="1">
        <v>45246</v>
      </c>
      <c r="P895">
        <v>-29.037600000000001</v>
      </c>
      <c r="R895" s="1">
        <v>45246</v>
      </c>
      <c r="S895">
        <v>1.1786000000000001</v>
      </c>
      <c r="U895" s="1">
        <v>45246</v>
      </c>
      <c r="V895">
        <v>-2.234</v>
      </c>
      <c r="BL895" s="1"/>
    </row>
    <row r="896" spans="15:64">
      <c r="O896" s="1">
        <v>45247</v>
      </c>
      <c r="P896">
        <v>-28.3596</v>
      </c>
      <c r="R896" s="1">
        <v>45247</v>
      </c>
      <c r="S896">
        <v>2.0282</v>
      </c>
      <c r="U896" s="1">
        <v>45247</v>
      </c>
      <c r="V896">
        <v>-2.8140000000000001</v>
      </c>
      <c r="BL896" s="1"/>
    </row>
    <row r="897" spans="15:64">
      <c r="O897" s="1">
        <v>45248</v>
      </c>
      <c r="P897">
        <v>-28.3596</v>
      </c>
      <c r="R897" s="1">
        <v>45248</v>
      </c>
      <c r="S897">
        <v>2.0282</v>
      </c>
      <c r="U897" s="1">
        <v>45248</v>
      </c>
      <c r="V897">
        <v>-2.8140000000000001</v>
      </c>
      <c r="BL897" s="1"/>
    </row>
    <row r="898" spans="15:64">
      <c r="O898" s="1">
        <v>45249</v>
      </c>
      <c r="P898">
        <v>-28.3596</v>
      </c>
      <c r="R898" s="1">
        <v>45249</v>
      </c>
      <c r="S898">
        <v>2.0282</v>
      </c>
      <c r="U898" s="1">
        <v>45249</v>
      </c>
      <c r="V898">
        <v>-2.8140000000000001</v>
      </c>
      <c r="BL898" s="1"/>
    </row>
    <row r="899" spans="15:64">
      <c r="O899" s="1">
        <v>45250</v>
      </c>
      <c r="P899">
        <v>-27.5686</v>
      </c>
      <c r="R899" s="1">
        <v>45250</v>
      </c>
      <c r="S899">
        <v>1.9138999999999999</v>
      </c>
      <c r="U899" s="1">
        <v>45250</v>
      </c>
      <c r="V899">
        <v>-1.766</v>
      </c>
      <c r="BL899" s="1"/>
    </row>
    <row r="900" spans="15:64">
      <c r="O900" s="1">
        <v>45251</v>
      </c>
      <c r="P900">
        <v>-28.585599999999999</v>
      </c>
      <c r="R900" s="1">
        <v>45251</v>
      </c>
      <c r="S900">
        <v>1.9088000000000001</v>
      </c>
      <c r="U900" s="1">
        <v>45251</v>
      </c>
      <c r="V900">
        <v>-2.7225000000000001</v>
      </c>
      <c r="BL900" s="1"/>
    </row>
    <row r="901" spans="15:64">
      <c r="O901" s="1">
        <v>45252</v>
      </c>
      <c r="P901">
        <v>-28.246600000000001</v>
      </c>
      <c r="R901" s="1">
        <v>45252</v>
      </c>
      <c r="S901">
        <v>2.2759999999999998</v>
      </c>
      <c r="U901" s="1">
        <v>45252</v>
      </c>
      <c r="V901">
        <v>-2.1526000000000001</v>
      </c>
      <c r="BL901" s="1"/>
    </row>
    <row r="902" spans="15:64">
      <c r="O902" s="1">
        <v>45253</v>
      </c>
      <c r="P902">
        <v>-26.965900000000001</v>
      </c>
      <c r="R902" s="1">
        <v>45253</v>
      </c>
      <c r="S902">
        <v>2.5125000000000002</v>
      </c>
      <c r="U902" s="1">
        <v>45253</v>
      </c>
      <c r="V902">
        <v>-2.1526000000000001</v>
      </c>
      <c r="BL902" s="1"/>
    </row>
    <row r="903" spans="15:64">
      <c r="O903" s="1">
        <v>45254</v>
      </c>
      <c r="P903">
        <v>-26.0243</v>
      </c>
      <c r="R903" s="1">
        <v>45254</v>
      </c>
      <c r="S903">
        <v>2.7353000000000001</v>
      </c>
      <c r="U903" s="1">
        <v>45254</v>
      </c>
      <c r="V903">
        <v>-1.5828</v>
      </c>
      <c r="BL903" s="1"/>
    </row>
    <row r="904" spans="15:64">
      <c r="O904" s="1">
        <v>45255</v>
      </c>
      <c r="P904">
        <v>-26.0243</v>
      </c>
      <c r="R904" s="1">
        <v>45255</v>
      </c>
      <c r="S904">
        <v>2.7353000000000001</v>
      </c>
      <c r="U904" s="1">
        <v>45255</v>
      </c>
      <c r="V904">
        <v>-1.5828</v>
      </c>
      <c r="BL904" s="1"/>
    </row>
    <row r="905" spans="15:64">
      <c r="O905" s="1">
        <v>45256</v>
      </c>
      <c r="P905">
        <v>-26.0243</v>
      </c>
      <c r="R905" s="1">
        <v>45256</v>
      </c>
      <c r="S905">
        <v>2.7353000000000001</v>
      </c>
      <c r="U905" s="1">
        <v>45256</v>
      </c>
      <c r="V905">
        <v>-1.5828</v>
      </c>
      <c r="BL905" s="1"/>
    </row>
    <row r="906" spans="15:64">
      <c r="O906" s="1">
        <v>45257</v>
      </c>
      <c r="P906">
        <v>-25.61</v>
      </c>
      <c r="R906" s="1">
        <v>45257</v>
      </c>
      <c r="S906">
        <v>2.3307000000000002</v>
      </c>
      <c r="U906" s="1">
        <v>45257</v>
      </c>
      <c r="V906">
        <v>-2.4579</v>
      </c>
      <c r="BL906" s="1"/>
    </row>
    <row r="907" spans="15:64">
      <c r="O907" s="1">
        <v>45258</v>
      </c>
      <c r="P907">
        <v>-24.818999999999999</v>
      </c>
      <c r="R907" s="1">
        <v>45258</v>
      </c>
      <c r="S907">
        <v>2.4992999999999999</v>
      </c>
      <c r="U907" s="1">
        <v>45258</v>
      </c>
      <c r="V907">
        <v>-2.6206999999999998</v>
      </c>
      <c r="BL907" s="1"/>
    </row>
    <row r="908" spans="15:64">
      <c r="O908" s="1">
        <v>45259</v>
      </c>
      <c r="P908">
        <v>-24.668299999999999</v>
      </c>
      <c r="R908" s="1">
        <v>45259</v>
      </c>
      <c r="S908">
        <v>3.6131000000000002</v>
      </c>
      <c r="U908" s="1">
        <v>45259</v>
      </c>
      <c r="V908">
        <v>-2.2136999999999998</v>
      </c>
      <c r="BL908" s="1"/>
    </row>
    <row r="909" spans="15:64">
      <c r="O909" s="1">
        <v>45260</v>
      </c>
      <c r="P909">
        <v>-25.534600000000001</v>
      </c>
      <c r="R909" s="1">
        <v>45260</v>
      </c>
      <c r="S909">
        <v>3.927</v>
      </c>
      <c r="U909" s="1">
        <v>45260</v>
      </c>
      <c r="V909">
        <v>-1.5421</v>
      </c>
      <c r="BL909" s="1"/>
    </row>
    <row r="910" spans="15:64">
      <c r="O910" s="1">
        <v>45261</v>
      </c>
      <c r="P910">
        <v>-24.0657</v>
      </c>
      <c r="R910" s="1">
        <v>45261</v>
      </c>
      <c r="S910">
        <v>5.0941000000000001</v>
      </c>
      <c r="U910" s="1">
        <v>45261</v>
      </c>
      <c r="V910">
        <v>-1.359</v>
      </c>
      <c r="BL910" s="1"/>
    </row>
    <row r="911" spans="15:64">
      <c r="O911" s="1">
        <v>45262</v>
      </c>
      <c r="P911">
        <v>-24.0657</v>
      </c>
      <c r="R911" s="1">
        <v>45262</v>
      </c>
      <c r="S911">
        <v>5.0941000000000001</v>
      </c>
      <c r="U911" s="1">
        <v>45262</v>
      </c>
      <c r="V911">
        <v>-1.359</v>
      </c>
      <c r="BL911" s="1"/>
    </row>
    <row r="912" spans="15:64">
      <c r="O912" s="1">
        <v>45263</v>
      </c>
      <c r="P912">
        <v>-24.0657</v>
      </c>
      <c r="R912" s="1">
        <v>45263</v>
      </c>
      <c r="S912">
        <v>5.0941000000000001</v>
      </c>
      <c r="U912" s="1">
        <v>45263</v>
      </c>
      <c r="V912">
        <v>-1.359</v>
      </c>
      <c r="BL912" s="1"/>
    </row>
    <row r="913" spans="15:64">
      <c r="O913" s="1">
        <v>45264</v>
      </c>
      <c r="P913">
        <v>-23.5383</v>
      </c>
      <c r="R913" s="1">
        <v>45264</v>
      </c>
      <c r="S913">
        <v>5.1405000000000003</v>
      </c>
      <c r="U913" s="1">
        <v>45264</v>
      </c>
      <c r="V913">
        <v>-2.2136999999999998</v>
      </c>
      <c r="BL913" s="1"/>
    </row>
    <row r="914" spans="15:64">
      <c r="O914" s="1">
        <v>45265</v>
      </c>
      <c r="P914">
        <v>-22.860399999999998</v>
      </c>
      <c r="R914" s="1">
        <v>45265</v>
      </c>
      <c r="S914">
        <v>5.9630999999999998</v>
      </c>
      <c r="U914" s="1">
        <v>45265</v>
      </c>
      <c r="V914">
        <v>-2.4579</v>
      </c>
      <c r="BL914" s="1"/>
    </row>
    <row r="915" spans="15:64">
      <c r="O915" s="1">
        <v>45266</v>
      </c>
      <c r="P915">
        <v>-22.2577</v>
      </c>
      <c r="R915" s="1">
        <v>45266</v>
      </c>
      <c r="S915">
        <v>6.7534999999999998</v>
      </c>
      <c r="U915" s="1">
        <v>45266</v>
      </c>
      <c r="V915">
        <v>-2.9260000000000002</v>
      </c>
      <c r="BL915" s="1"/>
    </row>
    <row r="916" spans="15:64">
      <c r="O916" s="1">
        <v>45267</v>
      </c>
      <c r="P916">
        <v>-22.785</v>
      </c>
      <c r="R916" s="1">
        <v>45267</v>
      </c>
      <c r="S916">
        <v>6.5776000000000003</v>
      </c>
      <c r="U916" s="1">
        <v>45267</v>
      </c>
      <c r="V916">
        <v>-1.7863</v>
      </c>
      <c r="BL916" s="1"/>
    </row>
    <row r="917" spans="15:64">
      <c r="O917" s="1">
        <v>45268</v>
      </c>
      <c r="P917">
        <v>-21.805700000000002</v>
      </c>
      <c r="R917" s="1">
        <v>45268</v>
      </c>
      <c r="S917">
        <v>7.4122000000000003</v>
      </c>
      <c r="U917" s="1">
        <v>45268</v>
      </c>
      <c r="V917">
        <v>-1.5421</v>
      </c>
      <c r="BL917" s="1"/>
    </row>
    <row r="918" spans="15:64">
      <c r="O918" s="1">
        <v>45269</v>
      </c>
      <c r="P918">
        <v>-21.805700000000002</v>
      </c>
      <c r="R918" s="1">
        <v>45269</v>
      </c>
      <c r="S918">
        <v>7.4122000000000003</v>
      </c>
      <c r="U918" s="1">
        <v>45269</v>
      </c>
      <c r="V918">
        <v>-1.5421</v>
      </c>
      <c r="BL918" s="1"/>
    </row>
    <row r="919" spans="15:64">
      <c r="O919" s="1">
        <v>45270</v>
      </c>
      <c r="P919">
        <v>-21.805700000000002</v>
      </c>
      <c r="R919" s="1">
        <v>45270</v>
      </c>
      <c r="S919">
        <v>7.4122000000000003</v>
      </c>
      <c r="U919" s="1">
        <v>45270</v>
      </c>
      <c r="V919">
        <v>-1.5421</v>
      </c>
      <c r="BL919" s="1"/>
    </row>
    <row r="920" spans="15:64">
      <c r="O920" s="1">
        <v>45271</v>
      </c>
      <c r="P920">
        <v>-21.655000000000001</v>
      </c>
      <c r="R920" s="1">
        <v>45271</v>
      </c>
      <c r="S920">
        <v>7.6379000000000001</v>
      </c>
      <c r="U920" s="1">
        <v>45271</v>
      </c>
      <c r="V920">
        <v>0.51329999999999998</v>
      </c>
      <c r="BL920" s="1"/>
    </row>
    <row r="921" spans="15:64">
      <c r="O921" s="1">
        <v>45272</v>
      </c>
      <c r="P921">
        <v>-22.785</v>
      </c>
      <c r="R921" s="1">
        <v>45272</v>
      </c>
      <c r="S921">
        <v>7.6207000000000003</v>
      </c>
      <c r="U921" s="1">
        <v>45272</v>
      </c>
      <c r="V921">
        <v>0.39119999999999999</v>
      </c>
      <c r="BL921" s="1"/>
    </row>
    <row r="922" spans="15:64">
      <c r="O922" s="1">
        <v>45273</v>
      </c>
      <c r="P922">
        <v>-22.4084</v>
      </c>
      <c r="R922" s="1">
        <v>45273</v>
      </c>
      <c r="S922">
        <v>7.4560000000000004</v>
      </c>
      <c r="U922" s="1">
        <v>45273</v>
      </c>
      <c r="V922">
        <v>1.1238999999999999</v>
      </c>
      <c r="BL922" s="1"/>
    </row>
    <row r="923" spans="15:64">
      <c r="O923" s="1">
        <v>45274</v>
      </c>
      <c r="P923">
        <v>-20.9771</v>
      </c>
      <c r="R923" s="1">
        <v>45274</v>
      </c>
      <c r="S923">
        <v>7.3673999999999999</v>
      </c>
      <c r="U923" s="1">
        <v>45274</v>
      </c>
      <c r="V923">
        <v>0.61509999999999998</v>
      </c>
      <c r="BL923" s="1"/>
    </row>
    <row r="924" spans="15:64">
      <c r="O924" s="1">
        <v>45275</v>
      </c>
      <c r="P924">
        <v>-20.751100000000001</v>
      </c>
      <c r="R924" s="1">
        <v>45275</v>
      </c>
      <c r="S924">
        <v>7.3624000000000001</v>
      </c>
      <c r="U924" s="1">
        <v>45275</v>
      </c>
      <c r="V924">
        <v>1.4902</v>
      </c>
      <c r="BL924" s="1"/>
    </row>
    <row r="925" spans="15:64">
      <c r="O925" s="1">
        <v>45276</v>
      </c>
      <c r="P925">
        <v>-20.751100000000001</v>
      </c>
      <c r="R925" s="1">
        <v>45276</v>
      </c>
      <c r="S925">
        <v>7.3624000000000001</v>
      </c>
      <c r="U925" s="1">
        <v>45276</v>
      </c>
      <c r="V925">
        <v>1.4902</v>
      </c>
      <c r="BL925" s="1"/>
    </row>
    <row r="926" spans="15:64">
      <c r="O926" s="1">
        <v>45277</v>
      </c>
      <c r="P926">
        <v>-20.751100000000001</v>
      </c>
      <c r="R926" s="1">
        <v>45277</v>
      </c>
      <c r="S926">
        <v>7.3624000000000001</v>
      </c>
      <c r="U926" s="1">
        <v>45277</v>
      </c>
      <c r="V926">
        <v>1.4902</v>
      </c>
      <c r="BL926" s="1"/>
    </row>
    <row r="927" spans="15:64">
      <c r="O927" s="1">
        <v>45278</v>
      </c>
      <c r="P927">
        <v>-19.9224</v>
      </c>
      <c r="R927" s="1">
        <v>45278</v>
      </c>
      <c r="S927">
        <v>6.7157999999999998</v>
      </c>
      <c r="U927" s="1">
        <v>45278</v>
      </c>
      <c r="V927">
        <v>2.2431999999999999</v>
      </c>
      <c r="BL927" s="1"/>
    </row>
    <row r="928" spans="15:64">
      <c r="O928" s="1">
        <v>45279</v>
      </c>
      <c r="P928">
        <v>-19.771799999999999</v>
      </c>
      <c r="R928" s="1">
        <v>45279</v>
      </c>
      <c r="S928">
        <v>7.3173000000000004</v>
      </c>
      <c r="U928" s="1">
        <v>45279</v>
      </c>
      <c r="V928">
        <v>2.1211000000000002</v>
      </c>
      <c r="BL928" s="1"/>
    </row>
    <row r="929" spans="15:64">
      <c r="O929" s="1">
        <v>45280</v>
      </c>
      <c r="P929">
        <v>-18.491099999999999</v>
      </c>
      <c r="R929" s="1">
        <v>45280</v>
      </c>
      <c r="S929">
        <v>7.2445000000000004</v>
      </c>
      <c r="U929" s="1">
        <v>45280</v>
      </c>
      <c r="V929">
        <v>1.3476999999999999</v>
      </c>
      <c r="BL929" s="1"/>
    </row>
    <row r="930" spans="15:64">
      <c r="O930" s="1">
        <v>45281</v>
      </c>
      <c r="P930">
        <v>-18.943100000000001</v>
      </c>
      <c r="R930" s="1">
        <v>45281</v>
      </c>
      <c r="S930">
        <v>6.9520999999999997</v>
      </c>
      <c r="U930" s="1">
        <v>45281</v>
      </c>
      <c r="V930">
        <v>1.1442000000000001</v>
      </c>
      <c r="BL930" s="1"/>
    </row>
    <row r="931" spans="15:64">
      <c r="O931" s="1">
        <v>45282</v>
      </c>
      <c r="P931">
        <v>-18.340499999999999</v>
      </c>
      <c r="R931" s="1">
        <v>45282</v>
      </c>
      <c r="S931">
        <v>7.0723000000000003</v>
      </c>
      <c r="U931" s="1">
        <v>45282</v>
      </c>
      <c r="V931">
        <v>1.9379</v>
      </c>
      <c r="BL931" s="1"/>
    </row>
    <row r="932" spans="15:64">
      <c r="O932" s="1">
        <v>45283</v>
      </c>
      <c r="P932">
        <v>-18.340499999999999</v>
      </c>
      <c r="R932" s="1">
        <v>45283</v>
      </c>
      <c r="S932">
        <v>7.0723000000000003</v>
      </c>
      <c r="U932" s="1">
        <v>45283</v>
      </c>
      <c r="V932">
        <v>1.9379</v>
      </c>
      <c r="BL932" s="1"/>
    </row>
    <row r="933" spans="15:64">
      <c r="O933" s="1">
        <v>45284</v>
      </c>
      <c r="P933">
        <v>-18.340499999999999</v>
      </c>
      <c r="R933" s="1">
        <v>45284</v>
      </c>
      <c r="S933">
        <v>7.0723000000000003</v>
      </c>
      <c r="U933" s="1">
        <v>45284</v>
      </c>
      <c r="V933">
        <v>1.9379</v>
      </c>
      <c r="BL933" s="1"/>
    </row>
    <row r="934" spans="15:64">
      <c r="O934" s="1">
        <v>45285</v>
      </c>
      <c r="P934">
        <v>-18.340499999999999</v>
      </c>
      <c r="R934" s="1">
        <v>45285</v>
      </c>
      <c r="S934">
        <v>7.0723000000000003</v>
      </c>
      <c r="U934" s="1">
        <v>45285</v>
      </c>
      <c r="V934">
        <v>1.9379</v>
      </c>
      <c r="BL934" s="1"/>
    </row>
    <row r="935" spans="15:64">
      <c r="O935" s="1">
        <v>45286</v>
      </c>
      <c r="P935">
        <v>-18.340499999999999</v>
      </c>
      <c r="R935" s="1">
        <v>45286</v>
      </c>
      <c r="S935">
        <v>7.0723000000000003</v>
      </c>
      <c r="U935" s="1">
        <v>45286</v>
      </c>
      <c r="V935">
        <v>2.3246000000000002</v>
      </c>
      <c r="BL935" s="1"/>
    </row>
    <row r="936" spans="15:64">
      <c r="O936" s="1">
        <v>45287</v>
      </c>
      <c r="P936">
        <v>-17.662500000000001</v>
      </c>
      <c r="R936" s="1">
        <v>45287</v>
      </c>
      <c r="S936">
        <v>7.3022999999999998</v>
      </c>
      <c r="U936" s="1">
        <v>45287</v>
      </c>
      <c r="V936">
        <v>2.6501999999999999</v>
      </c>
      <c r="BL936" s="1"/>
    </row>
    <row r="937" spans="15:64">
      <c r="O937" s="1">
        <v>45288</v>
      </c>
      <c r="P937">
        <v>-18.491099999999999</v>
      </c>
      <c r="R937" s="1">
        <v>45288</v>
      </c>
      <c r="S937">
        <v>7.0426000000000002</v>
      </c>
      <c r="U937" s="1">
        <v>45288</v>
      </c>
      <c r="V937">
        <v>2.7315999999999998</v>
      </c>
      <c r="BL937" s="1"/>
    </row>
    <row r="938" spans="15:64">
      <c r="O938" s="1">
        <v>45289</v>
      </c>
      <c r="P938">
        <v>-19.696400000000001</v>
      </c>
      <c r="R938" s="1">
        <v>45289</v>
      </c>
      <c r="S938">
        <v>7.3636999999999997</v>
      </c>
      <c r="U938" s="1">
        <v>45289</v>
      </c>
      <c r="V938">
        <v>2.8130000000000002</v>
      </c>
      <c r="BL938" s="1"/>
    </row>
    <row r="939" spans="15:64">
      <c r="O939" s="1">
        <v>45290</v>
      </c>
      <c r="P939">
        <v>-19.696400000000001</v>
      </c>
      <c r="R939" s="1">
        <v>45290</v>
      </c>
      <c r="S939">
        <v>7.3636999999999997</v>
      </c>
      <c r="U939" s="1">
        <v>45290</v>
      </c>
      <c r="V939">
        <v>2.8130000000000002</v>
      </c>
      <c r="BL939" s="1"/>
    </row>
    <row r="940" spans="15:64">
      <c r="O940" s="1">
        <v>45291</v>
      </c>
      <c r="P940">
        <v>-19.696400000000001</v>
      </c>
      <c r="R940" s="1">
        <v>45291</v>
      </c>
      <c r="S940">
        <v>7.3636999999999997</v>
      </c>
      <c r="U940" s="1">
        <v>45291</v>
      </c>
      <c r="V940">
        <v>2.8130000000000002</v>
      </c>
      <c r="BL940" s="1"/>
    </row>
    <row r="941" spans="15:64">
      <c r="O941" s="1">
        <v>45292</v>
      </c>
      <c r="P941">
        <v>-19.696400000000001</v>
      </c>
      <c r="R941" s="1">
        <v>45292</v>
      </c>
      <c r="S941">
        <v>7.3636999999999997</v>
      </c>
      <c r="U941" s="1">
        <v>45292</v>
      </c>
      <c r="V941">
        <v>2.8130000000000002</v>
      </c>
      <c r="BL941" s="1"/>
    </row>
    <row r="942" spans="15:64">
      <c r="O942" s="1">
        <v>45293</v>
      </c>
      <c r="P942">
        <v>-20.299099999999999</v>
      </c>
      <c r="R942" s="1">
        <v>45293</v>
      </c>
      <c r="S942">
        <v>7.4771999999999998</v>
      </c>
      <c r="U942" s="1">
        <v>45293</v>
      </c>
      <c r="V942">
        <v>2.7926000000000002</v>
      </c>
      <c r="BL942" s="1"/>
    </row>
    <row r="943" spans="15:64">
      <c r="O943" s="1">
        <v>45294</v>
      </c>
      <c r="P943">
        <v>-22.935700000000001</v>
      </c>
      <c r="R943" s="1">
        <v>45294</v>
      </c>
      <c r="S943">
        <v>5.9969000000000001</v>
      </c>
      <c r="U943" s="1">
        <v>45294</v>
      </c>
      <c r="V943">
        <v>3.5863</v>
      </c>
      <c r="BL943" s="1"/>
    </row>
    <row r="944" spans="15:64">
      <c r="O944" s="1">
        <v>45295</v>
      </c>
      <c r="P944">
        <v>-22.709700000000002</v>
      </c>
      <c r="R944" s="1">
        <v>45295</v>
      </c>
      <c r="S944">
        <v>6.5026000000000002</v>
      </c>
      <c r="U944" s="1">
        <v>45295</v>
      </c>
      <c r="V944">
        <v>2.7044999999999999</v>
      </c>
      <c r="BL944" s="1"/>
    </row>
    <row r="945" spans="15:64">
      <c r="O945" s="1">
        <v>45296</v>
      </c>
      <c r="P945">
        <v>-22.634399999999999</v>
      </c>
      <c r="R945" s="1">
        <v>45296</v>
      </c>
      <c r="S945">
        <v>6.3547000000000002</v>
      </c>
      <c r="U945" s="1">
        <v>45296</v>
      </c>
      <c r="V945">
        <v>2.7250000000000001</v>
      </c>
      <c r="BL945" s="1"/>
    </row>
    <row r="946" spans="15:64">
      <c r="O946" s="1">
        <v>45297</v>
      </c>
      <c r="P946">
        <v>-22.634399999999999</v>
      </c>
      <c r="R946" s="1">
        <v>45297</v>
      </c>
      <c r="S946">
        <v>6.3547000000000002</v>
      </c>
      <c r="U946" s="1">
        <v>45297</v>
      </c>
      <c r="V946">
        <v>2.7250000000000001</v>
      </c>
      <c r="BL946" s="1"/>
    </row>
    <row r="947" spans="15:64">
      <c r="O947" s="1">
        <v>45298</v>
      </c>
      <c r="P947">
        <v>-22.634399999999999</v>
      </c>
      <c r="R947" s="1">
        <v>45298</v>
      </c>
      <c r="S947">
        <v>6.3547000000000002</v>
      </c>
      <c r="U947" s="1">
        <v>45298</v>
      </c>
      <c r="V947">
        <v>2.7250000000000001</v>
      </c>
      <c r="BL947" s="1"/>
    </row>
    <row r="948" spans="15:64">
      <c r="O948" s="1">
        <v>45299</v>
      </c>
      <c r="P948">
        <v>-19.093800000000002</v>
      </c>
      <c r="R948" s="1">
        <v>45299</v>
      </c>
      <c r="S948">
        <v>7.1382000000000003</v>
      </c>
      <c r="U948" s="1">
        <v>45299</v>
      </c>
      <c r="V948">
        <v>3.4838</v>
      </c>
      <c r="BL948" s="1"/>
    </row>
    <row r="949" spans="15:64">
      <c r="O949" s="1">
        <v>45300</v>
      </c>
      <c r="P949">
        <v>-18.867799999999999</v>
      </c>
      <c r="R949" s="1">
        <v>45300</v>
      </c>
      <c r="S949">
        <v>6.9581</v>
      </c>
      <c r="U949" s="1">
        <v>45300</v>
      </c>
      <c r="V949">
        <v>2.3557999999999999</v>
      </c>
      <c r="BL949" s="1"/>
    </row>
    <row r="950" spans="15:64">
      <c r="O950" s="1">
        <v>45301</v>
      </c>
      <c r="P950">
        <v>-19.0184</v>
      </c>
      <c r="R950" s="1">
        <v>45301</v>
      </c>
      <c r="S950">
        <v>6.9673999999999996</v>
      </c>
      <c r="U950" s="1">
        <v>45301</v>
      </c>
      <c r="V950">
        <v>3.0326</v>
      </c>
      <c r="BL950" s="1"/>
    </row>
    <row r="951" spans="15:64">
      <c r="O951" s="1">
        <v>45302</v>
      </c>
      <c r="P951">
        <v>-19.093800000000002</v>
      </c>
      <c r="R951" s="1">
        <v>45302</v>
      </c>
      <c r="S951">
        <v>6.0522999999999998</v>
      </c>
      <c r="U951" s="1">
        <v>45302</v>
      </c>
      <c r="V951">
        <v>3.4428000000000001</v>
      </c>
      <c r="BL951" s="1"/>
    </row>
    <row r="952" spans="15:64">
      <c r="O952" s="1">
        <v>45303</v>
      </c>
      <c r="P952">
        <v>-17.888500000000001</v>
      </c>
      <c r="R952" s="1">
        <v>45303</v>
      </c>
      <c r="S952">
        <v>7.0618999999999996</v>
      </c>
      <c r="U952" s="1">
        <v>45303</v>
      </c>
      <c r="V952">
        <v>3.2376999999999998</v>
      </c>
      <c r="BL952" s="1"/>
    </row>
    <row r="953" spans="15:64">
      <c r="O953" s="1">
        <v>45304</v>
      </c>
      <c r="P953">
        <v>-17.888500000000001</v>
      </c>
      <c r="R953" s="1">
        <v>45304</v>
      </c>
      <c r="S953">
        <v>7.0618999999999996</v>
      </c>
      <c r="U953" s="1">
        <v>45304</v>
      </c>
      <c r="V953">
        <v>3.2376999999999998</v>
      </c>
      <c r="BL953" s="1"/>
    </row>
    <row r="954" spans="15:64">
      <c r="O954" s="1">
        <v>45305</v>
      </c>
      <c r="P954">
        <v>-17.888500000000001</v>
      </c>
      <c r="R954" s="1">
        <v>45305</v>
      </c>
      <c r="S954">
        <v>7.0618999999999996</v>
      </c>
      <c r="U954" s="1">
        <v>45305</v>
      </c>
      <c r="V954">
        <v>3.2376999999999998</v>
      </c>
      <c r="BL954" s="1"/>
    </row>
    <row r="955" spans="15:64">
      <c r="O955" s="1">
        <v>45306</v>
      </c>
      <c r="P955">
        <v>-16.4572</v>
      </c>
      <c r="R955" s="1">
        <v>45306</v>
      </c>
      <c r="S955">
        <v>6.5342000000000002</v>
      </c>
      <c r="U955" s="1">
        <v>45306</v>
      </c>
      <c r="V955">
        <v>3.2376999999999998</v>
      </c>
      <c r="BL955" s="1"/>
    </row>
    <row r="956" spans="15:64">
      <c r="O956" s="1">
        <v>45307</v>
      </c>
      <c r="P956">
        <v>-16.683199999999999</v>
      </c>
      <c r="R956" s="1">
        <v>45307</v>
      </c>
      <c r="S956">
        <v>6.2103000000000002</v>
      </c>
      <c r="U956" s="1">
        <v>45307</v>
      </c>
      <c r="V956">
        <v>3.7504</v>
      </c>
      <c r="BL956" s="1"/>
    </row>
    <row r="957" spans="15:64">
      <c r="O957" s="1">
        <v>45308</v>
      </c>
      <c r="P957">
        <v>-15.779199999999999</v>
      </c>
      <c r="R957" s="1">
        <v>45308</v>
      </c>
      <c r="S957">
        <v>5.3131000000000004</v>
      </c>
      <c r="U957" s="1">
        <v>45308</v>
      </c>
      <c r="V957">
        <v>3.1556999999999999</v>
      </c>
      <c r="BL957" s="1"/>
    </row>
    <row r="958" spans="15:64">
      <c r="O958" s="1">
        <v>45309</v>
      </c>
      <c r="P958">
        <v>-15.9298</v>
      </c>
      <c r="R958" s="1">
        <v>45309</v>
      </c>
      <c r="S958">
        <v>6.1825000000000001</v>
      </c>
      <c r="U958" s="1">
        <v>45309</v>
      </c>
      <c r="V958">
        <v>4.0785</v>
      </c>
      <c r="BL958" s="1"/>
    </row>
    <row r="959" spans="15:64">
      <c r="O959" s="1">
        <v>45310</v>
      </c>
      <c r="P959">
        <v>-16.532499999999999</v>
      </c>
      <c r="R959" s="1">
        <v>45310</v>
      </c>
      <c r="S959">
        <v>6.1041999999999996</v>
      </c>
      <c r="U959" s="1">
        <v>45310</v>
      </c>
      <c r="V959">
        <v>5.1448999999999998</v>
      </c>
      <c r="BL959" s="1"/>
    </row>
    <row r="960" spans="15:64">
      <c r="O960" s="1">
        <v>45311</v>
      </c>
      <c r="P960">
        <v>-16.532499999999999</v>
      </c>
      <c r="R960" s="1">
        <v>45311</v>
      </c>
      <c r="S960">
        <v>6.1041999999999996</v>
      </c>
      <c r="U960" s="1">
        <v>45311</v>
      </c>
      <c r="V960">
        <v>5.1448999999999998</v>
      </c>
      <c r="BL960" s="1"/>
    </row>
    <row r="961" spans="15:64">
      <c r="O961" s="1">
        <v>45312</v>
      </c>
      <c r="P961">
        <v>-16.532499999999999</v>
      </c>
      <c r="R961" s="1">
        <v>45312</v>
      </c>
      <c r="S961">
        <v>6.1041999999999996</v>
      </c>
      <c r="U961" s="1">
        <v>45312</v>
      </c>
      <c r="V961">
        <v>5.1448999999999998</v>
      </c>
      <c r="BL961" s="1"/>
    </row>
    <row r="962" spans="15:64">
      <c r="O962" s="1">
        <v>45313</v>
      </c>
      <c r="P962">
        <v>-16.155799999999999</v>
      </c>
      <c r="R962" s="1">
        <v>45313</v>
      </c>
      <c r="S962">
        <v>6.9260000000000002</v>
      </c>
      <c r="U962" s="1">
        <v>45313</v>
      </c>
      <c r="V962">
        <v>5.7602000000000002</v>
      </c>
      <c r="BL962" s="1"/>
    </row>
    <row r="963" spans="15:64">
      <c r="O963" s="1">
        <v>45314</v>
      </c>
      <c r="P963">
        <v>-14.5739</v>
      </c>
      <c r="R963" s="1">
        <v>45314</v>
      </c>
      <c r="S963">
        <v>6.5654000000000003</v>
      </c>
      <c r="U963" s="1">
        <v>45314</v>
      </c>
      <c r="V963">
        <v>6.1497999999999999</v>
      </c>
      <c r="BL963" s="1"/>
    </row>
    <row r="964" spans="15:64">
      <c r="O964" s="1">
        <v>45315</v>
      </c>
      <c r="P964">
        <v>-14.6492</v>
      </c>
      <c r="R964" s="1">
        <v>45315</v>
      </c>
      <c r="S964">
        <v>8.2499000000000002</v>
      </c>
      <c r="U964" s="1">
        <v>45315</v>
      </c>
      <c r="V964">
        <v>5.2270000000000003</v>
      </c>
      <c r="BL964" s="1"/>
    </row>
    <row r="965" spans="15:64">
      <c r="O965" s="1">
        <v>45316</v>
      </c>
      <c r="P965">
        <v>-14.347899999999999</v>
      </c>
      <c r="R965" s="1">
        <v>45316</v>
      </c>
      <c r="S965">
        <v>8.3589000000000002</v>
      </c>
      <c r="U965" s="1">
        <v>45316</v>
      </c>
      <c r="V965">
        <v>7.3188000000000004</v>
      </c>
      <c r="BL965" s="1"/>
    </row>
    <row r="966" spans="15:64">
      <c r="O966" s="1">
        <v>45317</v>
      </c>
      <c r="P966">
        <v>-14.4985</v>
      </c>
      <c r="R966" s="1">
        <v>45317</v>
      </c>
      <c r="S966">
        <v>8.7080000000000002</v>
      </c>
      <c r="U966" s="1">
        <v>45317</v>
      </c>
      <c r="V966">
        <v>6.9291</v>
      </c>
      <c r="BL966" s="1"/>
    </row>
    <row r="967" spans="15:64">
      <c r="O967" s="1">
        <v>45318</v>
      </c>
      <c r="P967">
        <v>-14.4985</v>
      </c>
      <c r="R967" s="1">
        <v>45318</v>
      </c>
      <c r="S967">
        <v>8.7080000000000002</v>
      </c>
      <c r="U967" s="1">
        <v>45318</v>
      </c>
      <c r="V967">
        <v>6.9291</v>
      </c>
      <c r="BL967" s="1"/>
    </row>
    <row r="968" spans="15:64">
      <c r="O968" s="1">
        <v>45319</v>
      </c>
      <c r="P968">
        <v>-14.4985</v>
      </c>
      <c r="R968" s="1">
        <v>45319</v>
      </c>
      <c r="S968">
        <v>8.7080000000000002</v>
      </c>
      <c r="U968" s="1">
        <v>45319</v>
      </c>
      <c r="V968">
        <v>6.9291</v>
      </c>
      <c r="BL968" s="1"/>
    </row>
    <row r="969" spans="15:64">
      <c r="O969" s="1">
        <v>45320</v>
      </c>
      <c r="P969">
        <v>-14.9505</v>
      </c>
      <c r="R969" s="1">
        <v>45320</v>
      </c>
      <c r="S969">
        <v>8.5817999999999994</v>
      </c>
      <c r="U969" s="1">
        <v>45320</v>
      </c>
      <c r="V969">
        <v>7.2367999999999997</v>
      </c>
      <c r="BL969" s="1"/>
    </row>
    <row r="970" spans="15:64">
      <c r="O970" s="1">
        <v>45321</v>
      </c>
      <c r="P970">
        <v>-14.5739</v>
      </c>
      <c r="R970" s="1">
        <v>45321</v>
      </c>
      <c r="S970">
        <v>8.7782</v>
      </c>
      <c r="U970" s="1">
        <v>45321</v>
      </c>
      <c r="V970">
        <v>7.1341999999999999</v>
      </c>
      <c r="BL970" s="1"/>
    </row>
    <row r="971" spans="15:64">
      <c r="O971" s="1">
        <v>45322</v>
      </c>
      <c r="P971">
        <v>-14.4232</v>
      </c>
      <c r="R971" s="1">
        <v>45322</v>
      </c>
      <c r="S971">
        <v>8.3385999999999996</v>
      </c>
      <c r="U971" s="1">
        <v>45322</v>
      </c>
      <c r="V971">
        <v>2.9096000000000002</v>
      </c>
      <c r="BL971" s="1"/>
    </row>
    <row r="972" spans="15:64">
      <c r="O972" s="1">
        <v>45323</v>
      </c>
      <c r="P972">
        <v>-14.1219</v>
      </c>
      <c r="R972" s="1">
        <v>45323</v>
      </c>
      <c r="S972">
        <v>8.0519999999999996</v>
      </c>
      <c r="U972" s="1">
        <v>45323</v>
      </c>
      <c r="V972">
        <v>2.9096000000000002</v>
      </c>
      <c r="BL972" s="1"/>
    </row>
    <row r="973" spans="15:64">
      <c r="O973" s="1">
        <v>45324</v>
      </c>
      <c r="P973">
        <v>-13.0672</v>
      </c>
      <c r="R973" s="1">
        <v>45324</v>
      </c>
      <c r="S973">
        <v>8.4312000000000005</v>
      </c>
      <c r="U973" s="1">
        <v>45324</v>
      </c>
      <c r="V973">
        <v>2.9096000000000002</v>
      </c>
      <c r="BL973" s="1"/>
    </row>
    <row r="974" spans="15:64">
      <c r="O974" s="1">
        <v>45325</v>
      </c>
      <c r="P974">
        <v>-13.0672</v>
      </c>
      <c r="R974" s="1">
        <v>45325</v>
      </c>
      <c r="S974">
        <v>8.4312000000000005</v>
      </c>
      <c r="U974" s="1">
        <v>45325</v>
      </c>
      <c r="V974">
        <v>2.9096000000000002</v>
      </c>
      <c r="BL974" s="1"/>
    </row>
    <row r="975" spans="15:64">
      <c r="O975" s="1">
        <v>45326</v>
      </c>
      <c r="P975">
        <v>-13.0672</v>
      </c>
      <c r="R975" s="1">
        <v>45326</v>
      </c>
      <c r="S975">
        <v>8.4312000000000005</v>
      </c>
      <c r="U975" s="1">
        <v>45326</v>
      </c>
      <c r="V975">
        <v>2.9096000000000002</v>
      </c>
      <c r="BL975" s="1"/>
    </row>
    <row r="976" spans="15:64">
      <c r="O976" s="1">
        <v>45327</v>
      </c>
      <c r="P976">
        <v>-14.4985</v>
      </c>
      <c r="R976" s="1">
        <v>45327</v>
      </c>
      <c r="S976">
        <v>8.3405000000000005</v>
      </c>
      <c r="U976" s="1">
        <v>45327</v>
      </c>
      <c r="V976">
        <v>1.5355000000000001</v>
      </c>
      <c r="BL976" s="1"/>
    </row>
    <row r="977" spans="15:64">
      <c r="O977" s="1">
        <v>45328</v>
      </c>
      <c r="P977">
        <v>-14.799899999999999</v>
      </c>
      <c r="R977" s="1">
        <v>45328</v>
      </c>
      <c r="S977">
        <v>9.1684999999999999</v>
      </c>
      <c r="U977" s="1">
        <v>45328</v>
      </c>
      <c r="V977">
        <v>2.4994000000000001</v>
      </c>
      <c r="BL977" s="1"/>
    </row>
    <row r="978" spans="15:64">
      <c r="O978" s="1">
        <v>45329</v>
      </c>
      <c r="P978">
        <v>-13.745200000000001</v>
      </c>
      <c r="R978" s="1">
        <v>45329</v>
      </c>
      <c r="S978">
        <v>8.4552999999999994</v>
      </c>
      <c r="U978" s="1">
        <v>45329</v>
      </c>
      <c r="V978">
        <v>2.0687000000000002</v>
      </c>
      <c r="BL978" s="1"/>
    </row>
    <row r="979" spans="15:64">
      <c r="O979" s="1">
        <v>45330</v>
      </c>
      <c r="P979">
        <v>-13.293200000000001</v>
      </c>
      <c r="R979" s="1">
        <v>45330</v>
      </c>
      <c r="S979">
        <v>8.7235999999999994</v>
      </c>
      <c r="U979" s="1">
        <v>45330</v>
      </c>
      <c r="V979">
        <v>2.4379</v>
      </c>
      <c r="BL979" s="1"/>
    </row>
    <row r="980" spans="15:64">
      <c r="O980" s="1">
        <v>45331</v>
      </c>
      <c r="P980">
        <v>-14.347899999999999</v>
      </c>
      <c r="R980" s="1">
        <v>45331</v>
      </c>
      <c r="S980">
        <v>8.4844000000000008</v>
      </c>
      <c r="U980" s="1">
        <v>45331</v>
      </c>
      <c r="V980">
        <v>2.8069999999999999</v>
      </c>
      <c r="BL980" s="1"/>
    </row>
    <row r="981" spans="15:64">
      <c r="O981" s="1">
        <v>45332</v>
      </c>
      <c r="P981">
        <v>-14.347899999999999</v>
      </c>
      <c r="R981" s="1">
        <v>45332</v>
      </c>
      <c r="S981">
        <v>8.4844000000000008</v>
      </c>
      <c r="U981" s="1">
        <v>45332</v>
      </c>
      <c r="V981">
        <v>2.8069999999999999</v>
      </c>
      <c r="BL981" s="1"/>
    </row>
    <row r="982" spans="15:64">
      <c r="O982" s="1">
        <v>45333</v>
      </c>
      <c r="P982">
        <v>-14.347899999999999</v>
      </c>
      <c r="R982" s="1">
        <v>45333</v>
      </c>
      <c r="S982">
        <v>8.4844000000000008</v>
      </c>
      <c r="U982" s="1">
        <v>45333</v>
      </c>
      <c r="V982">
        <v>2.8069999999999999</v>
      </c>
      <c r="BL982" s="1"/>
    </row>
    <row r="983" spans="15:64">
      <c r="O983" s="1">
        <v>45334</v>
      </c>
      <c r="P983">
        <v>-14.5739</v>
      </c>
      <c r="R983" s="1">
        <v>45334</v>
      </c>
      <c r="S983">
        <v>9.1948000000000008</v>
      </c>
      <c r="U983" s="1">
        <v>45334</v>
      </c>
      <c r="V983">
        <v>2.5198999999999998</v>
      </c>
      <c r="BL983" s="1"/>
    </row>
    <row r="984" spans="15:64">
      <c r="O984" s="1">
        <v>45335</v>
      </c>
      <c r="P984">
        <v>-13.9712</v>
      </c>
      <c r="R984" s="1">
        <v>45335</v>
      </c>
      <c r="S984">
        <v>8.1917000000000009</v>
      </c>
      <c r="U984" s="1">
        <v>45335</v>
      </c>
      <c r="V984">
        <v>1.8021</v>
      </c>
      <c r="BL984" s="1"/>
    </row>
    <row r="985" spans="15:64">
      <c r="O985" s="1">
        <v>45336</v>
      </c>
      <c r="P985">
        <v>-13.5946</v>
      </c>
      <c r="R985" s="1">
        <v>45336</v>
      </c>
      <c r="S985">
        <v>8.6059999999999999</v>
      </c>
      <c r="U985" s="1">
        <v>45336</v>
      </c>
      <c r="V985">
        <v>3.1145999999999998</v>
      </c>
      <c r="BL985" s="1"/>
    </row>
    <row r="986" spans="15:64">
      <c r="O986" s="1">
        <v>45337</v>
      </c>
      <c r="P986">
        <v>-12.841200000000001</v>
      </c>
      <c r="R986" s="1">
        <v>45337</v>
      </c>
      <c r="S986">
        <v>9.2546999999999997</v>
      </c>
      <c r="U986" s="1">
        <v>45337</v>
      </c>
      <c r="V986">
        <v>0.61270000000000002</v>
      </c>
      <c r="BL986" s="1"/>
    </row>
    <row r="987" spans="15:64">
      <c r="O987" s="1">
        <v>45338</v>
      </c>
      <c r="P987">
        <v>-10.581300000000001</v>
      </c>
      <c r="R987" s="1">
        <v>45338</v>
      </c>
      <c r="S987">
        <v>9.7081</v>
      </c>
      <c r="U987" s="1">
        <v>45338</v>
      </c>
      <c r="V987">
        <v>-0.65880000000000005</v>
      </c>
      <c r="BL987" s="1"/>
    </row>
    <row r="988" spans="15:64">
      <c r="O988" s="1">
        <v>45339</v>
      </c>
      <c r="P988">
        <v>-10.581300000000001</v>
      </c>
      <c r="R988" s="1">
        <v>45339</v>
      </c>
      <c r="S988">
        <v>9.7081</v>
      </c>
      <c r="U988" s="1">
        <v>45339</v>
      </c>
      <c r="V988">
        <v>-0.65880000000000005</v>
      </c>
      <c r="BL988" s="1"/>
    </row>
    <row r="989" spans="15:64">
      <c r="O989" s="1">
        <v>45340</v>
      </c>
      <c r="P989">
        <v>-10.581300000000001</v>
      </c>
      <c r="R989" s="1">
        <v>45340</v>
      </c>
      <c r="S989">
        <v>9.7081</v>
      </c>
      <c r="U989" s="1">
        <v>45340</v>
      </c>
      <c r="V989">
        <v>-0.65880000000000005</v>
      </c>
      <c r="BL989" s="1"/>
    </row>
    <row r="990" spans="15:64">
      <c r="O990" s="1">
        <v>45341</v>
      </c>
      <c r="P990">
        <v>-11.2593</v>
      </c>
      <c r="R990" s="1">
        <v>45341</v>
      </c>
      <c r="S990">
        <v>9.5466999999999995</v>
      </c>
      <c r="U990" s="1">
        <v>45341</v>
      </c>
      <c r="V990">
        <v>-0.65880000000000005</v>
      </c>
      <c r="BL990" s="1"/>
    </row>
    <row r="991" spans="15:64">
      <c r="O991" s="1">
        <v>45342</v>
      </c>
      <c r="P991">
        <v>-12.087899999999999</v>
      </c>
      <c r="R991" s="1">
        <v>45342</v>
      </c>
      <c r="S991">
        <v>9.3940000000000001</v>
      </c>
      <c r="U991" s="1">
        <v>45342</v>
      </c>
      <c r="V991">
        <v>-0.98699999999999999</v>
      </c>
      <c r="BL991" s="1"/>
    </row>
    <row r="992" spans="15:64">
      <c r="O992" s="1">
        <v>45343</v>
      </c>
      <c r="P992">
        <v>-11.485300000000001</v>
      </c>
      <c r="R992" s="1">
        <v>45343</v>
      </c>
      <c r="S992">
        <v>9.7125000000000004</v>
      </c>
      <c r="U992" s="1">
        <v>45343</v>
      </c>
      <c r="V992">
        <v>-0.57679999999999998</v>
      </c>
      <c r="BL992" s="1"/>
    </row>
    <row r="993" spans="15:64">
      <c r="O993" s="1">
        <v>45344</v>
      </c>
      <c r="P993">
        <v>-10.9579</v>
      </c>
      <c r="R993" s="1">
        <v>45344</v>
      </c>
      <c r="S993">
        <v>11.329700000000001</v>
      </c>
      <c r="U993" s="1">
        <v>45344</v>
      </c>
      <c r="V993">
        <v>-0.39219999999999999</v>
      </c>
      <c r="BL993" s="1"/>
    </row>
    <row r="994" spans="15:64">
      <c r="O994" s="1">
        <v>45345</v>
      </c>
      <c r="P994">
        <v>-10.731999999999999</v>
      </c>
      <c r="R994" s="1">
        <v>45345</v>
      </c>
      <c r="S994">
        <v>11.643000000000001</v>
      </c>
      <c r="U994" s="1">
        <v>45345</v>
      </c>
      <c r="V994">
        <v>0.20250000000000001</v>
      </c>
      <c r="BL994" s="1"/>
    </row>
    <row r="995" spans="15:64">
      <c r="O995" s="1">
        <v>45346</v>
      </c>
      <c r="P995">
        <v>-10.731999999999999</v>
      </c>
      <c r="R995" s="1">
        <v>45346</v>
      </c>
      <c r="S995">
        <v>11.643000000000001</v>
      </c>
      <c r="U995" s="1">
        <v>45346</v>
      </c>
      <c r="V995">
        <v>0.20250000000000001</v>
      </c>
      <c r="BL995" s="1"/>
    </row>
    <row r="996" spans="15:64">
      <c r="O996" s="1">
        <v>45347</v>
      </c>
      <c r="P996">
        <v>-10.731999999999999</v>
      </c>
      <c r="R996" s="1">
        <v>45347</v>
      </c>
      <c r="S996">
        <v>11.643000000000001</v>
      </c>
      <c r="U996" s="1">
        <v>45347</v>
      </c>
      <c r="V996">
        <v>0.20250000000000001</v>
      </c>
      <c r="BL996" s="1"/>
    </row>
    <row r="997" spans="15:64">
      <c r="O997" s="1">
        <v>45348</v>
      </c>
      <c r="P997">
        <v>-9.3007000000000009</v>
      </c>
      <c r="R997" s="1">
        <v>45348</v>
      </c>
      <c r="S997">
        <v>11.667999999999999</v>
      </c>
      <c r="U997" s="1">
        <v>45348</v>
      </c>
      <c r="V997">
        <v>-0.7409</v>
      </c>
      <c r="BL997" s="1"/>
    </row>
    <row r="998" spans="15:64">
      <c r="O998" s="1">
        <v>45349</v>
      </c>
      <c r="P998">
        <v>-7.7187000000000001</v>
      </c>
      <c r="R998" s="1">
        <v>45349</v>
      </c>
      <c r="S998">
        <v>12.5221</v>
      </c>
      <c r="U998" s="1">
        <v>45349</v>
      </c>
      <c r="V998">
        <v>-0.92549999999999999</v>
      </c>
      <c r="BL998" s="1"/>
    </row>
    <row r="999" spans="15:64">
      <c r="O999" s="1">
        <v>45350</v>
      </c>
      <c r="P999">
        <v>-7.3419999999999996</v>
      </c>
      <c r="R999" s="1">
        <v>45350</v>
      </c>
      <c r="S999">
        <v>12.8087</v>
      </c>
      <c r="U999" s="1">
        <v>45350</v>
      </c>
      <c r="V999">
        <v>-1.4381999999999999</v>
      </c>
      <c r="BL999" s="1"/>
    </row>
    <row r="1000" spans="15:64">
      <c r="O1000" s="1">
        <v>45351</v>
      </c>
      <c r="P1000">
        <v>-7.7939999999999996</v>
      </c>
      <c r="R1000" s="1">
        <v>45351</v>
      </c>
      <c r="S1000">
        <v>13.302</v>
      </c>
      <c r="U1000" s="1">
        <v>45351</v>
      </c>
      <c r="V1000">
        <v>-0.8024</v>
      </c>
      <c r="BL1000" s="1"/>
    </row>
    <row r="1001" spans="15:64">
      <c r="O1001" s="1">
        <v>45352</v>
      </c>
      <c r="P1001">
        <v>-2.0688</v>
      </c>
      <c r="R1001" s="1">
        <v>45352</v>
      </c>
      <c r="S1001">
        <v>13.666600000000001</v>
      </c>
      <c r="U1001" s="1">
        <v>45352</v>
      </c>
      <c r="V1001">
        <v>-0.7409</v>
      </c>
      <c r="BL1001" s="1"/>
    </row>
    <row r="1002" spans="15:64">
      <c r="O1002" s="1">
        <v>45353</v>
      </c>
      <c r="P1002">
        <v>-2.0688</v>
      </c>
      <c r="R1002" s="1">
        <v>45353</v>
      </c>
      <c r="S1002">
        <v>13.666600000000001</v>
      </c>
      <c r="U1002" s="1">
        <v>45353</v>
      </c>
      <c r="V1002">
        <v>-0.7409</v>
      </c>
      <c r="BL1002" s="1"/>
    </row>
    <row r="1003" spans="15:64">
      <c r="O1003" s="1">
        <v>45354</v>
      </c>
      <c r="P1003">
        <v>-2.0688</v>
      </c>
      <c r="R1003" s="1">
        <v>45354</v>
      </c>
      <c r="S1003">
        <v>13.666600000000001</v>
      </c>
      <c r="U1003" s="1">
        <v>45354</v>
      </c>
      <c r="V1003">
        <v>-0.7409</v>
      </c>
      <c r="BL1003" s="1"/>
    </row>
    <row r="1004" spans="15:64">
      <c r="O1004" s="1">
        <v>45355</v>
      </c>
      <c r="P1004">
        <v>-0.41149999999999998</v>
      </c>
      <c r="R1004" s="1">
        <v>45355</v>
      </c>
      <c r="S1004">
        <v>13.545500000000001</v>
      </c>
      <c r="U1004" s="1">
        <v>45355</v>
      </c>
      <c r="V1004">
        <v>0.75619999999999998</v>
      </c>
      <c r="BL1004" s="1"/>
    </row>
    <row r="1005" spans="15:64">
      <c r="O1005" s="1">
        <v>45356</v>
      </c>
      <c r="P1005">
        <v>7.3475999999999999</v>
      </c>
      <c r="R1005" s="1">
        <v>45356</v>
      </c>
      <c r="S1005">
        <v>13.4316</v>
      </c>
      <c r="U1005" s="1">
        <v>45356</v>
      </c>
      <c r="V1005">
        <v>0.3871</v>
      </c>
      <c r="BL1005" s="1"/>
    </row>
    <row r="1006" spans="15:64">
      <c r="O1006" s="1">
        <v>45357</v>
      </c>
      <c r="P1006">
        <v>14.2028</v>
      </c>
      <c r="R1006" s="1">
        <v>45357</v>
      </c>
      <c r="S1006">
        <v>13.5489</v>
      </c>
      <c r="U1006" s="1">
        <v>45357</v>
      </c>
      <c r="V1006">
        <v>0.83819999999999995</v>
      </c>
      <c r="BL1006" s="1"/>
    </row>
    <row r="1007" spans="15:64">
      <c r="O1007" s="1">
        <v>45358</v>
      </c>
      <c r="P1007">
        <v>16.688800000000001</v>
      </c>
      <c r="R1007" s="1">
        <v>45358</v>
      </c>
      <c r="S1007">
        <v>14.3574</v>
      </c>
      <c r="U1007" s="1">
        <v>45358</v>
      </c>
      <c r="V1007">
        <v>0.28449999999999998</v>
      </c>
      <c r="BL1007" s="1"/>
    </row>
    <row r="1008" spans="15:64">
      <c r="O1008" s="1">
        <v>45359</v>
      </c>
      <c r="P1008">
        <v>18.421399999999998</v>
      </c>
      <c r="R1008" s="1">
        <v>45359</v>
      </c>
      <c r="S1008">
        <v>14.175700000000001</v>
      </c>
      <c r="U1008" s="1">
        <v>45359</v>
      </c>
      <c r="V1008">
        <v>1.5149999999999999</v>
      </c>
      <c r="BL1008" s="1"/>
    </row>
    <row r="1009" spans="15:64">
      <c r="O1009" s="1">
        <v>45360</v>
      </c>
      <c r="P1009">
        <v>18.421399999999998</v>
      </c>
      <c r="R1009" s="1">
        <v>45360</v>
      </c>
      <c r="S1009">
        <v>14.175700000000001</v>
      </c>
      <c r="U1009" s="1">
        <v>45360</v>
      </c>
      <c r="V1009">
        <v>1.5149999999999999</v>
      </c>
      <c r="BL1009" s="1"/>
    </row>
    <row r="1010" spans="15:64">
      <c r="O1010" s="1">
        <v>45361</v>
      </c>
      <c r="P1010">
        <v>18.421399999999998</v>
      </c>
      <c r="R1010" s="1">
        <v>45361</v>
      </c>
      <c r="S1010">
        <v>14.175700000000001</v>
      </c>
      <c r="U1010" s="1">
        <v>45361</v>
      </c>
      <c r="V1010">
        <v>1.5149999999999999</v>
      </c>
      <c r="BL1010" s="1"/>
    </row>
    <row r="1011" spans="15:64">
      <c r="O1011" s="1">
        <v>45362</v>
      </c>
      <c r="P1011">
        <v>19.551400000000001</v>
      </c>
      <c r="R1011" s="1">
        <v>45362</v>
      </c>
      <c r="S1011">
        <v>13.7384</v>
      </c>
      <c r="U1011" s="1">
        <v>45362</v>
      </c>
      <c r="V1011">
        <v>2.9916</v>
      </c>
      <c r="BL1011" s="1"/>
    </row>
    <row r="1012" spans="15:64">
      <c r="O1012" s="1">
        <v>45363</v>
      </c>
      <c r="P1012">
        <v>22.64</v>
      </c>
      <c r="R1012" s="1">
        <v>45363</v>
      </c>
      <c r="S1012">
        <v>15.141</v>
      </c>
      <c r="U1012" s="1">
        <v>45363</v>
      </c>
      <c r="V1012">
        <v>2.6840000000000002</v>
      </c>
      <c r="BL1012" s="1"/>
    </row>
    <row r="1013" spans="15:64">
      <c r="O1013" s="1">
        <v>45364</v>
      </c>
      <c r="P1013">
        <v>23.242599999999999</v>
      </c>
      <c r="R1013" s="1">
        <v>45364</v>
      </c>
      <c r="S1013">
        <v>15.117100000000001</v>
      </c>
      <c r="U1013" s="1">
        <v>45364</v>
      </c>
      <c r="V1013">
        <v>2.766</v>
      </c>
      <c r="BL1013" s="1"/>
    </row>
    <row r="1014" spans="15:64">
      <c r="O1014" s="1">
        <v>45365</v>
      </c>
      <c r="P1014">
        <v>19.7774</v>
      </c>
      <c r="R1014" s="1">
        <v>45365</v>
      </c>
      <c r="S1014">
        <v>14.9931</v>
      </c>
      <c r="U1014" s="1">
        <v>45365</v>
      </c>
      <c r="V1014">
        <v>2.1097000000000001</v>
      </c>
      <c r="BL1014" s="1"/>
    </row>
    <row r="1015" spans="15:64">
      <c r="O1015" s="1">
        <v>45366</v>
      </c>
      <c r="P1015">
        <v>23.9206</v>
      </c>
      <c r="R1015" s="1">
        <v>45366</v>
      </c>
      <c r="S1015">
        <v>14.958600000000001</v>
      </c>
      <c r="U1015" s="1">
        <v>45366</v>
      </c>
      <c r="V1015">
        <v>0.34599999999999997</v>
      </c>
      <c r="BL1015" s="1"/>
    </row>
    <row r="1016" spans="15:64">
      <c r="O1016" s="1">
        <v>45367</v>
      </c>
      <c r="P1016">
        <v>23.9206</v>
      </c>
      <c r="R1016" s="1">
        <v>45367</v>
      </c>
      <c r="S1016">
        <v>14.958600000000001</v>
      </c>
      <c r="U1016" s="1">
        <v>45367</v>
      </c>
      <c r="V1016">
        <v>0.34599999999999997</v>
      </c>
      <c r="BL1016" s="1"/>
    </row>
    <row r="1017" spans="15:64">
      <c r="O1017" s="1">
        <v>45368</v>
      </c>
      <c r="P1017">
        <v>23.9206</v>
      </c>
      <c r="R1017" s="1">
        <v>45368</v>
      </c>
      <c r="S1017">
        <v>14.958600000000001</v>
      </c>
      <c r="U1017" s="1">
        <v>45368</v>
      </c>
      <c r="V1017">
        <v>0.34599999999999997</v>
      </c>
      <c r="BL1017" s="1"/>
    </row>
    <row r="1018" spans="15:64">
      <c r="O1018" s="1">
        <v>45369</v>
      </c>
      <c r="P1018">
        <v>23.845300000000002</v>
      </c>
      <c r="R1018" s="1">
        <v>45369</v>
      </c>
      <c r="S1018">
        <v>14.9331</v>
      </c>
      <c r="U1018" s="1">
        <v>45369</v>
      </c>
      <c r="V1018">
        <v>1.0432999999999999</v>
      </c>
      <c r="BL1018" s="1"/>
    </row>
    <row r="1019" spans="15:64">
      <c r="O1019" s="1">
        <v>45370</v>
      </c>
      <c r="P1019">
        <v>27.5365</v>
      </c>
      <c r="R1019" s="1">
        <v>45370</v>
      </c>
      <c r="S1019">
        <v>15.2844</v>
      </c>
      <c r="U1019" s="1">
        <v>45370</v>
      </c>
      <c r="V1019">
        <v>0.77669999999999995</v>
      </c>
      <c r="BL1019" s="1"/>
    </row>
    <row r="1020" spans="15:64">
      <c r="O1020" s="1">
        <v>45371</v>
      </c>
      <c r="P1020">
        <v>26.858599999999999</v>
      </c>
      <c r="R1020" s="1">
        <v>45371</v>
      </c>
      <c r="S1020">
        <v>15.461499999999999</v>
      </c>
      <c r="U1020" s="1">
        <v>45371</v>
      </c>
      <c r="V1020">
        <v>1.6174999999999999</v>
      </c>
      <c r="BL1020" s="1"/>
    </row>
    <row r="1021" spans="15:64">
      <c r="O1021" s="1">
        <v>45372</v>
      </c>
      <c r="P1021">
        <v>29.570499999999999</v>
      </c>
      <c r="R1021" s="1">
        <v>45372</v>
      </c>
      <c r="S1021">
        <v>16.513400000000001</v>
      </c>
      <c r="U1021" s="1">
        <v>45372</v>
      </c>
      <c r="V1021">
        <v>2.2942999999999998</v>
      </c>
      <c r="BL1021" s="1"/>
    </row>
    <row r="1022" spans="15:64">
      <c r="O1022" s="1">
        <v>45373</v>
      </c>
      <c r="P1022">
        <v>29.1938</v>
      </c>
      <c r="R1022" s="1">
        <v>45373</v>
      </c>
      <c r="S1022">
        <v>16.6845</v>
      </c>
      <c r="U1022" s="1">
        <v>45373</v>
      </c>
      <c r="V1022">
        <v>2.0891999999999999</v>
      </c>
      <c r="BL1022" s="1"/>
    </row>
    <row r="1023" spans="15:64">
      <c r="O1023" s="1">
        <v>45374</v>
      </c>
      <c r="P1023">
        <v>29.1938</v>
      </c>
      <c r="R1023" s="1">
        <v>45374</v>
      </c>
      <c r="S1023">
        <v>16.6845</v>
      </c>
      <c r="U1023" s="1">
        <v>45374</v>
      </c>
      <c r="V1023">
        <v>2.0891999999999999</v>
      </c>
      <c r="BL1023" s="1"/>
    </row>
    <row r="1024" spans="15:64">
      <c r="O1024" s="1">
        <v>45375</v>
      </c>
      <c r="P1024">
        <v>29.1938</v>
      </c>
      <c r="R1024" s="1">
        <v>45375</v>
      </c>
      <c r="S1024">
        <v>16.6845</v>
      </c>
      <c r="U1024" s="1">
        <v>45375</v>
      </c>
      <c r="V1024">
        <v>2.0891999999999999</v>
      </c>
      <c r="BL1024" s="1"/>
    </row>
    <row r="1025" spans="15:64">
      <c r="O1025" s="1">
        <v>45376</v>
      </c>
      <c r="P1025">
        <v>29.269200000000001</v>
      </c>
      <c r="R1025" s="1">
        <v>45376</v>
      </c>
      <c r="S1025">
        <v>17.039300000000001</v>
      </c>
      <c r="U1025" s="1">
        <v>45376</v>
      </c>
      <c r="V1025">
        <v>1.8842000000000001</v>
      </c>
      <c r="BL1025" s="1"/>
    </row>
    <row r="1026" spans="15:64">
      <c r="O1026" s="1">
        <v>45377</v>
      </c>
      <c r="P1026">
        <v>30.173100000000002</v>
      </c>
      <c r="R1026" s="1">
        <v>45377</v>
      </c>
      <c r="S1026">
        <v>17.8279</v>
      </c>
      <c r="U1026" s="1">
        <v>45377</v>
      </c>
      <c r="V1026">
        <v>1.6174999999999999</v>
      </c>
      <c r="BL1026" s="1"/>
    </row>
    <row r="1027" spans="15:64">
      <c r="O1027" s="1">
        <v>45378</v>
      </c>
      <c r="P1027">
        <v>27.9132</v>
      </c>
      <c r="R1027" s="1">
        <v>45378</v>
      </c>
      <c r="S1027">
        <v>18.4223</v>
      </c>
      <c r="U1027" s="1">
        <v>45378</v>
      </c>
      <c r="V1027">
        <v>2.0687000000000002</v>
      </c>
      <c r="BL1027" s="1"/>
    </row>
    <row r="1028" spans="15:64">
      <c r="O1028" s="1">
        <v>45379</v>
      </c>
      <c r="P1028">
        <v>25.5779</v>
      </c>
      <c r="R1028" s="1">
        <v>45379</v>
      </c>
      <c r="S1028">
        <v>18.521000000000001</v>
      </c>
      <c r="U1028" s="1">
        <v>45379</v>
      </c>
      <c r="V1028">
        <v>2.3557999999999999</v>
      </c>
      <c r="BL1028" s="1"/>
    </row>
    <row r="1029" spans="15:64">
      <c r="O1029" s="1">
        <v>45380</v>
      </c>
      <c r="P1029">
        <v>25.5779</v>
      </c>
      <c r="R1029" s="1">
        <v>45380</v>
      </c>
      <c r="S1029">
        <v>18.521000000000001</v>
      </c>
      <c r="U1029" s="1">
        <v>45380</v>
      </c>
      <c r="V1029">
        <v>2.3557999999999999</v>
      </c>
      <c r="BL1029" s="1"/>
    </row>
    <row r="1030" spans="15:64">
      <c r="O1030" s="1">
        <v>45381</v>
      </c>
      <c r="P1030">
        <v>25.5779</v>
      </c>
      <c r="R1030" s="1">
        <v>45381</v>
      </c>
      <c r="S1030">
        <v>18.521000000000001</v>
      </c>
      <c r="U1030" s="1">
        <v>45381</v>
      </c>
      <c r="V1030">
        <v>2.3557999999999999</v>
      </c>
      <c r="BL1030" s="1"/>
    </row>
    <row r="1031" spans="15:64">
      <c r="O1031" s="1">
        <v>45382</v>
      </c>
      <c r="P1031">
        <v>25.5779</v>
      </c>
      <c r="R1031" s="1">
        <v>45382</v>
      </c>
      <c r="S1031">
        <v>18.521000000000001</v>
      </c>
      <c r="U1031" s="1">
        <v>45382</v>
      </c>
      <c r="V1031">
        <v>2.3557999999999999</v>
      </c>
      <c r="BL1031" s="1"/>
    </row>
    <row r="1032" spans="15:64">
      <c r="O1032" s="1">
        <v>45383</v>
      </c>
      <c r="P1032">
        <v>25.5779</v>
      </c>
      <c r="R1032" s="1">
        <v>45383</v>
      </c>
      <c r="S1032">
        <v>18.521000000000001</v>
      </c>
      <c r="U1032" s="1">
        <v>45383</v>
      </c>
      <c r="V1032">
        <v>2.6223999999999998</v>
      </c>
      <c r="BL1032" s="1"/>
    </row>
    <row r="1033" spans="15:64">
      <c r="O1033" s="1">
        <v>45384</v>
      </c>
      <c r="P1033">
        <v>26.3689</v>
      </c>
      <c r="R1033" s="1">
        <v>45384</v>
      </c>
      <c r="S1033">
        <v>17.179200000000002</v>
      </c>
      <c r="U1033" s="1">
        <v>45384</v>
      </c>
      <c r="V1033">
        <v>1.2279</v>
      </c>
      <c r="BL1033" s="1"/>
    </row>
    <row r="1034" spans="15:64">
      <c r="O1034" s="1">
        <v>45385</v>
      </c>
      <c r="P1034">
        <v>25.427299999999999</v>
      </c>
      <c r="R1034" s="1">
        <v>45385</v>
      </c>
      <c r="S1034">
        <v>17.721299999999999</v>
      </c>
      <c r="U1034" s="1">
        <v>45385</v>
      </c>
      <c r="V1034">
        <v>0.77669999999999995</v>
      </c>
      <c r="BL1034" s="1"/>
    </row>
    <row r="1035" spans="15:64">
      <c r="O1035" s="1">
        <v>45386</v>
      </c>
      <c r="P1035">
        <v>30.5121</v>
      </c>
      <c r="R1035" s="1">
        <v>45386</v>
      </c>
      <c r="S1035">
        <v>17.9483</v>
      </c>
      <c r="U1035" s="1">
        <v>45386</v>
      </c>
      <c r="V1035">
        <v>-0.52590000000000003</v>
      </c>
      <c r="BL1035" s="1"/>
    </row>
    <row r="1036" spans="15:64">
      <c r="O1036" s="1">
        <v>45387</v>
      </c>
      <c r="P1036">
        <v>30.1355</v>
      </c>
      <c r="R1036" s="1">
        <v>45387</v>
      </c>
      <c r="S1036">
        <v>16.4864</v>
      </c>
      <c r="U1036" s="1">
        <v>45387</v>
      </c>
      <c r="V1036">
        <v>0.38390000000000002</v>
      </c>
      <c r="BL1036" s="1"/>
    </row>
    <row r="1037" spans="15:64">
      <c r="O1037" s="1">
        <v>45388</v>
      </c>
      <c r="P1037">
        <v>30.1355</v>
      </c>
      <c r="R1037" s="1">
        <v>45388</v>
      </c>
      <c r="S1037">
        <v>16.4864</v>
      </c>
      <c r="U1037" s="1">
        <v>45388</v>
      </c>
      <c r="V1037">
        <v>0.38390000000000002</v>
      </c>
      <c r="BL1037" s="1"/>
    </row>
    <row r="1038" spans="15:64">
      <c r="O1038" s="1">
        <v>45389</v>
      </c>
      <c r="P1038">
        <v>30.1355</v>
      </c>
      <c r="R1038" s="1">
        <v>45389</v>
      </c>
      <c r="S1038">
        <v>16.4864</v>
      </c>
      <c r="U1038" s="1">
        <v>45389</v>
      </c>
      <c r="V1038">
        <v>0.38390000000000002</v>
      </c>
      <c r="BL1038" s="1"/>
    </row>
    <row r="1039" spans="15:64">
      <c r="O1039" s="1">
        <v>45390</v>
      </c>
      <c r="P1039">
        <v>33.525399999999998</v>
      </c>
      <c r="R1039" s="1">
        <v>45390</v>
      </c>
      <c r="S1039">
        <v>17.408899999999999</v>
      </c>
      <c r="U1039" s="1">
        <v>45390</v>
      </c>
      <c r="V1039">
        <v>-0.2571</v>
      </c>
      <c r="BL1039" s="1"/>
    </row>
    <row r="1040" spans="15:64">
      <c r="O1040" s="1">
        <v>45391</v>
      </c>
      <c r="P1040">
        <v>32.207099999999997</v>
      </c>
      <c r="R1040" s="1">
        <v>45391</v>
      </c>
      <c r="S1040">
        <v>15.8561</v>
      </c>
      <c r="U1040" s="1">
        <v>45391</v>
      </c>
      <c r="V1040">
        <v>3.4026000000000001</v>
      </c>
      <c r="BL1040" s="1"/>
    </row>
    <row r="1041" spans="15:64">
      <c r="O1041" s="1">
        <v>45392</v>
      </c>
      <c r="P1041">
        <v>31.453800000000001</v>
      </c>
      <c r="R1041" s="1">
        <v>45392</v>
      </c>
      <c r="S1041">
        <v>15.988200000000001</v>
      </c>
      <c r="U1041" s="1">
        <v>45392</v>
      </c>
      <c r="V1041">
        <v>1.7484999999999999</v>
      </c>
      <c r="BL1041" s="1"/>
    </row>
    <row r="1042" spans="15:64">
      <c r="O1042" s="1">
        <v>45393</v>
      </c>
      <c r="P1042">
        <v>30.323799999999999</v>
      </c>
      <c r="R1042" s="1">
        <v>45393</v>
      </c>
      <c r="S1042">
        <v>15.072800000000001</v>
      </c>
      <c r="U1042" s="1">
        <v>45393</v>
      </c>
      <c r="V1042">
        <v>2.4102000000000001</v>
      </c>
      <c r="BL1042" s="1"/>
    </row>
    <row r="1043" spans="15:64">
      <c r="O1043" s="1">
        <v>45394</v>
      </c>
      <c r="P1043">
        <v>30.5121</v>
      </c>
      <c r="R1043" s="1">
        <v>45394</v>
      </c>
      <c r="S1043">
        <v>14.917999999999999</v>
      </c>
      <c r="U1043" s="1">
        <v>45394</v>
      </c>
      <c r="V1043">
        <v>0.25979999999999998</v>
      </c>
      <c r="BL1043" s="1"/>
    </row>
    <row r="1044" spans="15:64">
      <c r="O1044" s="1">
        <v>45395</v>
      </c>
      <c r="P1044">
        <v>30.5121</v>
      </c>
      <c r="R1044" s="1">
        <v>45395</v>
      </c>
      <c r="S1044">
        <v>14.917999999999999</v>
      </c>
      <c r="U1044" s="1">
        <v>45395</v>
      </c>
      <c r="V1044">
        <v>0.25979999999999998</v>
      </c>
      <c r="BL1044" s="1"/>
    </row>
    <row r="1045" spans="15:64">
      <c r="O1045" s="1">
        <v>45396</v>
      </c>
      <c r="P1045">
        <v>30.5121</v>
      </c>
      <c r="R1045" s="1">
        <v>45396</v>
      </c>
      <c r="S1045">
        <v>14.917999999999999</v>
      </c>
      <c r="U1045" s="1">
        <v>45396</v>
      </c>
      <c r="V1045">
        <v>0.25979999999999998</v>
      </c>
      <c r="BL1045" s="1"/>
    </row>
    <row r="1046" spans="15:64">
      <c r="O1046" s="1">
        <v>45397</v>
      </c>
      <c r="P1046">
        <v>31.265499999999999</v>
      </c>
      <c r="R1046" s="1">
        <v>45397</v>
      </c>
      <c r="S1046">
        <v>15.5349</v>
      </c>
      <c r="U1046" s="1">
        <v>45397</v>
      </c>
      <c r="V1046">
        <v>-0.2571</v>
      </c>
      <c r="BL1046" s="1"/>
    </row>
    <row r="1047" spans="15:64">
      <c r="O1047" s="1">
        <v>45398</v>
      </c>
      <c r="P1047">
        <v>26.7456</v>
      </c>
      <c r="R1047" s="1">
        <v>45398</v>
      </c>
      <c r="S1047">
        <v>13.866300000000001</v>
      </c>
      <c r="U1047" s="1">
        <v>45398</v>
      </c>
      <c r="V1047">
        <v>-0.91869999999999996</v>
      </c>
      <c r="BL1047" s="1"/>
    </row>
    <row r="1048" spans="15:64">
      <c r="O1048" s="1">
        <v>45399</v>
      </c>
      <c r="P1048">
        <v>28.4405</v>
      </c>
      <c r="R1048" s="1">
        <v>45399</v>
      </c>
      <c r="S1048">
        <v>13.890599999999999</v>
      </c>
      <c r="U1048" s="1">
        <v>45399</v>
      </c>
      <c r="V1048">
        <v>-1.1875</v>
      </c>
      <c r="BL1048" s="1"/>
    </row>
    <row r="1049" spans="15:64">
      <c r="O1049" s="1">
        <v>45400</v>
      </c>
      <c r="P1049">
        <v>30.8888</v>
      </c>
      <c r="R1049" s="1">
        <v>45400</v>
      </c>
      <c r="S1049">
        <v>14.3224</v>
      </c>
      <c r="U1049" s="1">
        <v>45400</v>
      </c>
      <c r="V1049">
        <v>-0.52590000000000003</v>
      </c>
      <c r="BL1049" s="1"/>
    </row>
    <row r="1050" spans="15:64">
      <c r="O1050" s="1">
        <v>45401</v>
      </c>
      <c r="P1050">
        <v>28.4405</v>
      </c>
      <c r="R1050" s="1">
        <v>45401</v>
      </c>
      <c r="S1050">
        <v>13.6813</v>
      </c>
      <c r="U1050" s="1">
        <v>45401</v>
      </c>
      <c r="V1050">
        <v>-9.1700000000000004E-2</v>
      </c>
      <c r="BL1050" s="1"/>
    </row>
    <row r="1051" spans="15:64">
      <c r="O1051" s="1">
        <v>45402</v>
      </c>
      <c r="P1051">
        <v>28.4405</v>
      </c>
      <c r="R1051" s="1">
        <v>45402</v>
      </c>
      <c r="S1051">
        <v>13.6813</v>
      </c>
      <c r="U1051" s="1">
        <v>45402</v>
      </c>
      <c r="V1051">
        <v>-9.1700000000000004E-2</v>
      </c>
      <c r="BL1051" s="1"/>
    </row>
    <row r="1052" spans="15:64">
      <c r="O1052" s="1">
        <v>45403</v>
      </c>
      <c r="P1052">
        <v>28.4405</v>
      </c>
      <c r="R1052" s="1">
        <v>45403</v>
      </c>
      <c r="S1052">
        <v>13.6813</v>
      </c>
      <c r="U1052" s="1">
        <v>45403</v>
      </c>
      <c r="V1052">
        <v>-9.1700000000000004E-2</v>
      </c>
      <c r="BL1052" s="1"/>
    </row>
    <row r="1053" spans="15:64">
      <c r="O1053" s="1">
        <v>45404</v>
      </c>
      <c r="P1053">
        <v>27.498899999999999</v>
      </c>
      <c r="R1053" s="1">
        <v>45404</v>
      </c>
      <c r="S1053">
        <v>14.4724</v>
      </c>
      <c r="U1053" s="1">
        <v>45404</v>
      </c>
      <c r="V1053">
        <v>-0.46389999999999998</v>
      </c>
      <c r="BL1053" s="1"/>
    </row>
    <row r="1054" spans="15:64">
      <c r="O1054" s="1">
        <v>45405</v>
      </c>
      <c r="P1054">
        <v>30.8888</v>
      </c>
      <c r="R1054" s="1">
        <v>45405</v>
      </c>
      <c r="S1054">
        <v>16.2468</v>
      </c>
      <c r="U1054" s="1">
        <v>45405</v>
      </c>
      <c r="V1054">
        <v>-9.1700000000000004E-2</v>
      </c>
      <c r="BL1054" s="1"/>
    </row>
    <row r="1055" spans="15:64">
      <c r="O1055" s="1">
        <v>45406</v>
      </c>
      <c r="P1055">
        <v>30.8888</v>
      </c>
      <c r="R1055" s="1">
        <v>45406</v>
      </c>
      <c r="S1055">
        <v>15.9331</v>
      </c>
      <c r="U1055" s="1">
        <v>45406</v>
      </c>
      <c r="V1055">
        <v>-2.9700000000000001E-2</v>
      </c>
      <c r="BL1055" s="1"/>
    </row>
    <row r="1056" spans="15:64">
      <c r="O1056" s="1">
        <v>45407</v>
      </c>
      <c r="P1056">
        <v>27.687200000000001</v>
      </c>
      <c r="R1056" s="1">
        <v>45407</v>
      </c>
      <c r="S1056">
        <v>14.8344</v>
      </c>
      <c r="U1056" s="1">
        <v>45407</v>
      </c>
      <c r="V1056">
        <v>-0.54659999999999997</v>
      </c>
      <c r="BL1056" s="1"/>
    </row>
    <row r="1057" spans="15:64">
      <c r="O1057" s="1">
        <v>45408</v>
      </c>
      <c r="P1057">
        <v>23.167300000000001</v>
      </c>
      <c r="R1057" s="1">
        <v>45408</v>
      </c>
      <c r="S1057">
        <v>16.3965</v>
      </c>
      <c r="U1057" s="1">
        <v>45408</v>
      </c>
      <c r="V1057">
        <v>-1.0427999999999999</v>
      </c>
      <c r="BL1057" s="1"/>
    </row>
    <row r="1058" spans="15:64">
      <c r="O1058" s="1">
        <v>45409</v>
      </c>
      <c r="P1058">
        <v>23.167300000000001</v>
      </c>
      <c r="R1058" s="1">
        <v>45409</v>
      </c>
      <c r="S1058">
        <v>16.3965</v>
      </c>
      <c r="U1058" s="1">
        <v>45409</v>
      </c>
      <c r="V1058">
        <v>-1.0427999999999999</v>
      </c>
      <c r="BL1058" s="1"/>
    </row>
    <row r="1059" spans="15:64">
      <c r="O1059" s="1">
        <v>45410</v>
      </c>
      <c r="P1059">
        <v>23.167300000000001</v>
      </c>
      <c r="R1059" s="1">
        <v>45410</v>
      </c>
      <c r="S1059">
        <v>16.3965</v>
      </c>
      <c r="U1059" s="1">
        <v>45410</v>
      </c>
      <c r="V1059">
        <v>-1.0427999999999999</v>
      </c>
      <c r="BL1059" s="1"/>
    </row>
    <row r="1060" spans="15:64">
      <c r="O1060" s="1">
        <v>45411</v>
      </c>
      <c r="P1060">
        <v>29.947199999999999</v>
      </c>
      <c r="R1060" s="1">
        <v>45411</v>
      </c>
      <c r="S1060">
        <v>16.122900000000001</v>
      </c>
      <c r="U1060" s="1">
        <v>45411</v>
      </c>
      <c r="V1060">
        <v>-1.2081999999999999</v>
      </c>
      <c r="BL1060" s="1"/>
    </row>
    <row r="1061" spans="15:64">
      <c r="O1061" s="1">
        <v>45412</v>
      </c>
      <c r="P1061">
        <v>25.615600000000001</v>
      </c>
      <c r="R1061" s="1">
        <v>45412</v>
      </c>
      <c r="S1061">
        <v>14.9298</v>
      </c>
      <c r="U1061" s="1">
        <v>45412</v>
      </c>
      <c r="V1061">
        <v>-2.8622999999999998</v>
      </c>
      <c r="BL1061" s="1"/>
    </row>
    <row r="1062" spans="15:64">
      <c r="O1062" s="1">
        <v>45413</v>
      </c>
      <c r="P1062">
        <v>25.615600000000001</v>
      </c>
      <c r="R1062" s="1">
        <v>45413</v>
      </c>
      <c r="S1062">
        <v>14.9298</v>
      </c>
      <c r="U1062" s="1">
        <v>45413</v>
      </c>
      <c r="V1062">
        <v>-3.1518000000000002</v>
      </c>
      <c r="BL1062" s="1"/>
    </row>
    <row r="1063" spans="15:64">
      <c r="O1063" s="1">
        <v>45414</v>
      </c>
      <c r="P1063">
        <v>26.180599999999998</v>
      </c>
      <c r="R1063" s="1">
        <v>45414</v>
      </c>
      <c r="S1063">
        <v>14.7012</v>
      </c>
      <c r="U1063" s="1">
        <v>45414</v>
      </c>
      <c r="V1063">
        <v>-3.2551999999999999</v>
      </c>
      <c r="BL1063" s="1"/>
    </row>
    <row r="1064" spans="15:64">
      <c r="O1064" s="1">
        <v>45415</v>
      </c>
      <c r="P1064">
        <v>22.414000000000001</v>
      </c>
      <c r="R1064" s="1">
        <v>45415</v>
      </c>
      <c r="S1064">
        <v>15.3748</v>
      </c>
      <c r="U1064" s="1">
        <v>45415</v>
      </c>
      <c r="V1064">
        <v>-2.5729000000000002</v>
      </c>
      <c r="BL1064" s="1"/>
    </row>
    <row r="1065" spans="15:64">
      <c r="O1065" s="1">
        <v>45416</v>
      </c>
      <c r="P1065">
        <v>22.414000000000001</v>
      </c>
      <c r="R1065" s="1">
        <v>45416</v>
      </c>
      <c r="S1065">
        <v>15.3748</v>
      </c>
      <c r="U1065" s="1">
        <v>45416</v>
      </c>
      <c r="V1065">
        <v>-2.5729000000000002</v>
      </c>
      <c r="BL1065" s="1"/>
    </row>
    <row r="1066" spans="15:64">
      <c r="O1066" s="1">
        <v>45417</v>
      </c>
      <c r="P1066">
        <v>22.414000000000001</v>
      </c>
      <c r="R1066" s="1">
        <v>45417</v>
      </c>
      <c r="S1066">
        <v>15.3748</v>
      </c>
      <c r="U1066" s="1">
        <v>45417</v>
      </c>
      <c r="V1066">
        <v>-2.5729000000000002</v>
      </c>
      <c r="BL1066" s="1"/>
    </row>
    <row r="1067" spans="15:64">
      <c r="O1067" s="1">
        <v>45418</v>
      </c>
      <c r="P1067">
        <v>23.9206</v>
      </c>
      <c r="R1067" s="1">
        <v>45418</v>
      </c>
      <c r="S1067">
        <v>16.487500000000001</v>
      </c>
      <c r="U1067" s="1">
        <v>45418</v>
      </c>
      <c r="V1067">
        <v>-2.5935000000000001</v>
      </c>
      <c r="BL1067" s="1"/>
    </row>
    <row r="1068" spans="15:64">
      <c r="O1068" s="1">
        <v>45419</v>
      </c>
      <c r="P1068">
        <v>24.862300000000001</v>
      </c>
      <c r="R1068" s="1">
        <v>45419</v>
      </c>
      <c r="S1068">
        <v>18.120799999999999</v>
      </c>
      <c r="U1068" s="1">
        <v>45419</v>
      </c>
      <c r="V1068">
        <v>-2.242</v>
      </c>
      <c r="BL1068" s="1"/>
    </row>
    <row r="1069" spans="15:64">
      <c r="O1069" s="1">
        <v>45420</v>
      </c>
      <c r="P1069">
        <v>26.3689</v>
      </c>
      <c r="R1069" s="1">
        <v>45420</v>
      </c>
      <c r="S1069">
        <v>18.558800000000002</v>
      </c>
      <c r="U1069" s="1">
        <v>45420</v>
      </c>
      <c r="V1069">
        <v>-0.75329999999999997</v>
      </c>
      <c r="BL1069" s="1"/>
    </row>
    <row r="1070" spans="15:64">
      <c r="O1070" s="1">
        <v>45421</v>
      </c>
      <c r="P1070">
        <v>26.180599999999998</v>
      </c>
      <c r="R1070" s="1">
        <v>45421</v>
      </c>
      <c r="S1070">
        <v>19.7651</v>
      </c>
      <c r="U1070" s="1">
        <v>45421</v>
      </c>
      <c r="V1070">
        <v>-1.1875</v>
      </c>
      <c r="BL1070" s="1"/>
    </row>
    <row r="1071" spans="15:64">
      <c r="O1071" s="1">
        <v>45422</v>
      </c>
      <c r="P1071">
        <v>27.687200000000001</v>
      </c>
      <c r="R1071" s="1">
        <v>45422</v>
      </c>
      <c r="S1071">
        <v>20.317900000000002</v>
      </c>
      <c r="U1071" s="1">
        <v>45422</v>
      </c>
      <c r="V1071">
        <v>-0.62929999999999997</v>
      </c>
      <c r="BL1071" s="1"/>
    </row>
    <row r="1072" spans="15:64">
      <c r="O1072" s="1">
        <v>45423</v>
      </c>
      <c r="P1072">
        <v>27.687200000000001</v>
      </c>
      <c r="R1072" s="1">
        <v>45423</v>
      </c>
      <c r="S1072">
        <v>20.317900000000002</v>
      </c>
      <c r="U1072" s="1">
        <v>45423</v>
      </c>
      <c r="V1072">
        <v>-0.62929999999999997</v>
      </c>
      <c r="BL1072" s="1"/>
    </row>
    <row r="1073" spans="15:64">
      <c r="O1073" s="1">
        <v>45424</v>
      </c>
      <c r="P1073">
        <v>27.687200000000001</v>
      </c>
      <c r="R1073" s="1">
        <v>45424</v>
      </c>
      <c r="S1073">
        <v>20.317900000000002</v>
      </c>
      <c r="U1073" s="1">
        <v>45424</v>
      </c>
      <c r="V1073">
        <v>-0.62929999999999997</v>
      </c>
      <c r="BL1073" s="1"/>
    </row>
    <row r="1074" spans="15:64">
      <c r="O1074" s="1">
        <v>45425</v>
      </c>
      <c r="P1074">
        <v>27.498899999999999</v>
      </c>
      <c r="R1074" s="1">
        <v>45425</v>
      </c>
      <c r="S1074">
        <v>20.121600000000001</v>
      </c>
      <c r="U1074" s="1">
        <v>45425</v>
      </c>
      <c r="V1074">
        <v>0.65269999999999995</v>
      </c>
      <c r="BL1074" s="1"/>
    </row>
    <row r="1075" spans="15:64">
      <c r="O1075" s="1">
        <v>45426</v>
      </c>
      <c r="P1075">
        <v>22.037299999999998</v>
      </c>
      <c r="R1075" s="1">
        <v>45426</v>
      </c>
      <c r="S1075">
        <v>19.956199999999999</v>
      </c>
      <c r="U1075" s="1">
        <v>45426</v>
      </c>
      <c r="V1075">
        <v>1.2109000000000001</v>
      </c>
      <c r="BL1075" s="1"/>
    </row>
    <row r="1076" spans="15:64">
      <c r="O1076" s="1">
        <v>45427</v>
      </c>
      <c r="P1076">
        <v>23.9206</v>
      </c>
      <c r="R1076" s="1">
        <v>45427</v>
      </c>
      <c r="S1076">
        <v>20.936399999999999</v>
      </c>
      <c r="U1076" s="1">
        <v>45427</v>
      </c>
      <c r="V1076">
        <v>2.6996000000000002</v>
      </c>
      <c r="BL1076" s="1"/>
    </row>
    <row r="1077" spans="15:64">
      <c r="O1077" s="1">
        <v>45428</v>
      </c>
      <c r="P1077">
        <v>22.037299999999998</v>
      </c>
      <c r="R1077" s="1">
        <v>45428</v>
      </c>
      <c r="S1077">
        <v>20.099699999999999</v>
      </c>
      <c r="U1077" s="1">
        <v>45428</v>
      </c>
      <c r="V1077">
        <v>-5.0299999999999997E-2</v>
      </c>
      <c r="BL1077" s="1"/>
    </row>
    <row r="1078" spans="15:64">
      <c r="O1078" s="1">
        <v>45429</v>
      </c>
      <c r="P1078">
        <v>22.037299999999998</v>
      </c>
      <c r="R1078" s="1">
        <v>45429</v>
      </c>
      <c r="S1078">
        <v>19.879300000000001</v>
      </c>
      <c r="U1078" s="1">
        <v>45429</v>
      </c>
      <c r="V1078">
        <v>-0.40179999999999999</v>
      </c>
      <c r="BL1078" s="1"/>
    </row>
    <row r="1079" spans="15:64">
      <c r="O1079" s="1">
        <v>45430</v>
      </c>
      <c r="P1079">
        <v>22.037299999999998</v>
      </c>
      <c r="R1079" s="1">
        <v>45430</v>
      </c>
      <c r="S1079">
        <v>19.879300000000001</v>
      </c>
      <c r="U1079" s="1">
        <v>45430</v>
      </c>
      <c r="V1079">
        <v>-0.40179999999999999</v>
      </c>
      <c r="BL1079" s="1"/>
    </row>
    <row r="1080" spans="15:64">
      <c r="O1080" s="1">
        <v>45431</v>
      </c>
      <c r="P1080">
        <v>22.037299999999998</v>
      </c>
      <c r="R1080" s="1">
        <v>45431</v>
      </c>
      <c r="S1080">
        <v>19.879300000000001</v>
      </c>
      <c r="U1080" s="1">
        <v>45431</v>
      </c>
      <c r="V1080">
        <v>-0.40179999999999999</v>
      </c>
      <c r="BL1080" s="1"/>
    </row>
    <row r="1081" spans="15:64">
      <c r="O1081" s="1">
        <v>45432</v>
      </c>
      <c r="P1081">
        <v>21.660699999999999</v>
      </c>
      <c r="R1081" s="1">
        <v>45432</v>
      </c>
      <c r="S1081">
        <v>20.292899999999999</v>
      </c>
      <c r="U1081" s="1">
        <v>45432</v>
      </c>
      <c r="V1081">
        <v>-2.5522</v>
      </c>
      <c r="BL1081" s="1"/>
    </row>
    <row r="1082" spans="15:64">
      <c r="O1082" s="1">
        <v>45433</v>
      </c>
      <c r="P1082">
        <v>22.037299999999998</v>
      </c>
      <c r="R1082" s="1">
        <v>45433</v>
      </c>
      <c r="S1082">
        <v>20.022500000000001</v>
      </c>
      <c r="U1082" s="1">
        <v>45433</v>
      </c>
      <c r="V1082">
        <v>-2.9449999999999998</v>
      </c>
      <c r="BL1082" s="1"/>
    </row>
    <row r="1083" spans="15:64">
      <c r="O1083" s="1">
        <v>45434</v>
      </c>
      <c r="P1083">
        <v>21.283999999999999</v>
      </c>
      <c r="R1083" s="1">
        <v>45434</v>
      </c>
      <c r="S1083">
        <v>19.7241</v>
      </c>
      <c r="U1083" s="1">
        <v>45434</v>
      </c>
      <c r="V1083">
        <v>-1.9319</v>
      </c>
      <c r="BL1083" s="1"/>
    </row>
    <row r="1084" spans="15:64">
      <c r="O1084" s="1">
        <v>45435</v>
      </c>
      <c r="P1084">
        <v>22.790600000000001</v>
      </c>
      <c r="R1084" s="1">
        <v>45435</v>
      </c>
      <c r="S1084">
        <v>19.795300000000001</v>
      </c>
      <c r="U1084" s="1">
        <v>45435</v>
      </c>
      <c r="V1084">
        <v>-3.6480000000000001</v>
      </c>
      <c r="BL1084" s="1"/>
    </row>
    <row r="1085" spans="15:64">
      <c r="O1085" s="1">
        <v>45436</v>
      </c>
      <c r="P1085">
        <v>22.978999999999999</v>
      </c>
      <c r="R1085" s="1">
        <v>45436</v>
      </c>
      <c r="S1085">
        <v>19.808499999999999</v>
      </c>
      <c r="U1085" s="1">
        <v>45436</v>
      </c>
      <c r="V1085">
        <v>-4.0202</v>
      </c>
      <c r="BL1085" s="1"/>
    </row>
    <row r="1086" spans="15:64">
      <c r="O1086" s="1">
        <v>45437</v>
      </c>
      <c r="P1086">
        <v>22.978999999999999</v>
      </c>
      <c r="R1086" s="1">
        <v>45437</v>
      </c>
      <c r="S1086">
        <v>19.808499999999999</v>
      </c>
      <c r="U1086" s="1">
        <v>45437</v>
      </c>
      <c r="V1086">
        <v>-4.0202</v>
      </c>
      <c r="BL1086" s="1"/>
    </row>
    <row r="1087" spans="15:64">
      <c r="O1087" s="1">
        <v>45438</v>
      </c>
      <c r="P1087">
        <v>22.978999999999999</v>
      </c>
      <c r="R1087" s="1">
        <v>45438</v>
      </c>
      <c r="S1087">
        <v>19.808499999999999</v>
      </c>
      <c r="U1087" s="1">
        <v>45438</v>
      </c>
      <c r="V1087">
        <v>-4.0202</v>
      </c>
      <c r="BL1087" s="1"/>
    </row>
    <row r="1088" spans="15:64">
      <c r="O1088" s="1">
        <v>45439</v>
      </c>
      <c r="P1088">
        <v>24.108899999999998</v>
      </c>
      <c r="R1088" s="1">
        <v>45439</v>
      </c>
      <c r="S1088">
        <v>20.329799999999999</v>
      </c>
      <c r="U1088" s="1">
        <v>45439</v>
      </c>
      <c r="V1088">
        <v>-4.0202</v>
      </c>
      <c r="BL1088" s="1"/>
    </row>
    <row r="1089" spans="15:64">
      <c r="O1089" s="1">
        <v>45440</v>
      </c>
      <c r="P1089">
        <v>22.414000000000001</v>
      </c>
      <c r="R1089" s="1">
        <v>45440</v>
      </c>
      <c r="S1089">
        <v>19.709099999999999</v>
      </c>
      <c r="U1089" s="1">
        <v>45440</v>
      </c>
      <c r="V1089">
        <v>-4.3097000000000003</v>
      </c>
      <c r="BL1089" s="1"/>
    </row>
    <row r="1090" spans="15:64">
      <c r="O1090" s="1">
        <v>45441</v>
      </c>
      <c r="P1090">
        <v>16.764099999999999</v>
      </c>
      <c r="R1090" s="1">
        <v>45441</v>
      </c>
      <c r="S1090">
        <v>18.398</v>
      </c>
      <c r="U1090" s="1">
        <v>45441</v>
      </c>
      <c r="V1090">
        <v>-4.7232000000000003</v>
      </c>
      <c r="BL1090" s="1"/>
    </row>
    <row r="1091" spans="15:64">
      <c r="O1091" s="1">
        <v>45442</v>
      </c>
      <c r="P1091">
        <v>21.095700000000001</v>
      </c>
      <c r="R1091" s="1">
        <v>45442</v>
      </c>
      <c r="S1091">
        <v>18.5486</v>
      </c>
      <c r="U1091" s="1">
        <v>45442</v>
      </c>
      <c r="V1091">
        <v>-4.6405000000000003</v>
      </c>
      <c r="BL1091" s="1"/>
    </row>
    <row r="1092" spans="15:64">
      <c r="O1092" s="1">
        <v>45443</v>
      </c>
      <c r="P1092">
        <v>23.355599999999999</v>
      </c>
      <c r="R1092" s="1">
        <v>45443</v>
      </c>
      <c r="S1092">
        <v>18.555900000000001</v>
      </c>
      <c r="U1092" s="1">
        <v>45443</v>
      </c>
      <c r="V1092">
        <v>-3.8548</v>
      </c>
      <c r="BL1092" s="1"/>
    </row>
    <row r="1093" spans="15:64">
      <c r="O1093" s="1">
        <v>45444</v>
      </c>
      <c r="P1093">
        <v>23.355599999999999</v>
      </c>
      <c r="R1093" s="1">
        <v>45444</v>
      </c>
      <c r="S1093">
        <v>18.555900000000001</v>
      </c>
      <c r="U1093" s="1">
        <v>45444</v>
      </c>
      <c r="V1093">
        <v>-3.8548</v>
      </c>
      <c r="BL1093" s="1"/>
    </row>
    <row r="1094" spans="15:64">
      <c r="O1094" s="1">
        <v>45445</v>
      </c>
      <c r="P1094">
        <v>23.355599999999999</v>
      </c>
      <c r="R1094" s="1">
        <v>45445</v>
      </c>
      <c r="S1094">
        <v>18.555900000000001</v>
      </c>
      <c r="U1094" s="1">
        <v>45445</v>
      </c>
      <c r="V1094">
        <v>-3.8548</v>
      </c>
      <c r="BL1094" s="1"/>
    </row>
    <row r="1095" spans="15:64">
      <c r="O1095" s="1">
        <v>45446</v>
      </c>
      <c r="P1095">
        <v>26.7456</v>
      </c>
      <c r="R1095" s="1">
        <v>45446</v>
      </c>
      <c r="S1095">
        <v>19.2624</v>
      </c>
      <c r="U1095" s="1">
        <v>45446</v>
      </c>
      <c r="V1095">
        <v>-3.5446</v>
      </c>
      <c r="BL1095" s="1"/>
    </row>
    <row r="1096" spans="15:64">
      <c r="O1096" s="1">
        <v>45447</v>
      </c>
      <c r="P1096">
        <v>27.875499999999999</v>
      </c>
      <c r="R1096" s="1">
        <v>45447</v>
      </c>
      <c r="S1096">
        <v>17.964400000000001</v>
      </c>
      <c r="U1096" s="1">
        <v>45447</v>
      </c>
      <c r="V1096">
        <v>-1.9525999999999999</v>
      </c>
      <c r="BL1096" s="1"/>
    </row>
    <row r="1097" spans="15:64">
      <c r="O1097" s="1">
        <v>45448</v>
      </c>
      <c r="P1097">
        <v>30.8888</v>
      </c>
      <c r="R1097" s="1">
        <v>45448</v>
      </c>
      <c r="S1097">
        <v>19.055900000000001</v>
      </c>
      <c r="U1097" s="1">
        <v>45448</v>
      </c>
      <c r="V1097">
        <v>-4.8472999999999997</v>
      </c>
      <c r="BL1097" s="1"/>
    </row>
    <row r="1098" spans="15:64">
      <c r="O1098" s="1">
        <v>45449</v>
      </c>
      <c r="P1098">
        <v>24.6739</v>
      </c>
      <c r="R1098" s="1">
        <v>45449</v>
      </c>
      <c r="S1098">
        <v>19.547599999999999</v>
      </c>
      <c r="U1098" s="1">
        <v>45449</v>
      </c>
      <c r="V1098">
        <v>-4.4131</v>
      </c>
      <c r="BL1098" s="1"/>
    </row>
    <row r="1099" spans="15:64">
      <c r="O1099" s="1">
        <v>45450</v>
      </c>
      <c r="P1099">
        <v>21.283999999999999</v>
      </c>
      <c r="R1099" s="1">
        <v>45450</v>
      </c>
      <c r="S1099">
        <v>18.936199999999999</v>
      </c>
      <c r="U1099" s="1">
        <v>45450</v>
      </c>
      <c r="V1099">
        <v>-5.2194000000000003</v>
      </c>
      <c r="BL1099" s="1"/>
    </row>
    <row r="1100" spans="15:64">
      <c r="O1100" s="1">
        <v>45451</v>
      </c>
      <c r="P1100">
        <v>21.283999999999999</v>
      </c>
      <c r="R1100" s="1">
        <v>45451</v>
      </c>
      <c r="S1100">
        <v>18.936199999999999</v>
      </c>
      <c r="U1100" s="1">
        <v>45451</v>
      </c>
      <c r="V1100">
        <v>-5.2194000000000003</v>
      </c>
      <c r="BL1100" s="1"/>
    </row>
    <row r="1101" spans="15:64">
      <c r="O1101" s="1">
        <v>45452</v>
      </c>
      <c r="P1101">
        <v>21.283999999999999</v>
      </c>
      <c r="R1101" s="1">
        <v>45452</v>
      </c>
      <c r="S1101">
        <v>18.936199999999999</v>
      </c>
      <c r="U1101" s="1">
        <v>45452</v>
      </c>
      <c r="V1101">
        <v>-5.2194000000000003</v>
      </c>
      <c r="BL1101" s="1"/>
    </row>
    <row r="1102" spans="15:64">
      <c r="O1102" s="1">
        <v>45453</v>
      </c>
      <c r="P1102">
        <v>23.9206</v>
      </c>
      <c r="R1102" s="1">
        <v>45453</v>
      </c>
      <c r="S1102">
        <v>18.5364</v>
      </c>
      <c r="U1102" s="1">
        <v>45453</v>
      </c>
      <c r="V1102">
        <v>-5.1988000000000003</v>
      </c>
      <c r="BL1102" s="1"/>
    </row>
    <row r="1103" spans="15:64">
      <c r="O1103" s="1">
        <v>45454</v>
      </c>
      <c r="P1103">
        <v>22.414000000000001</v>
      </c>
      <c r="R1103" s="1">
        <v>45454</v>
      </c>
      <c r="S1103">
        <v>17.735600000000002</v>
      </c>
      <c r="U1103" s="1">
        <v>45454</v>
      </c>
      <c r="V1103">
        <v>-5.3642000000000003</v>
      </c>
      <c r="BL1103" s="1"/>
    </row>
    <row r="1104" spans="15:64">
      <c r="O1104" s="1">
        <v>45455</v>
      </c>
      <c r="P1104">
        <v>25.803899999999999</v>
      </c>
      <c r="R1104" s="1">
        <v>45455</v>
      </c>
      <c r="S1104">
        <v>19.407800000000002</v>
      </c>
      <c r="U1104" s="1">
        <v>45455</v>
      </c>
      <c r="V1104">
        <v>-5.6742999999999997</v>
      </c>
      <c r="BL1104" s="1"/>
    </row>
    <row r="1105" spans="15:64">
      <c r="O1105" s="1">
        <v>45456</v>
      </c>
      <c r="P1105">
        <v>20.907399999999999</v>
      </c>
      <c r="R1105" s="1">
        <v>45456</v>
      </c>
      <c r="S1105">
        <v>17.067399999999999</v>
      </c>
      <c r="U1105" s="1">
        <v>45456</v>
      </c>
      <c r="V1105">
        <v>-5.8811</v>
      </c>
      <c r="BL1105" s="1"/>
    </row>
    <row r="1106" spans="15:64">
      <c r="O1106" s="1">
        <v>45457</v>
      </c>
      <c r="P1106">
        <v>17.3291</v>
      </c>
      <c r="R1106" s="1">
        <v>45457</v>
      </c>
      <c r="S1106">
        <v>15.3775</v>
      </c>
      <c r="U1106" s="1">
        <v>45457</v>
      </c>
      <c r="V1106">
        <v>-5.5503</v>
      </c>
      <c r="BL1106" s="1"/>
    </row>
    <row r="1107" spans="15:64">
      <c r="O1107" s="1">
        <v>45458</v>
      </c>
      <c r="P1107">
        <v>17.3291</v>
      </c>
      <c r="R1107" s="1">
        <v>45458</v>
      </c>
      <c r="S1107">
        <v>15.3775</v>
      </c>
      <c r="U1107" s="1">
        <v>45458</v>
      </c>
      <c r="V1107">
        <v>-5.5503</v>
      </c>
      <c r="BL1107" s="1"/>
    </row>
    <row r="1108" spans="15:64">
      <c r="O1108" s="1">
        <v>45459</v>
      </c>
      <c r="P1108">
        <v>17.3291</v>
      </c>
      <c r="R1108" s="1">
        <v>45459</v>
      </c>
      <c r="S1108">
        <v>15.3775</v>
      </c>
      <c r="U1108" s="1">
        <v>45459</v>
      </c>
      <c r="V1108">
        <v>-5.5503</v>
      </c>
      <c r="BL1108" s="1"/>
    </row>
    <row r="1109" spans="15:64">
      <c r="O1109" s="1">
        <v>45460</v>
      </c>
      <c r="P1109">
        <v>18.714099999999998</v>
      </c>
      <c r="R1109" s="1">
        <v>45460</v>
      </c>
      <c r="S1109">
        <v>15.8017</v>
      </c>
      <c r="U1109" s="1">
        <v>45460</v>
      </c>
      <c r="V1109">
        <v>-5.5296000000000003</v>
      </c>
      <c r="BL1109" s="1"/>
    </row>
    <row r="1110" spans="15:64">
      <c r="O1110" s="1">
        <v>45461</v>
      </c>
      <c r="P1110">
        <v>20.0991</v>
      </c>
      <c r="R1110" s="1">
        <v>45461</v>
      </c>
      <c r="S1110">
        <v>16.2104</v>
      </c>
      <c r="U1110" s="1">
        <v>45461</v>
      </c>
      <c r="V1110">
        <v>-4.9505999999999997</v>
      </c>
      <c r="BL1110" s="1"/>
    </row>
    <row r="1111" spans="15:64">
      <c r="O1111" s="1">
        <v>45462</v>
      </c>
      <c r="P1111">
        <v>20.692699999999999</v>
      </c>
      <c r="R1111" s="1">
        <v>45462</v>
      </c>
      <c r="S1111">
        <v>15.799799999999999</v>
      </c>
      <c r="U1111" s="1">
        <v>45462</v>
      </c>
      <c r="V1111">
        <v>-4.9505999999999997</v>
      </c>
      <c r="BL1111" s="1"/>
    </row>
    <row r="1112" spans="15:64">
      <c r="O1112" s="1">
        <v>45463</v>
      </c>
      <c r="P1112">
        <v>20.890499999999999</v>
      </c>
      <c r="R1112" s="1">
        <v>45463</v>
      </c>
      <c r="S1112">
        <v>16.9937</v>
      </c>
      <c r="U1112" s="1">
        <v>45463</v>
      </c>
      <c r="V1112">
        <v>-3.3999000000000001</v>
      </c>
      <c r="BL1112" s="1"/>
    </row>
    <row r="1113" spans="15:64">
      <c r="O1113" s="1">
        <v>45464</v>
      </c>
      <c r="P1113">
        <v>16.141999999999999</v>
      </c>
      <c r="R1113" s="1">
        <v>45464</v>
      </c>
      <c r="S1113">
        <v>16.412600000000001</v>
      </c>
      <c r="U1113" s="1">
        <v>45464</v>
      </c>
      <c r="V1113">
        <v>-2.2214</v>
      </c>
      <c r="BL1113" s="1"/>
    </row>
    <row r="1114" spans="15:64">
      <c r="O1114" s="1">
        <v>45465</v>
      </c>
      <c r="P1114">
        <v>16.141999999999999</v>
      </c>
      <c r="R1114" s="1">
        <v>45465</v>
      </c>
      <c r="S1114">
        <v>16.412600000000001</v>
      </c>
      <c r="U1114" s="1">
        <v>45465</v>
      </c>
      <c r="V1114">
        <v>-2.2214</v>
      </c>
      <c r="BL1114" s="1"/>
    </row>
    <row r="1115" spans="15:64">
      <c r="O1115" s="1">
        <v>45466</v>
      </c>
      <c r="P1115">
        <v>16.141999999999999</v>
      </c>
      <c r="R1115" s="1">
        <v>45466</v>
      </c>
      <c r="S1115">
        <v>16.412600000000001</v>
      </c>
      <c r="U1115" s="1">
        <v>45466</v>
      </c>
      <c r="V1115">
        <v>-2.2214</v>
      </c>
      <c r="BL1115" s="1"/>
    </row>
    <row r="1116" spans="15:64">
      <c r="O1116" s="1">
        <v>45467</v>
      </c>
      <c r="P1116">
        <v>20.297000000000001</v>
      </c>
      <c r="R1116" s="1">
        <v>45467</v>
      </c>
      <c r="S1116">
        <v>17.4513</v>
      </c>
      <c r="U1116" s="1">
        <v>45467</v>
      </c>
      <c r="V1116">
        <v>-2.242</v>
      </c>
      <c r="BL1116" s="1"/>
    </row>
    <row r="1117" spans="15:64">
      <c r="O1117" s="1">
        <v>45468</v>
      </c>
      <c r="P1117">
        <v>17.724799999999998</v>
      </c>
      <c r="R1117" s="1">
        <v>45468</v>
      </c>
      <c r="S1117">
        <v>16.503</v>
      </c>
      <c r="U1117" s="1">
        <v>45468</v>
      </c>
      <c r="V1117">
        <v>-2.0352999999999999</v>
      </c>
      <c r="BL1117" s="1"/>
    </row>
    <row r="1118" spans="15:64">
      <c r="O1118" s="1">
        <v>45469</v>
      </c>
      <c r="P1118">
        <v>17.527000000000001</v>
      </c>
      <c r="R1118" s="1">
        <v>45469</v>
      </c>
      <c r="S1118">
        <v>16.359500000000001</v>
      </c>
      <c r="U1118" s="1">
        <v>45469</v>
      </c>
      <c r="V1118">
        <v>-3.1103999999999998</v>
      </c>
      <c r="BL1118" s="1"/>
    </row>
    <row r="1119" spans="15:64">
      <c r="O1119" s="1">
        <v>45470</v>
      </c>
      <c r="P1119">
        <v>18.516200000000001</v>
      </c>
      <c r="R1119" s="1">
        <v>45470</v>
      </c>
      <c r="S1119">
        <v>16.713999999999999</v>
      </c>
      <c r="U1119" s="1">
        <v>45470</v>
      </c>
      <c r="V1119">
        <v>-1.8905000000000001</v>
      </c>
      <c r="BL1119" s="1"/>
    </row>
    <row r="1120" spans="15:64">
      <c r="O1120" s="1">
        <v>45471</v>
      </c>
      <c r="P1120">
        <v>20.890499999999999</v>
      </c>
      <c r="R1120" s="1">
        <v>45471</v>
      </c>
      <c r="S1120">
        <v>16.8736</v>
      </c>
      <c r="U1120" s="1">
        <v>45471</v>
      </c>
      <c r="V1120">
        <v>-1.7665</v>
      </c>
      <c r="BL1120" s="1"/>
    </row>
    <row r="1121" spans="15:64">
      <c r="O1121" s="1">
        <v>45472</v>
      </c>
      <c r="P1121">
        <v>20.890499999999999</v>
      </c>
      <c r="R1121" s="1">
        <v>45472</v>
      </c>
      <c r="S1121">
        <v>16.8736</v>
      </c>
      <c r="U1121" s="1">
        <v>45472</v>
      </c>
      <c r="V1121">
        <v>-1.7665</v>
      </c>
      <c r="BL1121" s="1"/>
    </row>
    <row r="1122" spans="15:64">
      <c r="O1122" s="1">
        <v>45473</v>
      </c>
      <c r="P1122">
        <v>20.890499999999999</v>
      </c>
      <c r="R1122" s="1">
        <v>45473</v>
      </c>
      <c r="S1122">
        <v>16.8736</v>
      </c>
      <c r="U1122" s="1">
        <v>45473</v>
      </c>
      <c r="V1122">
        <v>-1.7665</v>
      </c>
      <c r="BL1122" s="1"/>
    </row>
    <row r="1123" spans="15:64">
      <c r="O1123" s="1">
        <v>45474</v>
      </c>
      <c r="P1123">
        <v>21.484100000000002</v>
      </c>
      <c r="R1123" s="1">
        <v>45474</v>
      </c>
      <c r="S1123">
        <v>17.227499999999999</v>
      </c>
      <c r="U1123" s="1">
        <v>45474</v>
      </c>
      <c r="V1123">
        <v>-1.7458</v>
      </c>
      <c r="BL1123" s="1"/>
    </row>
    <row r="1124" spans="15:64">
      <c r="O1124" s="1">
        <v>45475</v>
      </c>
      <c r="P1124">
        <v>20.0991</v>
      </c>
      <c r="R1124" s="1">
        <v>45475</v>
      </c>
      <c r="S1124">
        <v>16.4161</v>
      </c>
      <c r="U1124" s="1">
        <v>45475</v>
      </c>
      <c r="V1124">
        <v>-2.242</v>
      </c>
      <c r="BL1124" s="1"/>
    </row>
    <row r="1125" spans="15:64">
      <c r="O1125" s="1">
        <v>45476</v>
      </c>
      <c r="P1125">
        <v>21.879799999999999</v>
      </c>
      <c r="R1125" s="1">
        <v>45476</v>
      </c>
      <c r="S1125">
        <v>17.765000000000001</v>
      </c>
      <c r="U1125" s="1">
        <v>45476</v>
      </c>
      <c r="V1125">
        <v>-2.6349</v>
      </c>
      <c r="BL1125" s="1"/>
    </row>
    <row r="1126" spans="15:64">
      <c r="O1126" s="1">
        <v>45477</v>
      </c>
      <c r="P1126">
        <v>22.671199999999999</v>
      </c>
      <c r="R1126" s="1">
        <v>45477</v>
      </c>
      <c r="S1126">
        <v>18.251799999999999</v>
      </c>
      <c r="U1126" s="1">
        <v>45477</v>
      </c>
      <c r="V1126">
        <v>-2.6349</v>
      </c>
      <c r="BL1126" s="1"/>
    </row>
    <row r="1127" spans="15:64">
      <c r="O1127" s="1">
        <v>45478</v>
      </c>
      <c r="P1127">
        <v>22.473400000000002</v>
      </c>
      <c r="R1127" s="1">
        <v>45478</v>
      </c>
      <c r="S1127">
        <v>18.411799999999999</v>
      </c>
      <c r="U1127" s="1">
        <v>45478</v>
      </c>
      <c r="V1127">
        <v>-2.7176</v>
      </c>
      <c r="BL1127" s="1"/>
    </row>
    <row r="1128" spans="15:64">
      <c r="O1128" s="1">
        <v>45479</v>
      </c>
      <c r="P1128">
        <v>22.473400000000002</v>
      </c>
      <c r="R1128" s="1">
        <v>45479</v>
      </c>
      <c r="S1128">
        <v>18.411799999999999</v>
      </c>
      <c r="U1128" s="1">
        <v>45479</v>
      </c>
      <c r="V1128">
        <v>-2.7176</v>
      </c>
      <c r="BL1128" s="1"/>
    </row>
    <row r="1129" spans="15:64">
      <c r="O1129" s="1">
        <v>45480</v>
      </c>
      <c r="P1129">
        <v>22.473400000000002</v>
      </c>
      <c r="R1129" s="1">
        <v>45480</v>
      </c>
      <c r="S1129">
        <v>18.411799999999999</v>
      </c>
      <c r="U1129" s="1">
        <v>45480</v>
      </c>
      <c r="V1129">
        <v>-2.7176</v>
      </c>
      <c r="BL1129" s="1"/>
    </row>
    <row r="1130" spans="15:64">
      <c r="O1130" s="1">
        <v>45481</v>
      </c>
      <c r="P1130">
        <v>21.0884</v>
      </c>
      <c r="R1130" s="1">
        <v>45481</v>
      </c>
      <c r="S1130">
        <v>18.39</v>
      </c>
      <c r="U1130" s="1">
        <v>45481</v>
      </c>
      <c r="V1130">
        <v>-3.948</v>
      </c>
      <c r="BL1130" s="1"/>
    </row>
    <row r="1131" spans="15:64">
      <c r="O1131" s="1">
        <v>45482</v>
      </c>
      <c r="P1131">
        <v>18.1205</v>
      </c>
      <c r="R1131" s="1">
        <v>45482</v>
      </c>
      <c r="S1131">
        <v>16.878299999999999</v>
      </c>
      <c r="U1131" s="1">
        <v>45482</v>
      </c>
      <c r="V1131">
        <v>-4.4901999999999997</v>
      </c>
      <c r="BL1131" s="1"/>
    </row>
    <row r="1132" spans="15:64">
      <c r="O1132" s="1">
        <v>45483</v>
      </c>
      <c r="P1132">
        <v>20.0991</v>
      </c>
      <c r="R1132" s="1">
        <v>45483</v>
      </c>
      <c r="S1132">
        <v>17.974499999999999</v>
      </c>
      <c r="U1132" s="1">
        <v>45483</v>
      </c>
      <c r="V1132">
        <v>-3.51</v>
      </c>
      <c r="BL1132" s="1"/>
    </row>
    <row r="1133" spans="15:64">
      <c r="O1133" s="1">
        <v>45484</v>
      </c>
      <c r="P1133">
        <v>20.890499999999999</v>
      </c>
      <c r="R1133" s="1">
        <v>45484</v>
      </c>
      <c r="S1133">
        <v>18.790600000000001</v>
      </c>
      <c r="U1133" s="1">
        <v>45484</v>
      </c>
      <c r="V1133">
        <v>-2.4882</v>
      </c>
      <c r="BL1133" s="1"/>
    </row>
    <row r="1134" spans="15:64">
      <c r="O1134" s="1">
        <v>45485</v>
      </c>
      <c r="P1134">
        <v>23.462700000000002</v>
      </c>
      <c r="R1134" s="1">
        <v>45485</v>
      </c>
      <c r="S1134">
        <v>20.159800000000001</v>
      </c>
      <c r="U1134" s="1">
        <v>45485</v>
      </c>
      <c r="V1134">
        <v>-1.1953</v>
      </c>
      <c r="BL1134" s="1"/>
    </row>
    <row r="1135" spans="15:64">
      <c r="O1135" s="1">
        <v>45486</v>
      </c>
      <c r="P1135">
        <v>23.462700000000002</v>
      </c>
      <c r="R1135" s="1">
        <v>45486</v>
      </c>
      <c r="S1135">
        <v>20.159800000000001</v>
      </c>
      <c r="U1135" s="1">
        <v>45486</v>
      </c>
      <c r="V1135">
        <v>-1.1953</v>
      </c>
      <c r="BL1135" s="1"/>
    </row>
    <row r="1136" spans="15:64">
      <c r="O1136" s="1">
        <v>45487</v>
      </c>
      <c r="P1136">
        <v>23.462700000000002</v>
      </c>
      <c r="R1136" s="1">
        <v>45487</v>
      </c>
      <c r="S1136">
        <v>20.159800000000001</v>
      </c>
      <c r="U1136" s="1">
        <v>45487</v>
      </c>
      <c r="V1136">
        <v>-1.1953</v>
      </c>
      <c r="BL1136" s="1"/>
    </row>
    <row r="1137" spans="15:64">
      <c r="O1137" s="1">
        <v>45488</v>
      </c>
      <c r="P1137">
        <v>22.671199999999999</v>
      </c>
      <c r="R1137" s="1">
        <v>45488</v>
      </c>
      <c r="S1137">
        <v>19.151700000000002</v>
      </c>
      <c r="U1137" s="1">
        <v>45488</v>
      </c>
      <c r="V1137">
        <v>-1.1536</v>
      </c>
      <c r="BL1137" s="1"/>
    </row>
    <row r="1138" spans="15:64">
      <c r="O1138" s="1">
        <v>45489</v>
      </c>
      <c r="P1138">
        <v>22.275500000000001</v>
      </c>
      <c r="R1138" s="1">
        <v>45489</v>
      </c>
      <c r="S1138">
        <v>18.684699999999999</v>
      </c>
      <c r="U1138" s="1">
        <v>45489</v>
      </c>
      <c r="V1138">
        <v>-1.1119000000000001</v>
      </c>
      <c r="BL1138" s="1"/>
    </row>
    <row r="1139" spans="15:64">
      <c r="O1139" s="1">
        <v>45490</v>
      </c>
      <c r="P1139">
        <v>19.703399999999998</v>
      </c>
      <c r="R1139" s="1">
        <v>45490</v>
      </c>
      <c r="S1139">
        <v>18.167300000000001</v>
      </c>
      <c r="U1139" s="1">
        <v>45490</v>
      </c>
      <c r="V1139">
        <v>1.1819999999999999</v>
      </c>
      <c r="BL1139" s="1"/>
    </row>
    <row r="1140" spans="15:64">
      <c r="O1140" s="1">
        <v>45491</v>
      </c>
      <c r="P1140">
        <v>25.441199999999998</v>
      </c>
      <c r="R1140" s="1">
        <v>45491</v>
      </c>
      <c r="S1140">
        <v>17.638300000000001</v>
      </c>
      <c r="U1140" s="1">
        <v>45491</v>
      </c>
      <c r="V1140">
        <v>0.18110000000000001</v>
      </c>
      <c r="BL1140" s="1"/>
    </row>
    <row r="1141" spans="15:64">
      <c r="O1141" s="1">
        <v>45492</v>
      </c>
      <c r="P1141">
        <v>22.671199999999999</v>
      </c>
      <c r="R1141" s="1">
        <v>45492</v>
      </c>
      <c r="S1141">
        <v>16.4665</v>
      </c>
      <c r="U1141" s="1">
        <v>45492</v>
      </c>
      <c r="V1141">
        <v>-1.3204</v>
      </c>
      <c r="BL1141" s="1"/>
    </row>
    <row r="1142" spans="15:64">
      <c r="O1142" s="1">
        <v>45493</v>
      </c>
      <c r="P1142">
        <v>22.671199999999999</v>
      </c>
      <c r="R1142" s="1">
        <v>45493</v>
      </c>
      <c r="S1142">
        <v>16.4665</v>
      </c>
      <c r="U1142" s="1">
        <v>45493</v>
      </c>
      <c r="V1142">
        <v>-1.3204</v>
      </c>
      <c r="BL1142" s="1"/>
    </row>
    <row r="1143" spans="15:64">
      <c r="O1143" s="1">
        <v>45494</v>
      </c>
      <c r="P1143">
        <v>22.671199999999999</v>
      </c>
      <c r="R1143" s="1">
        <v>45494</v>
      </c>
      <c r="S1143">
        <v>16.4665</v>
      </c>
      <c r="U1143" s="1">
        <v>45494</v>
      </c>
      <c r="V1143">
        <v>-1.3204</v>
      </c>
      <c r="BL1143" s="1"/>
    </row>
    <row r="1144" spans="15:64">
      <c r="O1144" s="1">
        <v>45495</v>
      </c>
      <c r="P1144">
        <v>24.8477</v>
      </c>
      <c r="R1144" s="1">
        <v>45495</v>
      </c>
      <c r="S1144">
        <v>17.973500000000001</v>
      </c>
      <c r="U1144" s="1">
        <v>45495</v>
      </c>
      <c r="V1144">
        <v>-2.3631000000000002</v>
      </c>
      <c r="BL1144" s="1"/>
    </row>
    <row r="1145" spans="15:64">
      <c r="O1145" s="1">
        <v>45496</v>
      </c>
      <c r="P1145">
        <v>22.275500000000001</v>
      </c>
      <c r="R1145" s="1">
        <v>45496</v>
      </c>
      <c r="S1145">
        <v>18.939</v>
      </c>
      <c r="U1145" s="1">
        <v>45496</v>
      </c>
      <c r="V1145">
        <v>-3.3222999999999998</v>
      </c>
      <c r="BL1145" s="1"/>
    </row>
    <row r="1146" spans="15:64">
      <c r="O1146" s="1">
        <v>45497</v>
      </c>
      <c r="P1146">
        <v>16.933399999999999</v>
      </c>
      <c r="R1146" s="1">
        <v>45497</v>
      </c>
      <c r="S1146">
        <v>17.847899999999999</v>
      </c>
      <c r="U1146" s="1">
        <v>45497</v>
      </c>
      <c r="V1146">
        <v>-2.3005</v>
      </c>
      <c r="BL1146" s="1"/>
    </row>
    <row r="1147" spans="15:64">
      <c r="O1147" s="1">
        <v>45498</v>
      </c>
      <c r="P1147">
        <v>13.7677</v>
      </c>
      <c r="R1147" s="1">
        <v>45498</v>
      </c>
      <c r="S1147">
        <v>17.2791</v>
      </c>
      <c r="U1147" s="1">
        <v>45498</v>
      </c>
      <c r="V1147">
        <v>-1.4872000000000001</v>
      </c>
      <c r="BL1147" s="1"/>
    </row>
    <row r="1148" spans="15:64">
      <c r="O1148" s="1">
        <v>45499</v>
      </c>
      <c r="P1148">
        <v>14.559100000000001</v>
      </c>
      <c r="R1148" s="1">
        <v>45499</v>
      </c>
      <c r="S1148">
        <v>18.040700000000001</v>
      </c>
      <c r="U1148" s="1">
        <v>45499</v>
      </c>
      <c r="V1148">
        <v>-0.15260000000000001</v>
      </c>
      <c r="BL1148" s="1"/>
    </row>
    <row r="1149" spans="15:64">
      <c r="O1149" s="1">
        <v>45500</v>
      </c>
      <c r="P1149">
        <v>14.559100000000001</v>
      </c>
      <c r="R1149" s="1">
        <v>45500</v>
      </c>
      <c r="S1149">
        <v>18.040700000000001</v>
      </c>
      <c r="U1149" s="1">
        <v>45500</v>
      </c>
      <c r="V1149">
        <v>-0.15260000000000001</v>
      </c>
      <c r="BL1149" s="1"/>
    </row>
    <row r="1150" spans="15:64">
      <c r="O1150" s="1">
        <v>45501</v>
      </c>
      <c r="P1150">
        <v>14.559100000000001</v>
      </c>
      <c r="R1150" s="1">
        <v>45501</v>
      </c>
      <c r="S1150">
        <v>18.040700000000001</v>
      </c>
      <c r="U1150" s="1">
        <v>45501</v>
      </c>
      <c r="V1150">
        <v>-0.15260000000000001</v>
      </c>
      <c r="BL1150" s="1"/>
    </row>
    <row r="1151" spans="15:64">
      <c r="O1151" s="1">
        <v>45502</v>
      </c>
      <c r="P1151">
        <v>12.3827</v>
      </c>
      <c r="R1151" s="1">
        <v>45502</v>
      </c>
      <c r="S1151">
        <v>17.419799999999999</v>
      </c>
      <c r="U1151" s="1">
        <v>45502</v>
      </c>
      <c r="V1151">
        <v>7.6799999999999993E-2</v>
      </c>
      <c r="BL1151" s="1"/>
    </row>
    <row r="1152" spans="15:64">
      <c r="O1152" s="1">
        <v>45503</v>
      </c>
      <c r="P1152">
        <v>11.987</v>
      </c>
      <c r="R1152" s="1">
        <v>45503</v>
      </c>
      <c r="S1152">
        <v>17.9999</v>
      </c>
      <c r="U1152" s="1">
        <v>45503</v>
      </c>
      <c r="V1152">
        <v>0.3896</v>
      </c>
      <c r="BL1152" s="1"/>
    </row>
    <row r="1153" spans="15:64">
      <c r="O1153" s="1">
        <v>45504</v>
      </c>
      <c r="P1153">
        <v>15.548400000000001</v>
      </c>
      <c r="R1153" s="1">
        <v>45504</v>
      </c>
      <c r="S1153">
        <v>18.624600000000001</v>
      </c>
      <c r="U1153" s="1">
        <v>45504</v>
      </c>
      <c r="V1153">
        <v>1.0361</v>
      </c>
      <c r="BL1153" s="1"/>
    </row>
    <row r="1154" spans="15:64">
      <c r="O1154" s="1">
        <v>45505</v>
      </c>
      <c r="P1154">
        <v>11.789099999999999</v>
      </c>
      <c r="R1154" s="1">
        <v>45505</v>
      </c>
      <c r="S1154">
        <v>15.8969</v>
      </c>
      <c r="U1154" s="1">
        <v>45505</v>
      </c>
      <c r="V1154">
        <v>-1.1744000000000001</v>
      </c>
      <c r="BL1154" s="1"/>
    </row>
    <row r="1155" spans="15:64">
      <c r="O1155" s="1">
        <v>45506</v>
      </c>
      <c r="P1155">
        <v>8.8213000000000008</v>
      </c>
      <c r="R1155" s="1">
        <v>45506</v>
      </c>
      <c r="S1155">
        <v>13.193300000000001</v>
      </c>
      <c r="U1155" s="1">
        <v>45506</v>
      </c>
      <c r="V1155">
        <v>-2.6966999999999999</v>
      </c>
      <c r="BL1155" s="1"/>
    </row>
    <row r="1156" spans="15:64">
      <c r="O1156" s="1">
        <v>45507</v>
      </c>
      <c r="P1156">
        <v>8.8213000000000008</v>
      </c>
      <c r="R1156" s="1">
        <v>45507</v>
      </c>
      <c r="S1156">
        <v>13.193300000000001</v>
      </c>
      <c r="U1156" s="1">
        <v>45507</v>
      </c>
      <c r="V1156">
        <v>-2.6966999999999999</v>
      </c>
      <c r="BL1156" s="1"/>
    </row>
    <row r="1157" spans="15:64">
      <c r="O1157" s="1">
        <v>45508</v>
      </c>
      <c r="P1157">
        <v>8.8213000000000008</v>
      </c>
      <c r="R1157" s="1">
        <v>45508</v>
      </c>
      <c r="S1157">
        <v>13.193300000000001</v>
      </c>
      <c r="U1157" s="1">
        <v>45508</v>
      </c>
      <c r="V1157">
        <v>-2.6966999999999999</v>
      </c>
      <c r="BL1157" s="1"/>
    </row>
    <row r="1158" spans="15:64">
      <c r="O1158" s="1">
        <v>45509</v>
      </c>
      <c r="P1158">
        <v>6.8426999999999998</v>
      </c>
      <c r="R1158" s="1">
        <v>45509</v>
      </c>
      <c r="S1158">
        <v>11.1281</v>
      </c>
      <c r="U1158" s="1">
        <v>45509</v>
      </c>
      <c r="V1158">
        <v>-6.7005999999999997</v>
      </c>
      <c r="BL1158" s="1"/>
    </row>
    <row r="1159" spans="15:64">
      <c r="O1159" s="1">
        <v>45510</v>
      </c>
      <c r="P1159">
        <v>6.4470000000000001</v>
      </c>
      <c r="R1159" s="1">
        <v>45510</v>
      </c>
      <c r="S1159">
        <v>11.2263</v>
      </c>
      <c r="U1159" s="1">
        <v>45510</v>
      </c>
      <c r="V1159">
        <v>-5.8247999999999998</v>
      </c>
      <c r="BL1159" s="1"/>
    </row>
    <row r="1160" spans="15:64">
      <c r="O1160" s="1">
        <v>45511</v>
      </c>
      <c r="P1160">
        <v>7.6341000000000001</v>
      </c>
      <c r="R1160" s="1">
        <v>45511</v>
      </c>
      <c r="S1160">
        <v>12.898</v>
      </c>
      <c r="U1160" s="1">
        <v>45511</v>
      </c>
      <c r="V1160">
        <v>-5.9081999999999999</v>
      </c>
      <c r="BL1160" s="1"/>
    </row>
    <row r="1161" spans="15:64">
      <c r="O1161" s="1">
        <v>45512</v>
      </c>
      <c r="P1161">
        <v>5.6555</v>
      </c>
      <c r="R1161" s="1">
        <v>45512</v>
      </c>
      <c r="S1161">
        <v>13.3162</v>
      </c>
      <c r="U1161" s="1">
        <v>45512</v>
      </c>
      <c r="V1161">
        <v>-4.4276</v>
      </c>
      <c r="BL1161" s="1"/>
    </row>
    <row r="1162" spans="15:64">
      <c r="O1162" s="1">
        <v>45513</v>
      </c>
      <c r="P1162">
        <v>5.6555</v>
      </c>
      <c r="R1162" s="1">
        <v>45513</v>
      </c>
      <c r="S1162">
        <v>13.5885</v>
      </c>
      <c r="U1162" s="1">
        <v>45513</v>
      </c>
      <c r="V1162">
        <v>-5.1783000000000001</v>
      </c>
      <c r="BL1162" s="1"/>
    </row>
    <row r="1163" spans="15:64">
      <c r="O1163" s="1">
        <v>45514</v>
      </c>
      <c r="P1163">
        <v>5.6555</v>
      </c>
      <c r="R1163" s="1">
        <v>45514</v>
      </c>
      <c r="S1163">
        <v>13.5885</v>
      </c>
      <c r="U1163" s="1">
        <v>45514</v>
      </c>
      <c r="V1163">
        <v>-5.1783000000000001</v>
      </c>
      <c r="BL1163" s="1"/>
    </row>
    <row r="1164" spans="15:64">
      <c r="O1164" s="1">
        <v>45515</v>
      </c>
      <c r="P1164">
        <v>5.6555</v>
      </c>
      <c r="R1164" s="1">
        <v>45515</v>
      </c>
      <c r="S1164">
        <v>13.5885</v>
      </c>
      <c r="U1164" s="1">
        <v>45515</v>
      </c>
      <c r="V1164">
        <v>-5.1783000000000001</v>
      </c>
      <c r="BL1164" s="1"/>
    </row>
    <row r="1165" spans="15:64">
      <c r="O1165" s="1">
        <v>45516</v>
      </c>
      <c r="P1165">
        <v>5.6555</v>
      </c>
      <c r="R1165" s="1">
        <v>45516</v>
      </c>
      <c r="S1165">
        <v>13.611499999999999</v>
      </c>
      <c r="U1165" s="1">
        <v>45516</v>
      </c>
      <c r="V1165">
        <v>-6.4504000000000001</v>
      </c>
      <c r="BL1165" s="1"/>
    </row>
    <row r="1166" spans="15:64">
      <c r="O1166" s="1">
        <v>45517</v>
      </c>
      <c r="P1166">
        <v>6.6448</v>
      </c>
      <c r="R1166" s="1">
        <v>45517</v>
      </c>
      <c r="S1166">
        <v>14.16</v>
      </c>
      <c r="U1166" s="1">
        <v>45517</v>
      </c>
      <c r="V1166">
        <v>-5.3868999999999998</v>
      </c>
      <c r="BL1166" s="1"/>
    </row>
    <row r="1167" spans="15:64">
      <c r="O1167" s="1">
        <v>45518</v>
      </c>
      <c r="P1167">
        <v>6.8426999999999998</v>
      </c>
      <c r="R1167" s="1">
        <v>45518</v>
      </c>
      <c r="S1167">
        <v>14.631399999999999</v>
      </c>
      <c r="U1167" s="1">
        <v>45518</v>
      </c>
      <c r="V1167">
        <v>-5.2408999999999999</v>
      </c>
      <c r="BL1167" s="1"/>
    </row>
    <row r="1168" spans="15:64">
      <c r="O1168" s="1">
        <v>45519</v>
      </c>
      <c r="P1168">
        <v>9.8104999999999993</v>
      </c>
      <c r="R1168" s="1">
        <v>45519</v>
      </c>
      <c r="S1168">
        <v>16.539000000000001</v>
      </c>
      <c r="U1168" s="1">
        <v>45519</v>
      </c>
      <c r="V1168">
        <v>1.2029000000000001</v>
      </c>
      <c r="BL1168" s="1"/>
    </row>
    <row r="1169" spans="15:64">
      <c r="O1169" s="1">
        <v>45520</v>
      </c>
      <c r="P1169">
        <v>11.789099999999999</v>
      </c>
      <c r="R1169" s="1">
        <v>45520</v>
      </c>
      <c r="S1169">
        <v>17.430900000000001</v>
      </c>
      <c r="U1169" s="1">
        <v>45520</v>
      </c>
      <c r="V1169">
        <v>3.1423000000000001</v>
      </c>
      <c r="BL1169" s="1"/>
    </row>
    <row r="1170" spans="15:64">
      <c r="O1170" s="1">
        <v>45521</v>
      </c>
      <c r="P1170">
        <v>11.789099999999999</v>
      </c>
      <c r="R1170" s="1">
        <v>45521</v>
      </c>
      <c r="S1170">
        <v>17.430900000000001</v>
      </c>
      <c r="U1170" s="1">
        <v>45521</v>
      </c>
      <c r="V1170">
        <v>3.1423000000000001</v>
      </c>
      <c r="BL1170" s="1"/>
    </row>
    <row r="1171" spans="15:64">
      <c r="O1171" s="1">
        <v>45522</v>
      </c>
      <c r="P1171">
        <v>11.789099999999999</v>
      </c>
      <c r="R1171" s="1">
        <v>45522</v>
      </c>
      <c r="S1171">
        <v>17.430900000000001</v>
      </c>
      <c r="U1171" s="1">
        <v>45522</v>
      </c>
      <c r="V1171">
        <v>3.1423000000000001</v>
      </c>
      <c r="BL1171" s="1"/>
    </row>
    <row r="1172" spans="15:64">
      <c r="O1172" s="1">
        <v>45523</v>
      </c>
      <c r="P1172">
        <v>12.3827</v>
      </c>
      <c r="R1172" s="1">
        <v>45523</v>
      </c>
      <c r="S1172">
        <v>18.0672</v>
      </c>
      <c r="U1172" s="1">
        <v>45523</v>
      </c>
      <c r="V1172">
        <v>4.2267000000000001</v>
      </c>
      <c r="BL1172" s="1"/>
    </row>
    <row r="1173" spans="15:64">
      <c r="O1173" s="1">
        <v>45524</v>
      </c>
      <c r="P1173">
        <v>11.789099999999999</v>
      </c>
      <c r="R1173" s="1">
        <v>45524</v>
      </c>
      <c r="S1173">
        <v>17.655999999999999</v>
      </c>
      <c r="U1173" s="1">
        <v>45524</v>
      </c>
      <c r="V1173">
        <v>4.7689000000000004</v>
      </c>
      <c r="BL1173" s="1"/>
    </row>
    <row r="1174" spans="15:64">
      <c r="O1174" s="1">
        <v>45525</v>
      </c>
      <c r="P1174">
        <v>13.174099999999999</v>
      </c>
      <c r="R1174" s="1">
        <v>45525</v>
      </c>
      <c r="S1174">
        <v>18.242000000000001</v>
      </c>
      <c r="U1174" s="1">
        <v>45525</v>
      </c>
      <c r="V1174">
        <v>5.2068000000000003</v>
      </c>
      <c r="BL1174" s="1"/>
    </row>
    <row r="1175" spans="15:64">
      <c r="O1175" s="1">
        <v>45526</v>
      </c>
      <c r="P1175">
        <v>12.184799999999999</v>
      </c>
      <c r="R1175" s="1">
        <v>45526</v>
      </c>
      <c r="S1175">
        <v>18.526800000000001</v>
      </c>
      <c r="U1175" s="1">
        <v>45526</v>
      </c>
      <c r="V1175">
        <v>4.7271999999999998</v>
      </c>
      <c r="BL1175" s="1"/>
    </row>
    <row r="1176" spans="15:64">
      <c r="O1176" s="1">
        <v>45527</v>
      </c>
      <c r="P1176">
        <v>15.944100000000001</v>
      </c>
      <c r="R1176" s="1">
        <v>45527</v>
      </c>
      <c r="S1176">
        <v>19.4222</v>
      </c>
      <c r="U1176" s="1">
        <v>45527</v>
      </c>
      <c r="V1176">
        <v>5.8116000000000003</v>
      </c>
      <c r="BL1176" s="1"/>
    </row>
    <row r="1177" spans="15:64">
      <c r="O1177" s="1">
        <v>45528</v>
      </c>
      <c r="P1177">
        <v>15.944100000000001</v>
      </c>
      <c r="R1177" s="1">
        <v>45528</v>
      </c>
      <c r="S1177">
        <v>19.4222</v>
      </c>
      <c r="U1177" s="1">
        <v>45528</v>
      </c>
      <c r="V1177">
        <v>5.8116000000000003</v>
      </c>
      <c r="BL1177" s="1"/>
    </row>
    <row r="1178" spans="15:64">
      <c r="O1178" s="1">
        <v>45529</v>
      </c>
      <c r="P1178">
        <v>15.944100000000001</v>
      </c>
      <c r="R1178" s="1">
        <v>45529</v>
      </c>
      <c r="S1178">
        <v>19.4222</v>
      </c>
      <c r="U1178" s="1">
        <v>45529</v>
      </c>
      <c r="V1178">
        <v>5.8116000000000003</v>
      </c>
      <c r="BL1178" s="1"/>
    </row>
    <row r="1179" spans="15:64">
      <c r="O1179" s="1">
        <v>45530</v>
      </c>
      <c r="P1179">
        <v>18.1205</v>
      </c>
      <c r="R1179" s="1">
        <v>45530</v>
      </c>
      <c r="S1179">
        <v>19.319099999999999</v>
      </c>
      <c r="U1179" s="1">
        <v>45530</v>
      </c>
      <c r="V1179">
        <v>5.9157999999999999</v>
      </c>
      <c r="BL1179" s="1"/>
    </row>
    <row r="1180" spans="15:64">
      <c r="O1180" s="1">
        <v>45531</v>
      </c>
      <c r="P1180">
        <v>15.152699999999999</v>
      </c>
      <c r="R1180" s="1">
        <v>45531</v>
      </c>
      <c r="S1180">
        <v>19.734400000000001</v>
      </c>
      <c r="U1180" s="1">
        <v>45531</v>
      </c>
      <c r="V1180">
        <v>5.7489999999999997</v>
      </c>
      <c r="BL1180" s="1"/>
    </row>
    <row r="1181" spans="15:64">
      <c r="O1181" s="1">
        <v>45532</v>
      </c>
      <c r="P1181">
        <v>16.537700000000001</v>
      </c>
      <c r="R1181" s="1">
        <v>45532</v>
      </c>
      <c r="S1181">
        <v>20.378399999999999</v>
      </c>
      <c r="U1181" s="1">
        <v>45532</v>
      </c>
      <c r="V1181">
        <v>3.9556</v>
      </c>
      <c r="BL1181" s="1"/>
    </row>
    <row r="1182" spans="15:64">
      <c r="O1182" s="1">
        <v>45533</v>
      </c>
      <c r="P1182">
        <v>17.1312</v>
      </c>
      <c r="R1182" s="1">
        <v>45533</v>
      </c>
      <c r="S1182">
        <v>21.2134</v>
      </c>
      <c r="U1182" s="1">
        <v>45533</v>
      </c>
      <c r="V1182">
        <v>5.0816999999999997</v>
      </c>
      <c r="BL1182" s="1"/>
    </row>
    <row r="1183" spans="15:64">
      <c r="O1183" s="1">
        <v>45534</v>
      </c>
      <c r="P1183">
        <v>18.3184</v>
      </c>
      <c r="R1183" s="1">
        <v>45534</v>
      </c>
      <c r="S1183">
        <v>21.177199999999999</v>
      </c>
      <c r="U1183" s="1">
        <v>45534</v>
      </c>
      <c r="V1183">
        <v>5.3944999999999999</v>
      </c>
      <c r="BL1183" s="1"/>
    </row>
    <row r="1184" spans="15:64">
      <c r="O1184" s="1">
        <v>45535</v>
      </c>
      <c r="P1184">
        <v>18.3184</v>
      </c>
      <c r="R1184" s="1">
        <v>45535</v>
      </c>
      <c r="S1184">
        <v>21.177199999999999</v>
      </c>
      <c r="U1184" s="1">
        <v>45535</v>
      </c>
      <c r="V1184">
        <v>5.3944999999999999</v>
      </c>
      <c r="BL1184" s="1"/>
    </row>
    <row r="1185" spans="15:64">
      <c r="O1185" s="1">
        <v>45536</v>
      </c>
      <c r="P1185">
        <v>18.3184</v>
      </c>
      <c r="R1185" s="1">
        <v>45536</v>
      </c>
      <c r="S1185">
        <v>21.177199999999999</v>
      </c>
      <c r="U1185" s="1">
        <v>45536</v>
      </c>
      <c r="V1185">
        <v>5.3944999999999999</v>
      </c>
      <c r="BL1185" s="1"/>
    </row>
    <row r="1186" spans="15:64">
      <c r="O1186" s="1">
        <v>45537</v>
      </c>
      <c r="P1186">
        <v>18.714099999999998</v>
      </c>
      <c r="R1186" s="1">
        <v>45537</v>
      </c>
      <c r="S1186">
        <v>21.330500000000001</v>
      </c>
      <c r="U1186" s="1">
        <v>45537</v>
      </c>
      <c r="V1186">
        <v>5.3944999999999999</v>
      </c>
      <c r="BL1186" s="1"/>
    </row>
    <row r="1187" spans="15:64">
      <c r="O1187" s="1">
        <v>45538</v>
      </c>
      <c r="P1187">
        <v>14.954800000000001</v>
      </c>
      <c r="R1187" s="1">
        <v>45538</v>
      </c>
      <c r="S1187">
        <v>20.152899999999999</v>
      </c>
      <c r="U1187" s="1">
        <v>45538</v>
      </c>
      <c r="V1187">
        <v>4.3935000000000004</v>
      </c>
      <c r="BL1187" s="1"/>
    </row>
    <row r="1188" spans="15:64">
      <c r="O1188" s="1">
        <v>45539</v>
      </c>
      <c r="P1188">
        <v>12.580500000000001</v>
      </c>
      <c r="R1188" s="1">
        <v>45539</v>
      </c>
      <c r="S1188">
        <v>19.157800000000002</v>
      </c>
      <c r="U1188" s="1">
        <v>45539</v>
      </c>
      <c r="V1188">
        <v>3.6427999999999998</v>
      </c>
      <c r="BL1188" s="1"/>
    </row>
    <row r="1189" spans="15:64">
      <c r="O1189" s="1">
        <v>45540</v>
      </c>
      <c r="P1189">
        <v>13.7677</v>
      </c>
      <c r="R1189" s="1">
        <v>45540</v>
      </c>
      <c r="S1189">
        <v>19.0594</v>
      </c>
      <c r="U1189" s="1">
        <v>45540</v>
      </c>
      <c r="V1189">
        <v>2.4540999999999999</v>
      </c>
      <c r="BL1189" s="1"/>
    </row>
    <row r="1190" spans="15:64">
      <c r="O1190" s="1">
        <v>45541</v>
      </c>
      <c r="P1190">
        <v>11.591200000000001</v>
      </c>
      <c r="R1190" s="1">
        <v>45541</v>
      </c>
      <c r="S1190">
        <v>17.299499999999998</v>
      </c>
      <c r="U1190" s="1">
        <v>45541</v>
      </c>
      <c r="V1190">
        <v>1.1403000000000001</v>
      </c>
      <c r="BL1190" s="1"/>
    </row>
    <row r="1191" spans="15:64">
      <c r="O1191" s="1">
        <v>45542</v>
      </c>
      <c r="P1191">
        <v>11.591200000000001</v>
      </c>
      <c r="R1191" s="1">
        <v>45542</v>
      </c>
      <c r="S1191">
        <v>17.299499999999998</v>
      </c>
      <c r="U1191" s="1">
        <v>45542</v>
      </c>
      <c r="V1191">
        <v>1.1403000000000001</v>
      </c>
      <c r="BL1191" s="1"/>
    </row>
    <row r="1192" spans="15:64">
      <c r="O1192" s="1">
        <v>45543</v>
      </c>
      <c r="P1192">
        <v>11.591200000000001</v>
      </c>
      <c r="R1192" s="1">
        <v>45543</v>
      </c>
      <c r="S1192">
        <v>17.299499999999998</v>
      </c>
      <c r="U1192" s="1">
        <v>45543</v>
      </c>
      <c r="V1192">
        <v>1.1403000000000001</v>
      </c>
      <c r="BL1192" s="1"/>
    </row>
    <row r="1193" spans="15:64">
      <c r="O1193" s="1">
        <v>45544</v>
      </c>
      <c r="P1193">
        <v>9.2170000000000005</v>
      </c>
      <c r="R1193" s="1">
        <v>45544</v>
      </c>
      <c r="S1193">
        <v>18.2074</v>
      </c>
      <c r="U1193" s="1">
        <v>45544</v>
      </c>
      <c r="V1193">
        <v>1.5573999999999999</v>
      </c>
      <c r="BL1193" s="1"/>
    </row>
    <row r="1194" spans="15:64">
      <c r="O1194" s="1">
        <v>45545</v>
      </c>
      <c r="P1194">
        <v>6.4470000000000001</v>
      </c>
      <c r="R1194" s="1">
        <v>45545</v>
      </c>
      <c r="S1194">
        <v>17.068899999999999</v>
      </c>
      <c r="U1194" s="1">
        <v>45545</v>
      </c>
      <c r="V1194">
        <v>1.7451000000000001</v>
      </c>
      <c r="BL1194" s="1"/>
    </row>
    <row r="1195" spans="15:64">
      <c r="O1195" s="1">
        <v>45546</v>
      </c>
      <c r="P1195">
        <v>7.6341000000000001</v>
      </c>
      <c r="R1195" s="1">
        <v>45546</v>
      </c>
      <c r="S1195">
        <v>17.481300000000001</v>
      </c>
      <c r="U1195" s="1">
        <v>45546</v>
      </c>
      <c r="V1195">
        <v>2.4123999999999999</v>
      </c>
      <c r="BL1195" s="1"/>
    </row>
    <row r="1196" spans="15:64">
      <c r="O1196" s="1">
        <v>45547</v>
      </c>
      <c r="P1196">
        <v>9.2170000000000005</v>
      </c>
      <c r="R1196" s="1">
        <v>45547</v>
      </c>
      <c r="S1196">
        <v>18.687000000000001</v>
      </c>
      <c r="U1196" s="1">
        <v>45547</v>
      </c>
      <c r="V1196">
        <v>3.4550999999999998</v>
      </c>
      <c r="BL1196" s="1"/>
    </row>
    <row r="1197" spans="15:64">
      <c r="O1197" s="1">
        <v>45548</v>
      </c>
      <c r="P1197">
        <v>11.987</v>
      </c>
      <c r="R1197" s="1">
        <v>45548</v>
      </c>
      <c r="S1197">
        <v>19.847100000000001</v>
      </c>
      <c r="U1197" s="1">
        <v>45548</v>
      </c>
      <c r="V1197">
        <v>3.8513000000000002</v>
      </c>
      <c r="BL1197" s="1"/>
    </row>
    <row r="1198" spans="15:64">
      <c r="O1198" s="1">
        <v>45549</v>
      </c>
      <c r="P1198">
        <v>11.987</v>
      </c>
      <c r="R1198" s="1">
        <v>45549</v>
      </c>
      <c r="S1198">
        <v>19.847100000000001</v>
      </c>
      <c r="U1198" s="1">
        <v>45549</v>
      </c>
      <c r="V1198">
        <v>3.8513000000000002</v>
      </c>
      <c r="BL1198" s="1"/>
    </row>
    <row r="1199" spans="15:64">
      <c r="O1199" s="1">
        <v>45550</v>
      </c>
      <c r="P1199">
        <v>11.987</v>
      </c>
      <c r="R1199" s="1">
        <v>45550</v>
      </c>
      <c r="S1199">
        <v>19.847100000000001</v>
      </c>
      <c r="U1199" s="1">
        <v>45550</v>
      </c>
      <c r="V1199">
        <v>3.8513000000000002</v>
      </c>
      <c r="BL1199" s="1"/>
    </row>
    <row r="1200" spans="15:64">
      <c r="O1200" s="1">
        <v>45551</v>
      </c>
      <c r="P1200">
        <v>11.987</v>
      </c>
      <c r="R1200" s="1">
        <v>45551</v>
      </c>
      <c r="S1200">
        <v>19.4223</v>
      </c>
      <c r="U1200" s="1">
        <v>45551</v>
      </c>
      <c r="V1200">
        <v>6.4162999999999997</v>
      </c>
      <c r="BL1200" s="1"/>
    </row>
    <row r="1201" spans="15:64">
      <c r="O1201" s="1">
        <v>45552</v>
      </c>
      <c r="P1201">
        <v>13.9655</v>
      </c>
      <c r="R1201" s="1">
        <v>45552</v>
      </c>
      <c r="S1201">
        <v>20.0181</v>
      </c>
      <c r="U1201" s="1">
        <v>45552</v>
      </c>
      <c r="V1201">
        <v>5.5404999999999998</v>
      </c>
      <c r="BL1201" s="1"/>
    </row>
    <row r="1202" spans="15:64">
      <c r="O1202" s="1">
        <v>45553</v>
      </c>
      <c r="P1202">
        <v>16.537700000000001</v>
      </c>
      <c r="R1202" s="1">
        <v>45553</v>
      </c>
      <c r="S1202">
        <v>19.924600000000002</v>
      </c>
      <c r="U1202" s="1">
        <v>45553</v>
      </c>
      <c r="V1202">
        <v>5.4569999999999999</v>
      </c>
      <c r="BL1202" s="1"/>
    </row>
    <row r="1203" spans="15:64">
      <c r="O1203" s="1">
        <v>45554</v>
      </c>
      <c r="P1203">
        <v>17.527000000000001</v>
      </c>
      <c r="R1203" s="1">
        <v>45554</v>
      </c>
      <c r="S1203">
        <v>21.789000000000001</v>
      </c>
      <c r="U1203" s="1">
        <v>45554</v>
      </c>
      <c r="V1203">
        <v>7.2713000000000001</v>
      </c>
      <c r="BL1203" s="1"/>
    </row>
    <row r="1204" spans="15:64">
      <c r="O1204" s="1">
        <v>45555</v>
      </c>
      <c r="P1204">
        <v>15.7462</v>
      </c>
      <c r="R1204" s="1">
        <v>45555</v>
      </c>
      <c r="S1204">
        <v>19.979199999999999</v>
      </c>
      <c r="U1204" s="1">
        <v>45555</v>
      </c>
      <c r="V1204">
        <v>8.3765999999999998</v>
      </c>
      <c r="BL1204" s="1"/>
    </row>
    <row r="1205" spans="15:64">
      <c r="O1205" s="1">
        <v>45556</v>
      </c>
      <c r="P1205">
        <v>15.7462</v>
      </c>
      <c r="R1205" s="1">
        <v>45556</v>
      </c>
      <c r="S1205">
        <v>19.979199999999999</v>
      </c>
      <c r="U1205" s="1">
        <v>45556</v>
      </c>
      <c r="V1205">
        <v>8.3765999999999998</v>
      </c>
      <c r="BL1205" s="1"/>
    </row>
    <row r="1206" spans="15:64">
      <c r="O1206" s="1">
        <v>45557</v>
      </c>
      <c r="P1206">
        <v>15.7462</v>
      </c>
      <c r="R1206" s="1">
        <v>45557</v>
      </c>
      <c r="S1206">
        <v>19.979199999999999</v>
      </c>
      <c r="U1206" s="1">
        <v>45557</v>
      </c>
      <c r="V1206">
        <v>8.3765999999999998</v>
      </c>
      <c r="BL1206" s="1"/>
    </row>
    <row r="1207" spans="15:64">
      <c r="O1207" s="1">
        <v>45558</v>
      </c>
      <c r="P1207">
        <v>16.141999999999999</v>
      </c>
      <c r="R1207" s="1">
        <v>45558</v>
      </c>
      <c r="S1207">
        <v>20.791799999999999</v>
      </c>
      <c r="U1207" s="1">
        <v>45558</v>
      </c>
      <c r="V1207">
        <v>8.8353000000000002</v>
      </c>
      <c r="BL1207" s="1"/>
    </row>
    <row r="1208" spans="15:64">
      <c r="O1208" s="1">
        <v>45559</v>
      </c>
      <c r="P1208">
        <v>18.714099999999998</v>
      </c>
      <c r="R1208" s="1">
        <v>45559</v>
      </c>
      <c r="S1208">
        <v>21.752099999999999</v>
      </c>
      <c r="U1208" s="1">
        <v>45559</v>
      </c>
      <c r="V1208">
        <v>9.5235000000000003</v>
      </c>
      <c r="BL1208" s="1"/>
    </row>
    <row r="1209" spans="15:64">
      <c r="O1209" s="1">
        <v>45560</v>
      </c>
      <c r="P1209">
        <v>18.3184</v>
      </c>
      <c r="R1209" s="1">
        <v>45560</v>
      </c>
      <c r="S1209">
        <v>21.2514</v>
      </c>
      <c r="U1209" s="1">
        <v>45560</v>
      </c>
      <c r="V1209">
        <v>9.7946000000000009</v>
      </c>
      <c r="BL1209" s="1"/>
    </row>
    <row r="1210" spans="15:64">
      <c r="O1210" s="1">
        <v>45561</v>
      </c>
      <c r="P1210">
        <v>22.8691</v>
      </c>
      <c r="R1210" s="1">
        <v>45561</v>
      </c>
      <c r="S1210">
        <v>23.301400000000001</v>
      </c>
      <c r="U1210" s="1">
        <v>45561</v>
      </c>
      <c r="V1210">
        <v>10.2117</v>
      </c>
      <c r="BL1210" s="1"/>
    </row>
    <row r="1211" spans="15:64">
      <c r="O1211" s="1">
        <v>45562</v>
      </c>
      <c r="P1211">
        <v>22.671199999999999</v>
      </c>
      <c r="R1211" s="1">
        <v>45562</v>
      </c>
      <c r="S1211">
        <v>24.8093</v>
      </c>
      <c r="U1211" s="1">
        <v>45562</v>
      </c>
      <c r="V1211">
        <v>10.5662</v>
      </c>
      <c r="BL1211" s="1"/>
    </row>
    <row r="1212" spans="15:64">
      <c r="O1212" s="1">
        <v>45563</v>
      </c>
      <c r="P1212">
        <v>22.671199999999999</v>
      </c>
      <c r="R1212" s="1">
        <v>45563</v>
      </c>
      <c r="S1212">
        <v>24.8093</v>
      </c>
      <c r="U1212" s="1">
        <v>45563</v>
      </c>
      <c r="V1212">
        <v>10.5662</v>
      </c>
      <c r="BL1212" s="1"/>
    </row>
    <row r="1213" spans="15:64">
      <c r="O1213" s="1">
        <v>45564</v>
      </c>
      <c r="P1213">
        <v>22.671199999999999</v>
      </c>
      <c r="R1213" s="1">
        <v>45564</v>
      </c>
      <c r="S1213">
        <v>24.8093</v>
      </c>
      <c r="U1213" s="1">
        <v>45564</v>
      </c>
      <c r="V1213">
        <v>10.5662</v>
      </c>
      <c r="BL1213" s="1"/>
    </row>
    <row r="1214" spans="15:64">
      <c r="O1214" s="1">
        <v>45565</v>
      </c>
      <c r="P1214">
        <v>16.3398</v>
      </c>
      <c r="R1214" s="1">
        <v>45565</v>
      </c>
      <c r="S1214">
        <v>23.856200000000001</v>
      </c>
      <c r="U1214" s="1">
        <v>45565</v>
      </c>
      <c r="V1214">
        <v>10.9833</v>
      </c>
      <c r="BL1214" s="1"/>
    </row>
    <row r="1215" spans="15:64">
      <c r="O1215" s="1">
        <v>45566</v>
      </c>
      <c r="P1215">
        <v>13.569800000000001</v>
      </c>
      <c r="R1215" s="1">
        <v>45566</v>
      </c>
      <c r="S1215">
        <v>23.139800000000001</v>
      </c>
      <c r="U1215" s="1">
        <v>45566</v>
      </c>
      <c r="V1215">
        <v>9.9823000000000004</v>
      </c>
      <c r="BL1215" s="1"/>
    </row>
    <row r="1216" spans="15:64">
      <c r="O1216" s="1">
        <v>45567</v>
      </c>
      <c r="P1216">
        <v>10.9977</v>
      </c>
      <c r="R1216" s="1">
        <v>45567</v>
      </c>
      <c r="S1216">
        <v>22.829599999999999</v>
      </c>
      <c r="U1216" s="1">
        <v>45567</v>
      </c>
      <c r="V1216">
        <v>10.5662</v>
      </c>
      <c r="BL1216" s="1"/>
    </row>
    <row r="1217" spans="15:64">
      <c r="O1217" s="1">
        <v>45568</v>
      </c>
      <c r="P1217">
        <v>12.184799999999999</v>
      </c>
      <c r="R1217" s="1">
        <v>45568</v>
      </c>
      <c r="S1217">
        <v>21.872499999999999</v>
      </c>
      <c r="U1217" s="1">
        <v>45568</v>
      </c>
      <c r="V1217">
        <v>10.167</v>
      </c>
      <c r="BL1217" s="1"/>
    </row>
    <row r="1218" spans="15:64">
      <c r="O1218" s="1">
        <v>45569</v>
      </c>
      <c r="P1218">
        <v>12.7784</v>
      </c>
      <c r="R1218" s="1">
        <v>45569</v>
      </c>
      <c r="S1218">
        <v>22.5488</v>
      </c>
      <c r="U1218" s="1">
        <v>45569</v>
      </c>
      <c r="V1218">
        <v>10.839399999999999</v>
      </c>
      <c r="BL1218" s="1"/>
    </row>
    <row r="1219" spans="15:64">
      <c r="O1219" s="1">
        <v>45570</v>
      </c>
      <c r="P1219">
        <v>12.7784</v>
      </c>
      <c r="R1219" s="1">
        <v>45570</v>
      </c>
      <c r="S1219">
        <v>22.5488</v>
      </c>
      <c r="U1219" s="1">
        <v>45570</v>
      </c>
      <c r="V1219">
        <v>10.839399999999999</v>
      </c>
      <c r="BL1219" s="1"/>
    </row>
    <row r="1220" spans="15:64">
      <c r="O1220" s="1">
        <v>45571</v>
      </c>
      <c r="P1220">
        <v>12.7784</v>
      </c>
      <c r="R1220" s="1">
        <v>45571</v>
      </c>
      <c r="S1220">
        <v>22.5488</v>
      </c>
      <c r="U1220" s="1">
        <v>45571</v>
      </c>
      <c r="V1220">
        <v>10.839399999999999</v>
      </c>
      <c r="BL1220" s="1"/>
    </row>
    <row r="1221" spans="15:64">
      <c r="O1221" s="1">
        <v>45572</v>
      </c>
      <c r="P1221">
        <v>13.7677</v>
      </c>
      <c r="R1221" s="1">
        <v>45572</v>
      </c>
      <c r="S1221">
        <v>22.440899999999999</v>
      </c>
      <c r="U1221" s="1">
        <v>45572</v>
      </c>
      <c r="V1221">
        <v>10.335100000000001</v>
      </c>
      <c r="BL1221" s="1"/>
    </row>
    <row r="1222" spans="15:64">
      <c r="O1222" s="1">
        <v>45573</v>
      </c>
      <c r="P1222">
        <v>13.372</v>
      </c>
      <c r="R1222" s="1">
        <v>45573</v>
      </c>
      <c r="S1222">
        <v>22.1997</v>
      </c>
      <c r="U1222" s="1">
        <v>45573</v>
      </c>
      <c r="V1222">
        <v>10.7973</v>
      </c>
      <c r="BL1222" s="1"/>
    </row>
    <row r="1223" spans="15:64">
      <c r="O1223" s="1">
        <v>45574</v>
      </c>
      <c r="P1223">
        <v>16.141999999999999</v>
      </c>
      <c r="R1223" s="1">
        <v>45574</v>
      </c>
      <c r="S1223">
        <v>23.407599999999999</v>
      </c>
      <c r="U1223" s="1">
        <v>45574</v>
      </c>
      <c r="V1223">
        <v>12.5413</v>
      </c>
      <c r="BL1223" s="1"/>
    </row>
    <row r="1224" spans="15:64">
      <c r="O1224" s="1">
        <v>45575</v>
      </c>
      <c r="P1224">
        <v>14.163399999999999</v>
      </c>
      <c r="R1224" s="1">
        <v>45575</v>
      </c>
      <c r="S1224">
        <v>23.125399999999999</v>
      </c>
      <c r="U1224" s="1">
        <v>45575</v>
      </c>
      <c r="V1224">
        <v>12.4993</v>
      </c>
      <c r="BL1224" s="1"/>
    </row>
    <row r="1225" spans="15:64">
      <c r="O1225" s="1">
        <v>45576</v>
      </c>
      <c r="P1225">
        <v>18.3184</v>
      </c>
      <c r="R1225" s="1">
        <v>45576</v>
      </c>
      <c r="S1225">
        <v>24.169599999999999</v>
      </c>
      <c r="U1225" s="1">
        <v>45576</v>
      </c>
      <c r="V1225">
        <v>13.991199999999999</v>
      </c>
      <c r="BL1225" s="1"/>
    </row>
    <row r="1226" spans="15:64">
      <c r="O1226" s="1">
        <v>45577</v>
      </c>
      <c r="P1226">
        <v>18.3184</v>
      </c>
      <c r="R1226" s="1">
        <v>45577</v>
      </c>
      <c r="S1226">
        <v>24.169599999999999</v>
      </c>
      <c r="U1226" s="1">
        <v>45577</v>
      </c>
      <c r="V1226">
        <v>13.991199999999999</v>
      </c>
      <c r="BL1226" s="1"/>
    </row>
    <row r="1227" spans="15:64">
      <c r="O1227" s="1">
        <v>45578</v>
      </c>
      <c r="P1227">
        <v>18.3184</v>
      </c>
      <c r="R1227" s="1">
        <v>45578</v>
      </c>
      <c r="S1227">
        <v>24.169599999999999</v>
      </c>
      <c r="U1227" s="1">
        <v>45578</v>
      </c>
      <c r="V1227">
        <v>13.991199999999999</v>
      </c>
      <c r="BL1227" s="1"/>
    </row>
    <row r="1228" spans="15:64">
      <c r="O1228" s="1">
        <v>45579</v>
      </c>
      <c r="P1228">
        <v>18.714099999999998</v>
      </c>
      <c r="R1228" s="1">
        <v>45579</v>
      </c>
      <c r="S1228">
        <v>25.031400000000001</v>
      </c>
      <c r="U1228" s="1">
        <v>45579</v>
      </c>
      <c r="V1228">
        <v>14.033200000000001</v>
      </c>
      <c r="BL1228" s="1"/>
    </row>
    <row r="1229" spans="15:64">
      <c r="O1229" s="1">
        <v>45580</v>
      </c>
      <c r="P1229">
        <v>17.527000000000001</v>
      </c>
      <c r="R1229" s="1">
        <v>45580</v>
      </c>
      <c r="S1229">
        <v>24.889800000000001</v>
      </c>
      <c r="U1229" s="1">
        <v>45580</v>
      </c>
      <c r="V1229">
        <v>13.634</v>
      </c>
      <c r="BL1229" s="1"/>
    </row>
    <row r="1230" spans="15:64">
      <c r="O1230" s="1">
        <v>45581</v>
      </c>
      <c r="P1230">
        <v>16.141999999999999</v>
      </c>
      <c r="R1230" s="1">
        <v>45581</v>
      </c>
      <c r="S1230">
        <v>24.547699999999999</v>
      </c>
      <c r="U1230" s="1">
        <v>45581</v>
      </c>
      <c r="V1230">
        <v>18.466799999999999</v>
      </c>
      <c r="BL1230" s="1"/>
    </row>
    <row r="1231" spans="15:64">
      <c r="O1231" s="1">
        <v>45582</v>
      </c>
      <c r="P1231">
        <v>16.141999999999999</v>
      </c>
      <c r="R1231" s="1">
        <v>45582</v>
      </c>
      <c r="S1231">
        <v>25.512699999999999</v>
      </c>
      <c r="U1231" s="1">
        <v>45582</v>
      </c>
      <c r="V1231">
        <v>18.508800000000001</v>
      </c>
      <c r="BL1231" s="1"/>
    </row>
    <row r="1232" spans="15:64">
      <c r="O1232" s="1">
        <v>45583</v>
      </c>
      <c r="P1232">
        <v>20.890499999999999</v>
      </c>
      <c r="R1232" s="1">
        <v>45583</v>
      </c>
      <c r="S1232">
        <v>25.986899999999999</v>
      </c>
      <c r="U1232" s="1">
        <v>45583</v>
      </c>
      <c r="V1232">
        <v>19.2653</v>
      </c>
      <c r="BL1232" s="1"/>
    </row>
    <row r="1233" spans="15:64">
      <c r="O1233" s="1">
        <v>45584</v>
      </c>
      <c r="P1233">
        <v>20.890499999999999</v>
      </c>
      <c r="R1233" s="1">
        <v>45584</v>
      </c>
      <c r="S1233">
        <v>25.986899999999999</v>
      </c>
      <c r="U1233" s="1">
        <v>45584</v>
      </c>
      <c r="V1233">
        <v>19.2653</v>
      </c>
      <c r="BL1233" s="1"/>
    </row>
    <row r="1234" spans="15:64">
      <c r="O1234" s="1">
        <v>45585</v>
      </c>
      <c r="P1234">
        <v>20.890499999999999</v>
      </c>
      <c r="R1234" s="1">
        <v>45585</v>
      </c>
      <c r="S1234">
        <v>25.986899999999999</v>
      </c>
      <c r="U1234" s="1">
        <v>45585</v>
      </c>
      <c r="V1234">
        <v>19.2653</v>
      </c>
      <c r="BL1234" s="1"/>
    </row>
    <row r="1235" spans="15:64">
      <c r="O1235" s="1">
        <v>45586</v>
      </c>
      <c r="P1235">
        <v>20.297000000000001</v>
      </c>
      <c r="R1235" s="1">
        <v>45586</v>
      </c>
      <c r="S1235">
        <v>24.729600000000001</v>
      </c>
      <c r="U1235" s="1">
        <v>45586</v>
      </c>
      <c r="V1235">
        <v>18.908000000000001</v>
      </c>
      <c r="BL1235" s="1"/>
    </row>
    <row r="1236" spans="15:64">
      <c r="O1236" s="1">
        <v>45587</v>
      </c>
      <c r="P1236">
        <v>22.473400000000002</v>
      </c>
      <c r="R1236" s="1">
        <v>45587</v>
      </c>
      <c r="S1236">
        <v>24.477799999999998</v>
      </c>
      <c r="U1236" s="1">
        <v>45587</v>
      </c>
      <c r="V1236">
        <v>18.929099999999998</v>
      </c>
      <c r="BL1236" s="1"/>
    </row>
    <row r="1237" spans="15:64">
      <c r="O1237" s="1">
        <v>45588</v>
      </c>
      <c r="P1237">
        <v>21.286200000000001</v>
      </c>
      <c r="R1237" s="1">
        <v>45588</v>
      </c>
      <c r="S1237">
        <v>24.193899999999999</v>
      </c>
      <c r="U1237" s="1">
        <v>45588</v>
      </c>
      <c r="V1237">
        <v>18.256699999999999</v>
      </c>
      <c r="BL1237" s="1"/>
    </row>
    <row r="1238" spans="15:64">
      <c r="O1238" s="1">
        <v>45589</v>
      </c>
      <c r="P1238">
        <v>18.911999999999999</v>
      </c>
      <c r="R1238" s="1">
        <v>45589</v>
      </c>
      <c r="S1238">
        <v>24.613</v>
      </c>
      <c r="U1238" s="1">
        <v>45589</v>
      </c>
      <c r="V1238">
        <v>17.584299999999999</v>
      </c>
      <c r="BL1238" s="1"/>
    </row>
    <row r="1239" spans="15:64">
      <c r="O1239" s="1">
        <v>45590</v>
      </c>
      <c r="P1239">
        <v>23.264800000000001</v>
      </c>
      <c r="R1239" s="1">
        <v>45590</v>
      </c>
      <c r="S1239">
        <v>24.744900000000001</v>
      </c>
      <c r="U1239" s="1">
        <v>45590</v>
      </c>
      <c r="V1239">
        <v>17.122</v>
      </c>
      <c r="BL1239" s="1"/>
    </row>
    <row r="1240" spans="15:64">
      <c r="O1240" s="1">
        <v>45591</v>
      </c>
      <c r="P1240">
        <v>23.264800000000001</v>
      </c>
      <c r="R1240" s="1">
        <v>45591</v>
      </c>
      <c r="S1240">
        <v>24.744900000000001</v>
      </c>
      <c r="U1240" s="1">
        <v>45591</v>
      </c>
      <c r="V1240">
        <v>17.122</v>
      </c>
      <c r="BL1240" s="1"/>
    </row>
    <row r="1241" spans="15:64">
      <c r="O1241" s="1">
        <v>45592</v>
      </c>
      <c r="P1241">
        <v>23.264800000000001</v>
      </c>
      <c r="R1241" s="1">
        <v>45592</v>
      </c>
      <c r="S1241">
        <v>24.744900000000001</v>
      </c>
      <c r="U1241" s="1">
        <v>45592</v>
      </c>
      <c r="V1241">
        <v>17.122</v>
      </c>
      <c r="BL1241" s="1"/>
    </row>
    <row r="1242" spans="15:64">
      <c r="O1242" s="1">
        <v>45593</v>
      </c>
      <c r="P1242">
        <v>19.1098</v>
      </c>
      <c r="R1242" s="1">
        <v>45593</v>
      </c>
      <c r="S1242">
        <v>25.180900000000001</v>
      </c>
      <c r="U1242" s="1">
        <v>45593</v>
      </c>
      <c r="V1242">
        <v>16.1554</v>
      </c>
      <c r="BL1242" s="1"/>
    </row>
    <row r="1243" spans="15:64">
      <c r="O1243" s="1">
        <v>45594</v>
      </c>
      <c r="P1243">
        <v>20.890499999999999</v>
      </c>
      <c r="R1243" s="1">
        <v>45594</v>
      </c>
      <c r="S1243">
        <v>24.837700000000002</v>
      </c>
      <c r="U1243" s="1">
        <v>45594</v>
      </c>
      <c r="V1243">
        <v>16.995899999999999</v>
      </c>
      <c r="BL1243" s="1"/>
    </row>
    <row r="1244" spans="15:64">
      <c r="O1244" s="1">
        <v>45595</v>
      </c>
      <c r="P1244">
        <v>16.141999999999999</v>
      </c>
      <c r="R1244" s="1">
        <v>45595</v>
      </c>
      <c r="S1244">
        <v>23.422999999999998</v>
      </c>
      <c r="U1244" s="1">
        <v>45595</v>
      </c>
      <c r="V1244">
        <v>16.806799999999999</v>
      </c>
      <c r="BL1244" s="1"/>
    </row>
    <row r="1245" spans="15:64">
      <c r="O1245" s="1">
        <v>45596</v>
      </c>
      <c r="P1245">
        <v>16.3398</v>
      </c>
      <c r="R1245" s="1">
        <v>45596</v>
      </c>
      <c r="S1245">
        <v>22.270700000000001</v>
      </c>
      <c r="U1245" s="1">
        <v>45596</v>
      </c>
      <c r="V1245">
        <v>15.0838</v>
      </c>
      <c r="BL1245" s="1"/>
    </row>
    <row r="1246" spans="15:64">
      <c r="O1246" s="1">
        <v>45597</v>
      </c>
      <c r="P1246">
        <v>15.3505</v>
      </c>
      <c r="R1246" s="1">
        <v>45597</v>
      </c>
      <c r="S1246">
        <v>23.407900000000001</v>
      </c>
      <c r="U1246" s="1">
        <v>45597</v>
      </c>
      <c r="V1246">
        <v>16.617699999999999</v>
      </c>
      <c r="BL1246" s="1"/>
    </row>
    <row r="1247" spans="15:64">
      <c r="O1247" s="1">
        <v>45598</v>
      </c>
      <c r="P1247">
        <v>15.3505</v>
      </c>
      <c r="R1247" s="1">
        <v>45598</v>
      </c>
      <c r="S1247">
        <v>23.407900000000001</v>
      </c>
      <c r="U1247" s="1">
        <v>45598</v>
      </c>
      <c r="V1247">
        <v>16.617699999999999</v>
      </c>
      <c r="BL1247" s="1"/>
    </row>
    <row r="1248" spans="15:64">
      <c r="O1248" s="1">
        <v>45599</v>
      </c>
      <c r="P1248">
        <v>15.3505</v>
      </c>
      <c r="R1248" s="1">
        <v>45599</v>
      </c>
      <c r="S1248">
        <v>23.407900000000001</v>
      </c>
      <c r="U1248" s="1">
        <v>45599</v>
      </c>
      <c r="V1248">
        <v>16.617699999999999</v>
      </c>
      <c r="BL1248" s="1"/>
    </row>
    <row r="1249" spans="15:64">
      <c r="O1249" s="1">
        <v>45600</v>
      </c>
      <c r="P1249">
        <v>15.944100000000001</v>
      </c>
      <c r="R1249" s="1">
        <v>45600</v>
      </c>
      <c r="S1249">
        <v>22.721299999999999</v>
      </c>
      <c r="U1249" s="1">
        <v>45600</v>
      </c>
      <c r="V1249">
        <v>17.3111</v>
      </c>
      <c r="BL1249" s="1"/>
    </row>
    <row r="1250" spans="15:64">
      <c r="O1250" s="1">
        <v>45601</v>
      </c>
      <c r="P1250">
        <v>17.922699999999999</v>
      </c>
      <c r="R1250" s="1">
        <v>45601</v>
      </c>
      <c r="S1250">
        <v>23.4162</v>
      </c>
      <c r="U1250" s="1">
        <v>45601</v>
      </c>
      <c r="V1250">
        <v>18.0045</v>
      </c>
      <c r="BL1250" s="1"/>
    </row>
    <row r="1251" spans="15:64">
      <c r="O1251" s="1">
        <v>45602</v>
      </c>
      <c r="P1251">
        <v>19.307700000000001</v>
      </c>
      <c r="R1251" s="1">
        <v>45602</v>
      </c>
      <c r="S1251">
        <v>22.025700000000001</v>
      </c>
      <c r="U1251" s="1">
        <v>45602</v>
      </c>
      <c r="V1251">
        <v>21.5976</v>
      </c>
      <c r="BL1251" s="1"/>
    </row>
    <row r="1252" spans="15:64">
      <c r="O1252" s="1">
        <v>45603</v>
      </c>
      <c r="P1252">
        <v>25.441199999999998</v>
      </c>
      <c r="R1252" s="1">
        <v>45603</v>
      </c>
      <c r="S1252">
        <v>24.097200000000001</v>
      </c>
      <c r="U1252" s="1">
        <v>45603</v>
      </c>
      <c r="V1252">
        <v>22.038900000000002</v>
      </c>
      <c r="BL1252" s="1"/>
    </row>
    <row r="1253" spans="15:64">
      <c r="O1253" s="1">
        <v>45604</v>
      </c>
      <c r="P1253">
        <v>22.473400000000002</v>
      </c>
      <c r="R1253" s="1">
        <v>45604</v>
      </c>
      <c r="S1253">
        <v>23.154800000000002</v>
      </c>
      <c r="U1253" s="1">
        <v>45604</v>
      </c>
      <c r="V1253">
        <v>21.9968</v>
      </c>
      <c r="BL1253" s="1"/>
    </row>
    <row r="1254" spans="15:64">
      <c r="O1254" s="1">
        <v>45605</v>
      </c>
      <c r="P1254">
        <v>22.473400000000002</v>
      </c>
      <c r="R1254" s="1">
        <v>45605</v>
      </c>
      <c r="S1254">
        <v>23.154800000000002</v>
      </c>
      <c r="U1254" s="1">
        <v>45605</v>
      </c>
      <c r="V1254">
        <v>21.9968</v>
      </c>
      <c r="BL1254" s="1"/>
    </row>
    <row r="1255" spans="15:64">
      <c r="O1255" s="1">
        <v>45606</v>
      </c>
      <c r="P1255">
        <v>22.473400000000002</v>
      </c>
      <c r="R1255" s="1">
        <v>45606</v>
      </c>
      <c r="S1255">
        <v>23.154800000000002</v>
      </c>
      <c r="U1255" s="1">
        <v>45606</v>
      </c>
      <c r="V1255">
        <v>21.9968</v>
      </c>
      <c r="BL1255" s="1"/>
    </row>
    <row r="1256" spans="15:64">
      <c r="O1256" s="1">
        <v>45607</v>
      </c>
      <c r="P1256">
        <v>25.441199999999998</v>
      </c>
      <c r="R1256" s="1">
        <v>45607</v>
      </c>
      <c r="S1256">
        <v>24.648900000000001</v>
      </c>
      <c r="U1256" s="1">
        <v>45607</v>
      </c>
      <c r="V1256">
        <v>23.194500000000001</v>
      </c>
      <c r="BL1256" s="1"/>
    </row>
    <row r="1257" spans="15:64">
      <c r="O1257" s="1">
        <v>45608</v>
      </c>
      <c r="P1257">
        <v>22.473400000000002</v>
      </c>
      <c r="R1257" s="1">
        <v>45608</v>
      </c>
      <c r="S1257">
        <v>21.9893</v>
      </c>
      <c r="U1257" s="1">
        <v>45608</v>
      </c>
      <c r="V1257">
        <v>23.3626</v>
      </c>
      <c r="BL1257" s="1"/>
    </row>
    <row r="1258" spans="15:64">
      <c r="O1258" s="1">
        <v>45609</v>
      </c>
      <c r="P1258">
        <v>21.484100000000002</v>
      </c>
      <c r="R1258" s="1">
        <v>45609</v>
      </c>
      <c r="S1258">
        <v>21.793600000000001</v>
      </c>
      <c r="U1258" s="1">
        <v>45609</v>
      </c>
      <c r="V1258">
        <v>24.350200000000001</v>
      </c>
      <c r="BL1258" s="1"/>
    </row>
    <row r="1259" spans="15:64">
      <c r="O1259" s="1">
        <v>45610</v>
      </c>
      <c r="P1259">
        <v>20.297000000000001</v>
      </c>
      <c r="R1259" s="1">
        <v>45610</v>
      </c>
      <c r="S1259">
        <v>23.463799999999999</v>
      </c>
      <c r="U1259" s="1">
        <v>45610</v>
      </c>
      <c r="V1259">
        <v>21.7027</v>
      </c>
      <c r="BL1259" s="1"/>
    </row>
    <row r="1260" spans="15:64">
      <c r="O1260" s="1">
        <v>45611</v>
      </c>
      <c r="P1260">
        <v>18.911999999999999</v>
      </c>
      <c r="R1260" s="1">
        <v>45611</v>
      </c>
      <c r="S1260">
        <v>23.1248</v>
      </c>
      <c r="U1260" s="1">
        <v>45611</v>
      </c>
      <c r="V1260">
        <v>20.7361</v>
      </c>
      <c r="BL1260" s="1"/>
    </row>
    <row r="1261" spans="15:64">
      <c r="O1261" s="1">
        <v>45612</v>
      </c>
      <c r="P1261">
        <v>18.911999999999999</v>
      </c>
      <c r="R1261" s="1">
        <v>45612</v>
      </c>
      <c r="S1261">
        <v>23.1248</v>
      </c>
      <c r="U1261" s="1">
        <v>45612</v>
      </c>
      <c r="V1261">
        <v>20.7361</v>
      </c>
      <c r="BL1261" s="1"/>
    </row>
    <row r="1262" spans="15:64">
      <c r="O1262" s="1">
        <v>45613</v>
      </c>
      <c r="P1262">
        <v>18.911999999999999</v>
      </c>
      <c r="R1262" s="1">
        <v>45613</v>
      </c>
      <c r="S1262">
        <v>23.1248</v>
      </c>
      <c r="U1262" s="1">
        <v>45613</v>
      </c>
      <c r="V1262">
        <v>20.7361</v>
      </c>
      <c r="BL1262" s="1"/>
    </row>
    <row r="1263" spans="15:64">
      <c r="O1263" s="1">
        <v>45614</v>
      </c>
      <c r="P1263">
        <v>16.933399999999999</v>
      </c>
      <c r="R1263" s="1">
        <v>45614</v>
      </c>
      <c r="S1263">
        <v>22.9863</v>
      </c>
      <c r="U1263" s="1">
        <v>45614</v>
      </c>
      <c r="V1263">
        <v>20.4209</v>
      </c>
      <c r="BL1263" s="1"/>
    </row>
    <row r="1264" spans="15:64">
      <c r="O1264" s="1">
        <v>45615</v>
      </c>
      <c r="P1264">
        <v>16.141999999999999</v>
      </c>
      <c r="R1264" s="1">
        <v>45615</v>
      </c>
      <c r="S1264">
        <v>22.160299999999999</v>
      </c>
      <c r="U1264" s="1">
        <v>45615</v>
      </c>
      <c r="V1264">
        <v>19.790600000000001</v>
      </c>
      <c r="BL1264" s="1"/>
    </row>
    <row r="1265" spans="15:64">
      <c r="O1265" s="1">
        <v>45616</v>
      </c>
      <c r="P1265">
        <v>13.569800000000001</v>
      </c>
      <c r="R1265" s="1">
        <v>45616</v>
      </c>
      <c r="S1265">
        <v>21.804400000000001</v>
      </c>
      <c r="U1265" s="1">
        <v>45616</v>
      </c>
      <c r="V1265">
        <v>20.8202</v>
      </c>
      <c r="BL1265" s="1"/>
    </row>
    <row r="1266" spans="15:64">
      <c r="O1266" s="1">
        <v>45617</v>
      </c>
      <c r="P1266">
        <v>13.569800000000001</v>
      </c>
      <c r="R1266" s="1">
        <v>45617</v>
      </c>
      <c r="S1266">
        <v>22.7105</v>
      </c>
      <c r="U1266" s="1">
        <v>45617</v>
      </c>
      <c r="V1266">
        <v>20.946200000000001</v>
      </c>
      <c r="BL1266" s="1"/>
    </row>
    <row r="1267" spans="15:64">
      <c r="O1267" s="1">
        <v>45618</v>
      </c>
      <c r="P1267">
        <v>13.569800000000001</v>
      </c>
      <c r="R1267" s="1">
        <v>45618</v>
      </c>
      <c r="S1267">
        <v>23.841200000000001</v>
      </c>
      <c r="U1267" s="1">
        <v>45618</v>
      </c>
      <c r="V1267">
        <v>23.026399999999999</v>
      </c>
      <c r="BL1267" s="1"/>
    </row>
    <row r="1268" spans="15:64">
      <c r="O1268" s="1">
        <v>45619</v>
      </c>
      <c r="P1268">
        <v>13.569800000000001</v>
      </c>
      <c r="R1268" s="1">
        <v>45619</v>
      </c>
      <c r="S1268">
        <v>23.841200000000001</v>
      </c>
      <c r="U1268" s="1">
        <v>45619</v>
      </c>
      <c r="V1268">
        <v>23.026399999999999</v>
      </c>
      <c r="BL1268" s="1"/>
    </row>
    <row r="1269" spans="15:64">
      <c r="O1269" s="1">
        <v>45620</v>
      </c>
      <c r="P1269">
        <v>13.569800000000001</v>
      </c>
      <c r="R1269" s="1">
        <v>45620</v>
      </c>
      <c r="S1269">
        <v>23.841200000000001</v>
      </c>
      <c r="U1269" s="1">
        <v>45620</v>
      </c>
      <c r="V1269">
        <v>23.026399999999999</v>
      </c>
      <c r="BL1269" s="1"/>
    </row>
    <row r="1270" spans="15:64">
      <c r="O1270" s="1">
        <v>45621</v>
      </c>
      <c r="P1270">
        <v>13.7677</v>
      </c>
      <c r="R1270" s="1">
        <v>45621</v>
      </c>
      <c r="S1270">
        <v>24.370699999999999</v>
      </c>
      <c r="U1270" s="1">
        <v>45621</v>
      </c>
      <c r="V1270">
        <v>23.425699999999999</v>
      </c>
      <c r="BL1270" s="1"/>
    </row>
    <row r="1271" spans="15:64">
      <c r="O1271" s="1">
        <v>45622</v>
      </c>
      <c r="P1271">
        <v>8.8213000000000008</v>
      </c>
      <c r="R1271" s="1">
        <v>45622</v>
      </c>
      <c r="S1271">
        <v>23.6707</v>
      </c>
      <c r="U1271" s="1">
        <v>45622</v>
      </c>
      <c r="V1271">
        <v>25.2117</v>
      </c>
      <c r="BL1271" s="1"/>
    </row>
    <row r="1272" spans="15:64">
      <c r="O1272" s="1">
        <v>45623</v>
      </c>
      <c r="P1272">
        <v>11.195499999999999</v>
      </c>
      <c r="R1272" s="1">
        <v>45623</v>
      </c>
      <c r="S1272">
        <v>23.4513</v>
      </c>
      <c r="U1272" s="1">
        <v>45623</v>
      </c>
      <c r="V1272">
        <v>24.581299999999999</v>
      </c>
      <c r="BL1272" s="1"/>
    </row>
    <row r="1273" spans="15:64">
      <c r="O1273" s="1">
        <v>45624</v>
      </c>
      <c r="P1273">
        <v>13.7677</v>
      </c>
      <c r="R1273" s="1">
        <v>45624</v>
      </c>
      <c r="S1273">
        <v>24.502300000000002</v>
      </c>
      <c r="U1273" s="1">
        <v>45624</v>
      </c>
      <c r="V1273">
        <v>24.581299999999999</v>
      </c>
      <c r="BL1273" s="1"/>
    </row>
    <row r="1274" spans="15:64">
      <c r="O1274" s="1">
        <v>45625</v>
      </c>
      <c r="P1274">
        <v>13.569800000000001</v>
      </c>
      <c r="R1274" s="1">
        <v>45625</v>
      </c>
      <c r="S1274">
        <v>25.788699999999999</v>
      </c>
      <c r="U1274" s="1">
        <v>45625</v>
      </c>
      <c r="V1274">
        <v>24.4132</v>
      </c>
      <c r="BL1274" s="1"/>
    </row>
    <row r="1275" spans="15:64">
      <c r="O1275" s="1">
        <v>45626</v>
      </c>
      <c r="P1275">
        <v>13.569800000000001</v>
      </c>
      <c r="R1275" s="1">
        <v>45626</v>
      </c>
      <c r="S1275">
        <v>25.788699999999999</v>
      </c>
      <c r="U1275" s="1">
        <v>45626</v>
      </c>
      <c r="V1275">
        <v>24.4132</v>
      </c>
      <c r="BL1275" s="1"/>
    </row>
    <row r="1276" spans="15:64">
      <c r="O1276" s="1">
        <v>45627</v>
      </c>
      <c r="P1276">
        <v>13.569800000000001</v>
      </c>
      <c r="R1276" s="1">
        <v>45627</v>
      </c>
      <c r="S1276">
        <v>25.788699999999999</v>
      </c>
      <c r="U1276" s="1">
        <v>45627</v>
      </c>
      <c r="V1276">
        <v>24.4132</v>
      </c>
      <c r="BL1276" s="1"/>
    </row>
    <row r="1277" spans="15:64">
      <c r="O1277" s="1">
        <v>45628</v>
      </c>
      <c r="P1277">
        <v>13.569800000000001</v>
      </c>
      <c r="R1277" s="1">
        <v>45628</v>
      </c>
      <c r="S1277">
        <v>27.757400000000001</v>
      </c>
      <c r="U1277" s="1">
        <v>45628</v>
      </c>
      <c r="V1277">
        <v>24.875499999999999</v>
      </c>
      <c r="BL1277" s="1"/>
    </row>
    <row r="1278" spans="15:64">
      <c r="O1278" s="1">
        <v>45629</v>
      </c>
      <c r="P1278">
        <v>16.735499999999998</v>
      </c>
      <c r="R1278" s="1">
        <v>45629</v>
      </c>
      <c r="S1278">
        <v>28.290199999999999</v>
      </c>
      <c r="U1278" s="1">
        <v>45629</v>
      </c>
      <c r="V1278">
        <v>24.980599999999999</v>
      </c>
      <c r="BL1278" s="1"/>
    </row>
    <row r="1279" spans="15:64">
      <c r="O1279" s="1">
        <v>45630</v>
      </c>
      <c r="P1279">
        <v>18.911999999999999</v>
      </c>
      <c r="R1279" s="1">
        <v>45630</v>
      </c>
      <c r="S1279">
        <v>29.6707</v>
      </c>
      <c r="U1279" s="1">
        <v>45630</v>
      </c>
      <c r="V1279">
        <v>25.274699999999999</v>
      </c>
      <c r="BL1279" s="1"/>
    </row>
    <row r="1280" spans="15:64">
      <c r="O1280" s="1">
        <v>45631</v>
      </c>
      <c r="P1280">
        <v>19.505500000000001</v>
      </c>
      <c r="R1280" s="1">
        <v>45631</v>
      </c>
      <c r="S1280">
        <v>30.482500000000002</v>
      </c>
      <c r="U1280" s="1">
        <v>45631</v>
      </c>
      <c r="V1280">
        <v>26.115200000000002</v>
      </c>
      <c r="BL1280" s="1"/>
    </row>
    <row r="1281" spans="15:64">
      <c r="O1281" s="1">
        <v>45632</v>
      </c>
      <c r="P1281">
        <v>19.901199999999999</v>
      </c>
      <c r="R1281" s="1">
        <v>45632</v>
      </c>
      <c r="S1281">
        <v>30.6479</v>
      </c>
      <c r="U1281" s="1">
        <v>45632</v>
      </c>
      <c r="V1281">
        <v>25.842099999999999</v>
      </c>
      <c r="BL1281" s="1"/>
    </row>
    <row r="1282" spans="15:64">
      <c r="O1282" s="1">
        <v>45633</v>
      </c>
      <c r="P1282">
        <v>19.901199999999999</v>
      </c>
      <c r="R1282" s="1">
        <v>45633</v>
      </c>
      <c r="S1282">
        <v>30.6479</v>
      </c>
      <c r="U1282" s="1">
        <v>45633</v>
      </c>
      <c r="V1282">
        <v>25.842099999999999</v>
      </c>
      <c r="BL1282" s="1"/>
    </row>
    <row r="1283" spans="15:64">
      <c r="O1283" s="1">
        <v>45634</v>
      </c>
      <c r="P1283">
        <v>19.901199999999999</v>
      </c>
      <c r="R1283" s="1">
        <v>45634</v>
      </c>
      <c r="S1283">
        <v>30.6479</v>
      </c>
      <c r="U1283" s="1">
        <v>45634</v>
      </c>
      <c r="V1283">
        <v>25.842099999999999</v>
      </c>
      <c r="BL1283" s="1"/>
    </row>
    <row r="1284" spans="15:64">
      <c r="O1284" s="1">
        <v>45635</v>
      </c>
      <c r="P1284">
        <v>19.505500000000001</v>
      </c>
      <c r="R1284" s="1">
        <v>45635</v>
      </c>
      <c r="S1284">
        <v>30.400200000000002</v>
      </c>
      <c r="U1284" s="1">
        <v>45635</v>
      </c>
      <c r="V1284">
        <v>23.866900000000001</v>
      </c>
      <c r="BL1284" s="1"/>
    </row>
    <row r="1285" spans="15:64">
      <c r="O1285" s="1">
        <v>45636</v>
      </c>
      <c r="P1285">
        <v>19.901199999999999</v>
      </c>
      <c r="R1285" s="1">
        <v>45636</v>
      </c>
      <c r="S1285">
        <v>30.2925</v>
      </c>
      <c r="U1285" s="1">
        <v>45636</v>
      </c>
      <c r="V1285">
        <v>23.383600000000001</v>
      </c>
      <c r="BL1285" s="1"/>
    </row>
    <row r="1286" spans="15:64">
      <c r="O1286" s="1">
        <v>45637</v>
      </c>
      <c r="P1286">
        <v>20.890499999999999</v>
      </c>
      <c r="R1286" s="1">
        <v>45637</v>
      </c>
      <c r="S1286">
        <v>30.741099999999999</v>
      </c>
      <c r="U1286" s="1">
        <v>45637</v>
      </c>
      <c r="V1286">
        <v>23.110499999999998</v>
      </c>
      <c r="BL1286" s="1"/>
    </row>
    <row r="1287" spans="15:64">
      <c r="O1287" s="1">
        <v>45638</v>
      </c>
      <c r="P1287">
        <v>22.671199999999999</v>
      </c>
      <c r="R1287" s="1">
        <v>45638</v>
      </c>
      <c r="S1287">
        <v>30.914899999999999</v>
      </c>
      <c r="U1287" s="1">
        <v>45638</v>
      </c>
      <c r="V1287">
        <v>23.6568</v>
      </c>
      <c r="BL1287" s="1"/>
    </row>
    <row r="1288" spans="15:64">
      <c r="O1288" s="1">
        <v>45639</v>
      </c>
      <c r="P1288">
        <v>22.8691</v>
      </c>
      <c r="R1288" s="1">
        <v>45639</v>
      </c>
      <c r="S1288">
        <v>30.784500000000001</v>
      </c>
      <c r="U1288" s="1">
        <v>45639</v>
      </c>
      <c r="V1288">
        <v>23.173500000000001</v>
      </c>
      <c r="BL1288" s="1"/>
    </row>
    <row r="1289" spans="15:64">
      <c r="O1289" s="1">
        <v>45640</v>
      </c>
      <c r="P1289">
        <v>22.8691</v>
      </c>
      <c r="R1289" s="1">
        <v>45640</v>
      </c>
      <c r="S1289">
        <v>30.784500000000001</v>
      </c>
      <c r="U1289" s="1">
        <v>45640</v>
      </c>
      <c r="V1289">
        <v>23.173500000000001</v>
      </c>
      <c r="BL1289" s="1"/>
    </row>
    <row r="1290" spans="15:64">
      <c r="O1290" s="1">
        <v>45641</v>
      </c>
      <c r="P1290">
        <v>22.8691</v>
      </c>
      <c r="R1290" s="1">
        <v>45641</v>
      </c>
      <c r="S1290">
        <v>30.784500000000001</v>
      </c>
      <c r="U1290" s="1">
        <v>45641</v>
      </c>
      <c r="V1290">
        <v>23.173500000000001</v>
      </c>
      <c r="BL1290" s="1"/>
    </row>
    <row r="1291" spans="15:64">
      <c r="O1291" s="1">
        <v>45642</v>
      </c>
      <c r="P1291">
        <v>13.569800000000001</v>
      </c>
      <c r="R1291" s="1">
        <v>45642</v>
      </c>
      <c r="S1291">
        <v>30.194099999999999</v>
      </c>
      <c r="U1291" s="1">
        <v>45642</v>
      </c>
      <c r="V1291">
        <v>22.606200000000001</v>
      </c>
      <c r="BL1291" s="1"/>
    </row>
    <row r="1292" spans="15:64">
      <c r="O1292" s="1">
        <v>45643</v>
      </c>
      <c r="P1292">
        <v>13.569800000000001</v>
      </c>
      <c r="R1292" s="1">
        <v>45643</v>
      </c>
      <c r="S1292">
        <v>29.761900000000001</v>
      </c>
      <c r="U1292" s="1">
        <v>45643</v>
      </c>
      <c r="V1292">
        <v>22.9634</v>
      </c>
      <c r="BL1292" s="1"/>
    </row>
    <row r="1293" spans="15:64">
      <c r="O1293" s="1">
        <v>45644</v>
      </c>
      <c r="P1293">
        <v>13.174099999999999</v>
      </c>
      <c r="R1293" s="1">
        <v>45644</v>
      </c>
      <c r="S1293">
        <v>29.737500000000001</v>
      </c>
      <c r="U1293" s="1">
        <v>45644</v>
      </c>
      <c r="V1293">
        <v>20.883199999999999</v>
      </c>
      <c r="BL1293" s="1"/>
    </row>
    <row r="1294" spans="15:64">
      <c r="O1294" s="1">
        <v>45645</v>
      </c>
      <c r="P1294">
        <v>11.3934</v>
      </c>
      <c r="R1294" s="1">
        <v>45645</v>
      </c>
      <c r="S1294">
        <v>27.989699999999999</v>
      </c>
      <c r="U1294" s="1">
        <v>45645</v>
      </c>
      <c r="V1294">
        <v>21.093299999999999</v>
      </c>
      <c r="BL1294" s="1"/>
    </row>
    <row r="1295" spans="15:64">
      <c r="O1295" s="1">
        <v>45646</v>
      </c>
      <c r="P1295">
        <v>9.2170000000000005</v>
      </c>
      <c r="R1295" s="1">
        <v>45646</v>
      </c>
      <c r="S1295">
        <v>27.444199999999999</v>
      </c>
      <c r="U1295" s="1">
        <v>45646</v>
      </c>
      <c r="V1295">
        <v>22.9634</v>
      </c>
      <c r="BL1295" s="1"/>
    </row>
    <row r="1296" spans="15:64">
      <c r="O1296" s="1">
        <v>45647</v>
      </c>
      <c r="P1296">
        <v>9.2170000000000005</v>
      </c>
      <c r="R1296" s="1">
        <v>45647</v>
      </c>
      <c r="S1296">
        <v>27.444199999999999</v>
      </c>
      <c r="U1296" s="1">
        <v>45647</v>
      </c>
      <c r="V1296">
        <v>22.9634</v>
      </c>
      <c r="BL1296" s="1"/>
    </row>
    <row r="1297" spans="15:64">
      <c r="O1297" s="1">
        <v>45648</v>
      </c>
      <c r="P1297">
        <v>9.2170000000000005</v>
      </c>
      <c r="R1297" s="1">
        <v>45648</v>
      </c>
      <c r="S1297">
        <v>27.444199999999999</v>
      </c>
      <c r="U1297" s="1">
        <v>45648</v>
      </c>
      <c r="V1297">
        <v>22.9634</v>
      </c>
      <c r="BL1297" s="1"/>
    </row>
    <row r="1298" spans="15:64">
      <c r="O1298" s="1">
        <v>45649</v>
      </c>
      <c r="P1298">
        <v>9.8104999999999993</v>
      </c>
      <c r="R1298" s="1">
        <v>45649</v>
      </c>
      <c r="S1298">
        <v>27.2136</v>
      </c>
      <c r="U1298" s="1">
        <v>45649</v>
      </c>
      <c r="V1298">
        <v>23.93</v>
      </c>
      <c r="BL1298" s="1"/>
    </row>
    <row r="1299" spans="15:64">
      <c r="O1299" s="1">
        <v>45650</v>
      </c>
      <c r="P1299">
        <v>9.8104999999999993</v>
      </c>
      <c r="R1299" s="1">
        <v>45650</v>
      </c>
      <c r="S1299">
        <v>27.2136</v>
      </c>
      <c r="U1299" s="1">
        <v>45650</v>
      </c>
      <c r="V1299">
        <v>25.757999999999999</v>
      </c>
      <c r="BL1299" s="1"/>
    </row>
    <row r="1300" spans="15:64">
      <c r="O1300" s="1">
        <v>45651</v>
      </c>
      <c r="P1300">
        <v>9.8104999999999993</v>
      </c>
      <c r="R1300" s="1">
        <v>45651</v>
      </c>
      <c r="S1300">
        <v>27.2136</v>
      </c>
      <c r="U1300" s="1">
        <v>45651</v>
      </c>
      <c r="V1300">
        <v>25.757999999999999</v>
      </c>
      <c r="BL1300" s="1"/>
    </row>
    <row r="1301" spans="15:64">
      <c r="O1301" s="1">
        <v>45652</v>
      </c>
      <c r="P1301">
        <v>9.8104999999999993</v>
      </c>
      <c r="R1301" s="1">
        <v>45652</v>
      </c>
      <c r="S1301">
        <v>27.2136</v>
      </c>
      <c r="U1301" s="1">
        <v>45652</v>
      </c>
      <c r="V1301">
        <v>26.031199999999998</v>
      </c>
      <c r="BL1301" s="1"/>
    </row>
    <row r="1302" spans="15:64">
      <c r="O1302" s="1">
        <v>45653</v>
      </c>
      <c r="P1302">
        <v>10.799799999999999</v>
      </c>
      <c r="R1302" s="1">
        <v>45653</v>
      </c>
      <c r="S1302">
        <v>28.0824</v>
      </c>
      <c r="U1302" s="1">
        <v>45653</v>
      </c>
      <c r="V1302">
        <v>25.253699999999998</v>
      </c>
      <c r="BL1302" s="1"/>
    </row>
    <row r="1303" spans="15:64">
      <c r="O1303" s="1">
        <v>45654</v>
      </c>
      <c r="P1303">
        <v>10.799799999999999</v>
      </c>
      <c r="R1303" s="1">
        <v>45654</v>
      </c>
      <c r="S1303">
        <v>28.0824</v>
      </c>
      <c r="U1303" s="1">
        <v>45654</v>
      </c>
      <c r="V1303">
        <v>25.253699999999998</v>
      </c>
      <c r="BL1303" s="1"/>
    </row>
    <row r="1304" spans="15:64">
      <c r="O1304" s="1">
        <v>45655</v>
      </c>
      <c r="P1304">
        <v>10.799799999999999</v>
      </c>
      <c r="R1304" s="1">
        <v>45655</v>
      </c>
      <c r="S1304">
        <v>28.0824</v>
      </c>
      <c r="U1304" s="1">
        <v>45655</v>
      </c>
      <c r="V1304">
        <v>25.253699999999998</v>
      </c>
      <c r="BL1304" s="1"/>
    </row>
    <row r="1305" spans="15:64">
      <c r="O1305" s="1">
        <v>45656</v>
      </c>
      <c r="P1305">
        <v>10.602</v>
      </c>
      <c r="R1305" s="1">
        <v>45656</v>
      </c>
      <c r="S1305">
        <v>27.6005</v>
      </c>
      <c r="U1305" s="1">
        <v>45656</v>
      </c>
      <c r="V1305">
        <v>24.371200000000002</v>
      </c>
      <c r="BL1305" s="1"/>
    </row>
    <row r="1306" spans="15:64">
      <c r="O1306" s="1">
        <v>45657</v>
      </c>
      <c r="P1306">
        <v>10.602</v>
      </c>
      <c r="R1306" s="1">
        <v>45657</v>
      </c>
      <c r="S1306">
        <v>27.6005</v>
      </c>
      <c r="U1306" s="1">
        <v>45657</v>
      </c>
      <c r="V1306">
        <v>24.392199999999999</v>
      </c>
      <c r="BL1306" s="1"/>
    </row>
    <row r="1307" spans="15:64">
      <c r="O1307" s="1">
        <v>45658</v>
      </c>
      <c r="P1307">
        <v>10.602</v>
      </c>
      <c r="R1307" s="1">
        <v>45658</v>
      </c>
      <c r="S1307">
        <v>27.6005</v>
      </c>
      <c r="U1307" s="1">
        <v>45658</v>
      </c>
      <c r="V1307">
        <v>24.392199999999999</v>
      </c>
      <c r="BL1307" s="1"/>
    </row>
    <row r="1308" spans="15:64">
      <c r="O1308" s="1">
        <v>45659</v>
      </c>
      <c r="P1308">
        <v>11.591200000000001</v>
      </c>
      <c r="R1308" s="1">
        <v>45659</v>
      </c>
      <c r="S1308">
        <v>28.340900000000001</v>
      </c>
      <c r="U1308" s="1">
        <v>45659</v>
      </c>
      <c r="V1308">
        <v>24.182099999999998</v>
      </c>
      <c r="BL1308" s="1"/>
    </row>
    <row r="1309" spans="15:64">
      <c r="O1309" s="1">
        <v>45660</v>
      </c>
      <c r="P1309">
        <v>11.591200000000001</v>
      </c>
      <c r="R1309" s="1">
        <v>45660</v>
      </c>
      <c r="S1309">
        <v>27.5809</v>
      </c>
      <c r="U1309" s="1">
        <v>45660</v>
      </c>
      <c r="V1309">
        <v>24.5183</v>
      </c>
      <c r="BL1309" s="1"/>
    </row>
    <row r="1310" spans="15:64">
      <c r="O1310" s="1">
        <v>45661</v>
      </c>
      <c r="P1310">
        <v>11.591200000000001</v>
      </c>
      <c r="R1310" s="1">
        <v>45661</v>
      </c>
      <c r="S1310">
        <v>27.5809</v>
      </c>
      <c r="U1310" s="1">
        <v>45661</v>
      </c>
      <c r="V1310">
        <v>24.5183</v>
      </c>
      <c r="BL1310" s="1"/>
    </row>
    <row r="1311" spans="15:64">
      <c r="O1311" s="1">
        <v>45662</v>
      </c>
      <c r="P1311">
        <v>11.591200000000001</v>
      </c>
      <c r="R1311" s="1">
        <v>45662</v>
      </c>
      <c r="S1311">
        <v>27.5809</v>
      </c>
      <c r="U1311" s="1">
        <v>45662</v>
      </c>
      <c r="V1311">
        <v>24.5183</v>
      </c>
      <c r="BL1311" s="1"/>
    </row>
    <row r="1312" spans="15:64">
      <c r="O1312" s="1">
        <v>45663</v>
      </c>
      <c r="P1312">
        <v>17.527000000000001</v>
      </c>
      <c r="R1312" s="1">
        <v>45663</v>
      </c>
      <c r="S1312">
        <v>29.5685</v>
      </c>
      <c r="U1312" s="1">
        <v>45663</v>
      </c>
      <c r="V1312">
        <v>24.3279</v>
      </c>
      <c r="BL1312" s="1"/>
    </row>
    <row r="1313" spans="15:64">
      <c r="O1313" s="1">
        <v>45664</v>
      </c>
      <c r="P1313">
        <v>15.7462</v>
      </c>
      <c r="R1313" s="1">
        <v>45664</v>
      </c>
      <c r="S1313">
        <v>30.365600000000001</v>
      </c>
      <c r="U1313" s="1">
        <v>45664</v>
      </c>
      <c r="V1313">
        <v>24.666399999999999</v>
      </c>
      <c r="BL1313" s="1"/>
    </row>
    <row r="1314" spans="15:64">
      <c r="O1314" s="1">
        <v>45665</v>
      </c>
      <c r="P1314">
        <v>14.3612</v>
      </c>
      <c r="R1314" s="1">
        <v>45665</v>
      </c>
      <c r="S1314">
        <v>30.297499999999999</v>
      </c>
      <c r="U1314" s="1">
        <v>45665</v>
      </c>
      <c r="V1314">
        <v>25.2376</v>
      </c>
      <c r="BL1314" s="1"/>
    </row>
    <row r="1315" spans="15:64">
      <c r="O1315" s="1">
        <v>45666</v>
      </c>
      <c r="P1315">
        <v>15.3505</v>
      </c>
      <c r="R1315" s="1">
        <v>45666</v>
      </c>
      <c r="S1315">
        <v>30.215199999999999</v>
      </c>
      <c r="U1315" s="1">
        <v>45666</v>
      </c>
      <c r="V1315">
        <v>25.2376</v>
      </c>
      <c r="BL1315" s="1"/>
    </row>
    <row r="1316" spans="15:64">
      <c r="O1316" s="1">
        <v>45667</v>
      </c>
      <c r="P1316">
        <v>4.6662999999999997</v>
      </c>
      <c r="R1316" s="1">
        <v>45667</v>
      </c>
      <c r="S1316">
        <v>29.5595</v>
      </c>
      <c r="U1316" s="1">
        <v>45667</v>
      </c>
      <c r="V1316">
        <v>24.264399999999998</v>
      </c>
      <c r="BL1316" s="1"/>
    </row>
    <row r="1317" spans="15:64">
      <c r="O1317" s="1">
        <v>45668</v>
      </c>
      <c r="P1317">
        <v>4.6662999999999997</v>
      </c>
      <c r="R1317" s="1">
        <v>45668</v>
      </c>
      <c r="S1317">
        <v>29.5595</v>
      </c>
      <c r="U1317" s="1">
        <v>45668</v>
      </c>
      <c r="V1317">
        <v>24.264399999999998</v>
      </c>
      <c r="BL1317" s="1"/>
    </row>
    <row r="1318" spans="15:64">
      <c r="O1318" s="1">
        <v>45669</v>
      </c>
      <c r="P1318">
        <v>4.6662999999999997</v>
      </c>
      <c r="R1318" s="1">
        <v>45669</v>
      </c>
      <c r="S1318">
        <v>29.5595</v>
      </c>
      <c r="U1318" s="1">
        <v>45669</v>
      </c>
      <c r="V1318">
        <v>24.264399999999998</v>
      </c>
      <c r="BL1318" s="1"/>
    </row>
    <row r="1319" spans="15:64">
      <c r="O1319" s="1">
        <v>45670</v>
      </c>
      <c r="P1319">
        <v>3.0834000000000001</v>
      </c>
      <c r="R1319" s="1">
        <v>45670</v>
      </c>
      <c r="S1319">
        <v>29.034300000000002</v>
      </c>
      <c r="U1319" s="1">
        <v>45670</v>
      </c>
      <c r="V1319">
        <v>24.306799999999999</v>
      </c>
      <c r="BL1319" s="1"/>
    </row>
    <row r="1320" spans="15:64">
      <c r="O1320" s="1">
        <v>45671</v>
      </c>
      <c r="P1320">
        <v>6.0513000000000003</v>
      </c>
      <c r="R1320" s="1">
        <v>45671</v>
      </c>
      <c r="S1320">
        <v>29.921900000000001</v>
      </c>
      <c r="U1320" s="1">
        <v>45671</v>
      </c>
      <c r="V1320">
        <v>25.512599999999999</v>
      </c>
      <c r="BL1320" s="1"/>
    </row>
    <row r="1321" spans="15:64">
      <c r="O1321" s="1">
        <v>45672</v>
      </c>
      <c r="P1321">
        <v>5.8533999999999997</v>
      </c>
      <c r="R1321" s="1">
        <v>45672</v>
      </c>
      <c r="S1321">
        <v>31.866099999999999</v>
      </c>
      <c r="U1321" s="1">
        <v>45672</v>
      </c>
      <c r="V1321">
        <v>26.887699999999999</v>
      </c>
      <c r="BL1321" s="1"/>
    </row>
    <row r="1322" spans="15:64">
      <c r="O1322" s="1">
        <v>45673</v>
      </c>
      <c r="P1322">
        <v>5.8533999999999997</v>
      </c>
      <c r="R1322" s="1">
        <v>45673</v>
      </c>
      <c r="S1322">
        <v>32.383299999999998</v>
      </c>
      <c r="U1322" s="1">
        <v>45673</v>
      </c>
      <c r="V1322">
        <v>26.549199999999999</v>
      </c>
      <c r="BL1322" s="1"/>
    </row>
    <row r="1323" spans="15:64">
      <c r="O1323" s="1">
        <v>45674</v>
      </c>
      <c r="P1323">
        <v>10.0084</v>
      </c>
      <c r="R1323" s="1">
        <v>45674</v>
      </c>
      <c r="S1323">
        <v>33.972799999999999</v>
      </c>
      <c r="U1323" s="1">
        <v>45674</v>
      </c>
      <c r="V1323">
        <v>27.416499999999999</v>
      </c>
      <c r="BL1323" s="1"/>
    </row>
    <row r="1324" spans="15:64">
      <c r="O1324" s="1">
        <v>45675</v>
      </c>
      <c r="P1324">
        <v>10.0084</v>
      </c>
      <c r="R1324" s="1">
        <v>45675</v>
      </c>
      <c r="S1324">
        <v>33.972799999999999</v>
      </c>
      <c r="U1324" s="1">
        <v>45675</v>
      </c>
      <c r="V1324">
        <v>27.416499999999999</v>
      </c>
      <c r="BL1324" s="1"/>
    </row>
    <row r="1325" spans="15:64">
      <c r="O1325" s="1">
        <v>45676</v>
      </c>
      <c r="P1325">
        <v>10.0084</v>
      </c>
      <c r="R1325" s="1">
        <v>45676</v>
      </c>
      <c r="S1325">
        <v>33.972799999999999</v>
      </c>
      <c r="U1325" s="1">
        <v>45676</v>
      </c>
      <c r="V1325">
        <v>27.416499999999999</v>
      </c>
      <c r="BL1325" s="1"/>
    </row>
    <row r="1326" spans="15:64">
      <c r="O1326" s="1">
        <v>45677</v>
      </c>
      <c r="P1326">
        <v>9.8104999999999993</v>
      </c>
      <c r="R1326" s="1">
        <v>45677</v>
      </c>
      <c r="S1326">
        <v>34.529899999999998</v>
      </c>
      <c r="U1326" s="1">
        <v>45677</v>
      </c>
      <c r="V1326">
        <v>27.416499999999999</v>
      </c>
      <c r="BL1326" s="1"/>
    </row>
    <row r="1327" spans="15:64">
      <c r="O1327" s="1">
        <v>45678</v>
      </c>
      <c r="P1327">
        <v>10.206300000000001</v>
      </c>
      <c r="R1327" s="1">
        <v>45678</v>
      </c>
      <c r="S1327">
        <v>34.861199999999997</v>
      </c>
      <c r="U1327" s="1">
        <v>45678</v>
      </c>
      <c r="V1327">
        <v>29.108899999999998</v>
      </c>
      <c r="BL1327" s="1"/>
    </row>
    <row r="1328" spans="15:64">
      <c r="O1328" s="1">
        <v>45679</v>
      </c>
      <c r="P1328">
        <v>10.9977</v>
      </c>
      <c r="R1328" s="1">
        <v>45679</v>
      </c>
      <c r="S1328">
        <v>36.221699999999998</v>
      </c>
      <c r="U1328" s="1">
        <v>45679</v>
      </c>
      <c r="V1328">
        <v>30.3782</v>
      </c>
      <c r="BL1328" s="1"/>
    </row>
    <row r="1329" spans="15:64">
      <c r="O1329" s="1">
        <v>45680</v>
      </c>
      <c r="P1329">
        <v>12.580500000000001</v>
      </c>
      <c r="R1329" s="1">
        <v>45680</v>
      </c>
      <c r="S1329">
        <v>37.229599999999998</v>
      </c>
      <c r="U1329" s="1">
        <v>45680</v>
      </c>
      <c r="V1329">
        <v>31.647500000000001</v>
      </c>
      <c r="BL1329" s="1"/>
    </row>
    <row r="1330" spans="15:64">
      <c r="O1330" s="1">
        <v>45681</v>
      </c>
      <c r="P1330">
        <v>12.580500000000001</v>
      </c>
      <c r="R1330" s="1">
        <v>45681</v>
      </c>
      <c r="S1330">
        <v>37.123199999999997</v>
      </c>
      <c r="U1330" s="1">
        <v>45681</v>
      </c>
      <c r="V1330">
        <v>31.647500000000001</v>
      </c>
      <c r="BL1330" s="1"/>
    </row>
    <row r="1331" spans="15:64">
      <c r="O1331" s="1">
        <v>45682</v>
      </c>
      <c r="P1331">
        <v>12.580500000000001</v>
      </c>
      <c r="R1331" s="1">
        <v>45682</v>
      </c>
      <c r="S1331">
        <v>37.123199999999997</v>
      </c>
      <c r="U1331" s="1">
        <v>45682</v>
      </c>
      <c r="V1331">
        <v>31.647500000000001</v>
      </c>
      <c r="BL1331" s="1"/>
    </row>
    <row r="1332" spans="15:64">
      <c r="O1332" s="1">
        <v>45683</v>
      </c>
      <c r="P1332">
        <v>12.580500000000001</v>
      </c>
      <c r="R1332" s="1">
        <v>45683</v>
      </c>
      <c r="S1332">
        <v>37.123199999999997</v>
      </c>
      <c r="U1332" s="1">
        <v>45683</v>
      </c>
      <c r="V1332">
        <v>31.647500000000001</v>
      </c>
      <c r="BL1332" s="1"/>
    </row>
    <row r="1333" spans="15:64">
      <c r="O1333" s="1">
        <v>45684</v>
      </c>
      <c r="P1333">
        <v>11.195499999999999</v>
      </c>
      <c r="R1333" s="1">
        <v>45684</v>
      </c>
      <c r="S1333">
        <v>36.400500000000001</v>
      </c>
      <c r="U1333" s="1">
        <v>45684</v>
      </c>
      <c r="V1333">
        <v>24.983699999999999</v>
      </c>
      <c r="BL1333" s="1"/>
    </row>
    <row r="1334" spans="15:64">
      <c r="O1334" s="1">
        <v>45685</v>
      </c>
      <c r="P1334">
        <v>10.602</v>
      </c>
      <c r="R1334" s="1">
        <v>45685</v>
      </c>
      <c r="S1334">
        <v>37.351700000000001</v>
      </c>
      <c r="U1334" s="1">
        <v>45685</v>
      </c>
      <c r="V1334">
        <v>25.7241</v>
      </c>
      <c r="BL1334" s="1"/>
    </row>
    <row r="1335" spans="15:64">
      <c r="O1335" s="1">
        <v>45686</v>
      </c>
      <c r="P1335">
        <v>18.1205</v>
      </c>
      <c r="R1335" s="1">
        <v>45686</v>
      </c>
      <c r="S1335">
        <v>38.677999999999997</v>
      </c>
      <c r="U1335" s="1">
        <v>45686</v>
      </c>
      <c r="V1335">
        <v>25.978000000000002</v>
      </c>
      <c r="BL1335" s="1"/>
    </row>
    <row r="1336" spans="15:64">
      <c r="O1336" s="1">
        <v>45687</v>
      </c>
      <c r="P1336">
        <v>19.901199999999999</v>
      </c>
      <c r="R1336" s="1">
        <v>45687</v>
      </c>
      <c r="S1336">
        <v>39.252699999999997</v>
      </c>
      <c r="U1336" s="1">
        <v>45687</v>
      </c>
      <c r="V1336">
        <v>27.924299999999999</v>
      </c>
      <c r="BL1336" s="1"/>
    </row>
    <row r="1337" spans="15:64">
      <c r="O1337" s="1">
        <v>45688</v>
      </c>
      <c r="P1337">
        <v>18.3184</v>
      </c>
      <c r="R1337" s="1">
        <v>45688</v>
      </c>
      <c r="S1337">
        <v>39.283799999999999</v>
      </c>
      <c r="U1337" s="1">
        <v>45688</v>
      </c>
      <c r="V1337">
        <v>28.199300000000001</v>
      </c>
      <c r="BL1337" s="1"/>
    </row>
    <row r="1338" spans="15:64">
      <c r="O1338" s="1">
        <v>45689</v>
      </c>
      <c r="P1338">
        <v>18.3184</v>
      </c>
      <c r="R1338" s="1">
        <v>45689</v>
      </c>
      <c r="S1338">
        <v>39.283799999999999</v>
      </c>
      <c r="U1338" s="1">
        <v>45689</v>
      </c>
      <c r="V1338">
        <v>28.199300000000001</v>
      </c>
      <c r="BL1338" s="1"/>
    </row>
    <row r="1339" spans="15:64">
      <c r="O1339" s="1">
        <v>45690</v>
      </c>
      <c r="P1339">
        <v>18.3184</v>
      </c>
      <c r="R1339" s="1">
        <v>45690</v>
      </c>
      <c r="S1339">
        <v>39.283799999999999</v>
      </c>
      <c r="U1339" s="1">
        <v>45690</v>
      </c>
      <c r="V1339">
        <v>28.199300000000001</v>
      </c>
      <c r="BL1339" s="1"/>
    </row>
    <row r="1340" spans="15:64">
      <c r="O1340" s="1">
        <v>45691</v>
      </c>
      <c r="P1340">
        <v>16.735499999999998</v>
      </c>
      <c r="R1340" s="1">
        <v>45691</v>
      </c>
      <c r="S1340">
        <v>37.3367</v>
      </c>
      <c r="U1340" s="1">
        <v>45691</v>
      </c>
      <c r="V1340">
        <v>29.130099999999999</v>
      </c>
      <c r="BL1340" s="1"/>
    </row>
    <row r="1341" spans="15:64">
      <c r="O1341" s="1">
        <v>45692</v>
      </c>
      <c r="P1341">
        <v>18.1205</v>
      </c>
      <c r="R1341" s="1">
        <v>45692</v>
      </c>
      <c r="S1341">
        <v>37.833100000000002</v>
      </c>
      <c r="U1341" s="1">
        <v>45692</v>
      </c>
      <c r="V1341">
        <v>29.764700000000001</v>
      </c>
      <c r="BL1341" s="1"/>
    </row>
    <row r="1342" spans="15:64">
      <c r="O1342" s="1">
        <v>45693</v>
      </c>
      <c r="P1342">
        <v>17.1312</v>
      </c>
      <c r="R1342" s="1">
        <v>45693</v>
      </c>
      <c r="S1342">
        <v>38.347299999999997</v>
      </c>
      <c r="U1342" s="1">
        <v>45693</v>
      </c>
      <c r="V1342">
        <v>32.366799999999998</v>
      </c>
      <c r="BL1342" s="1"/>
    </row>
    <row r="1343" spans="15:64">
      <c r="O1343" s="1">
        <v>45694</v>
      </c>
      <c r="P1343">
        <v>20.692699999999999</v>
      </c>
      <c r="R1343" s="1">
        <v>45694</v>
      </c>
      <c r="S1343">
        <v>40.375700000000002</v>
      </c>
      <c r="U1343" s="1">
        <v>45694</v>
      </c>
      <c r="V1343">
        <v>31.732199999999999</v>
      </c>
      <c r="BL1343" s="1"/>
    </row>
    <row r="1344" spans="15:64">
      <c r="O1344" s="1">
        <v>45695</v>
      </c>
      <c r="P1344">
        <v>23.264800000000001</v>
      </c>
      <c r="R1344" s="1">
        <v>45695</v>
      </c>
      <c r="S1344">
        <v>39.636000000000003</v>
      </c>
      <c r="U1344" s="1">
        <v>45695</v>
      </c>
      <c r="V1344">
        <v>31.732199999999999</v>
      </c>
      <c r="BL1344" s="1"/>
    </row>
    <row r="1345" spans="15:64">
      <c r="O1345" s="1">
        <v>45696</v>
      </c>
      <c r="P1345">
        <v>23.264800000000001</v>
      </c>
      <c r="R1345" s="1">
        <v>45696</v>
      </c>
      <c r="S1345">
        <v>39.636000000000003</v>
      </c>
      <c r="U1345" s="1">
        <v>45696</v>
      </c>
      <c r="V1345">
        <v>31.732199999999999</v>
      </c>
      <c r="BL1345" s="1"/>
    </row>
    <row r="1346" spans="15:64">
      <c r="O1346" s="1">
        <v>45697</v>
      </c>
      <c r="P1346">
        <v>23.264800000000001</v>
      </c>
      <c r="R1346" s="1">
        <v>45697</v>
      </c>
      <c r="S1346">
        <v>39.636000000000003</v>
      </c>
      <c r="U1346" s="1">
        <v>45697</v>
      </c>
      <c r="V1346">
        <v>31.732199999999999</v>
      </c>
      <c r="BL1346" s="1"/>
    </row>
    <row r="1347" spans="15:64">
      <c r="O1347" s="1">
        <v>45698</v>
      </c>
      <c r="P1347">
        <v>24.254100000000001</v>
      </c>
      <c r="R1347" s="1">
        <v>45698</v>
      </c>
      <c r="S1347">
        <v>40.435499999999998</v>
      </c>
      <c r="U1347" s="1">
        <v>45698</v>
      </c>
      <c r="V1347">
        <v>32.874499999999998</v>
      </c>
      <c r="BL1347" s="1"/>
    </row>
    <row r="1348" spans="15:64">
      <c r="O1348" s="1">
        <v>45699</v>
      </c>
      <c r="P1348">
        <v>25.639099999999999</v>
      </c>
      <c r="R1348" s="1">
        <v>45699</v>
      </c>
      <c r="S1348">
        <v>41.243600000000001</v>
      </c>
      <c r="U1348" s="1">
        <v>45699</v>
      </c>
      <c r="V1348">
        <v>32.070599999999999</v>
      </c>
      <c r="BL1348" s="1"/>
    </row>
    <row r="1349" spans="15:64">
      <c r="O1349" s="1">
        <v>45700</v>
      </c>
      <c r="P1349">
        <v>25.8369</v>
      </c>
      <c r="R1349" s="1">
        <v>45700</v>
      </c>
      <c r="S1349">
        <v>41.9499</v>
      </c>
      <c r="U1349" s="1">
        <v>45700</v>
      </c>
      <c r="V1349">
        <v>32.282200000000003</v>
      </c>
      <c r="BL1349" s="1"/>
    </row>
    <row r="1350" spans="15:64">
      <c r="O1350" s="1">
        <v>45701</v>
      </c>
      <c r="P1350">
        <v>32.366199999999999</v>
      </c>
      <c r="R1350" s="1">
        <v>45701</v>
      </c>
      <c r="S1350">
        <v>44.923699999999997</v>
      </c>
      <c r="U1350" s="1">
        <v>45701</v>
      </c>
      <c r="V1350">
        <v>35.0535</v>
      </c>
      <c r="BL1350" s="1"/>
    </row>
    <row r="1351" spans="15:64">
      <c r="O1351" s="1">
        <v>45702</v>
      </c>
      <c r="P1351">
        <v>33.751199999999997</v>
      </c>
      <c r="R1351" s="1">
        <v>45702</v>
      </c>
      <c r="S1351">
        <v>44.291699999999999</v>
      </c>
      <c r="U1351" s="1">
        <v>45702</v>
      </c>
      <c r="V1351">
        <v>37.232500000000002</v>
      </c>
      <c r="BL1351" s="1"/>
    </row>
    <row r="1352" spans="15:64">
      <c r="O1352" s="1">
        <v>45703</v>
      </c>
      <c r="P1352">
        <v>33.751199999999997</v>
      </c>
      <c r="R1352" s="1">
        <v>45703</v>
      </c>
      <c r="S1352">
        <v>44.291699999999999</v>
      </c>
      <c r="U1352" s="1">
        <v>45703</v>
      </c>
      <c r="V1352">
        <v>37.232500000000002</v>
      </c>
      <c r="BL1352" s="1"/>
    </row>
    <row r="1353" spans="15:64">
      <c r="O1353" s="1">
        <v>45704</v>
      </c>
      <c r="P1353">
        <v>33.751199999999997</v>
      </c>
      <c r="R1353" s="1">
        <v>45704</v>
      </c>
      <c r="S1353">
        <v>44.291699999999999</v>
      </c>
      <c r="U1353" s="1">
        <v>45704</v>
      </c>
      <c r="V1353">
        <v>37.232500000000002</v>
      </c>
      <c r="BL1353" s="1"/>
    </row>
    <row r="1354" spans="15:64">
      <c r="O1354" s="1">
        <v>45705</v>
      </c>
      <c r="P1354">
        <v>37.5105</v>
      </c>
      <c r="R1354" s="1">
        <v>45705</v>
      </c>
      <c r="S1354">
        <v>46.116199999999999</v>
      </c>
      <c r="U1354" s="1">
        <v>45705</v>
      </c>
      <c r="V1354">
        <v>37.232500000000002</v>
      </c>
      <c r="BL1354" s="1"/>
    </row>
    <row r="1355" spans="15:64">
      <c r="O1355" s="1">
        <v>45706</v>
      </c>
      <c r="P1355">
        <v>41.467599999999997</v>
      </c>
      <c r="R1355" s="1">
        <v>45706</v>
      </c>
      <c r="S1355">
        <v>46.413699999999999</v>
      </c>
      <c r="U1355" s="1">
        <v>45706</v>
      </c>
      <c r="V1355">
        <v>36.640099999999997</v>
      </c>
      <c r="BL1355" s="1"/>
    </row>
    <row r="1356" spans="15:64">
      <c r="O1356" s="1">
        <v>45707</v>
      </c>
      <c r="P1356">
        <v>36.323399999999999</v>
      </c>
      <c r="R1356" s="1">
        <v>45707</v>
      </c>
      <c r="S1356">
        <v>43.780299999999997</v>
      </c>
      <c r="U1356" s="1">
        <v>45707</v>
      </c>
      <c r="V1356">
        <v>37.168999999999997</v>
      </c>
      <c r="BL1356" s="1"/>
    </row>
    <row r="1357" spans="15:64">
      <c r="O1357" s="1">
        <v>45708</v>
      </c>
      <c r="P1357">
        <v>36.323399999999999</v>
      </c>
      <c r="R1357" s="1">
        <v>45708</v>
      </c>
      <c r="S1357">
        <v>43.017800000000001</v>
      </c>
      <c r="U1357" s="1">
        <v>45708</v>
      </c>
      <c r="V1357">
        <v>36.809399999999997</v>
      </c>
      <c r="BL1357" s="1"/>
    </row>
    <row r="1358" spans="15:64">
      <c r="O1358" s="1">
        <v>45709</v>
      </c>
      <c r="P1358">
        <v>36.5212</v>
      </c>
      <c r="R1358" s="1">
        <v>45709</v>
      </c>
      <c r="S1358">
        <v>42.844200000000001</v>
      </c>
      <c r="U1358" s="1">
        <v>45709</v>
      </c>
      <c r="V1358">
        <v>35.349699999999999</v>
      </c>
      <c r="BL1358" s="1"/>
    </row>
    <row r="1359" spans="15:64">
      <c r="O1359" s="1">
        <v>45710</v>
      </c>
      <c r="P1359">
        <v>36.5212</v>
      </c>
      <c r="R1359" s="1">
        <v>45710</v>
      </c>
      <c r="S1359">
        <v>42.844200000000001</v>
      </c>
      <c r="U1359" s="1">
        <v>45710</v>
      </c>
      <c r="V1359">
        <v>35.349699999999999</v>
      </c>
      <c r="BL1359" s="1"/>
    </row>
    <row r="1360" spans="15:64">
      <c r="O1360" s="1">
        <v>45711</v>
      </c>
      <c r="P1360">
        <v>36.5212</v>
      </c>
      <c r="R1360" s="1">
        <v>45711</v>
      </c>
      <c r="S1360">
        <v>42.844200000000001</v>
      </c>
      <c r="U1360" s="1">
        <v>45711</v>
      </c>
      <c r="V1360">
        <v>35.349699999999999</v>
      </c>
      <c r="BL1360" s="1"/>
    </row>
    <row r="1361" spans="15:64">
      <c r="O1361" s="1">
        <v>45712</v>
      </c>
      <c r="P1361">
        <v>37.114800000000002</v>
      </c>
      <c r="R1361" s="1">
        <v>45712</v>
      </c>
      <c r="S1361">
        <v>43.731000000000002</v>
      </c>
      <c r="U1361" s="1">
        <v>45712</v>
      </c>
      <c r="V1361">
        <v>33.784199999999998</v>
      </c>
      <c r="BL1361" s="1"/>
    </row>
    <row r="1362" spans="15:64">
      <c r="O1362" s="1">
        <v>45713</v>
      </c>
      <c r="P1362">
        <v>42.456899999999997</v>
      </c>
      <c r="R1362" s="1">
        <v>45713</v>
      </c>
      <c r="S1362">
        <v>43.630600000000001</v>
      </c>
      <c r="U1362" s="1">
        <v>45713</v>
      </c>
      <c r="V1362">
        <v>35.963200000000001</v>
      </c>
      <c r="BL1362" s="1"/>
    </row>
    <row r="1363" spans="15:64">
      <c r="O1363" s="1">
        <v>45714</v>
      </c>
      <c r="P1363">
        <v>45.820500000000003</v>
      </c>
      <c r="R1363" s="1">
        <v>45714</v>
      </c>
      <c r="S1363">
        <v>46.090699999999998</v>
      </c>
      <c r="U1363" s="1">
        <v>45714</v>
      </c>
      <c r="V1363">
        <v>35.561199999999999</v>
      </c>
      <c r="BL1363" s="1"/>
    </row>
    <row r="1364" spans="15:64">
      <c r="O1364" s="1">
        <v>45715</v>
      </c>
      <c r="P1364">
        <v>42.654800000000002</v>
      </c>
      <c r="R1364" s="1">
        <v>45715</v>
      </c>
      <c r="S1364">
        <v>44.5319</v>
      </c>
      <c r="U1364" s="1">
        <v>45715</v>
      </c>
      <c r="V1364">
        <v>34.99</v>
      </c>
      <c r="BL1364" s="1"/>
    </row>
    <row r="1365" spans="15:64">
      <c r="O1365" s="1">
        <v>45716</v>
      </c>
      <c r="P1365">
        <v>43.644100000000002</v>
      </c>
      <c r="R1365" s="1">
        <v>45716</v>
      </c>
      <c r="S1365">
        <v>44.535299999999999</v>
      </c>
      <c r="U1365" s="1">
        <v>45716</v>
      </c>
      <c r="V1365">
        <v>35.624699999999997</v>
      </c>
      <c r="BL1365" s="1"/>
    </row>
    <row r="1366" spans="15:64">
      <c r="O1366" s="1">
        <v>45717</v>
      </c>
      <c r="P1366">
        <v>43.644100000000002</v>
      </c>
      <c r="R1366" s="1">
        <v>45717</v>
      </c>
      <c r="S1366">
        <v>44.535299999999999</v>
      </c>
      <c r="U1366" s="1">
        <v>45717</v>
      </c>
      <c r="V1366">
        <v>35.624699999999997</v>
      </c>
      <c r="BL1366" s="1"/>
    </row>
    <row r="1367" spans="15:64">
      <c r="O1367" s="1">
        <v>45718</v>
      </c>
      <c r="P1367">
        <v>43.644100000000002</v>
      </c>
      <c r="R1367" s="1">
        <v>45718</v>
      </c>
      <c r="S1367">
        <v>44.535299999999999</v>
      </c>
      <c r="U1367" s="1">
        <v>45718</v>
      </c>
      <c r="V1367">
        <v>35.624699999999997</v>
      </c>
      <c r="BL1367" s="1"/>
    </row>
    <row r="1368" spans="15:64">
      <c r="O1368" s="1">
        <v>45719</v>
      </c>
      <c r="P1368">
        <v>46.611899999999999</v>
      </c>
      <c r="R1368" s="1">
        <v>45719</v>
      </c>
      <c r="S1368">
        <v>48.352600000000002</v>
      </c>
      <c r="U1368" s="1">
        <v>45719</v>
      </c>
      <c r="V1368">
        <v>34.291899999999998</v>
      </c>
      <c r="BL1368" s="1"/>
    </row>
    <row r="1369" spans="15:64">
      <c r="O1369" s="1">
        <v>45720</v>
      </c>
      <c r="P1369">
        <v>39.093299999999999</v>
      </c>
      <c r="R1369" s="1">
        <v>45720</v>
      </c>
      <c r="S1369">
        <v>43.095700000000001</v>
      </c>
      <c r="U1369" s="1">
        <v>45720</v>
      </c>
      <c r="V1369">
        <v>33.826500000000003</v>
      </c>
      <c r="BL1369" s="1"/>
    </row>
    <row r="1370" spans="15:64">
      <c r="O1370" s="1">
        <v>45721</v>
      </c>
      <c r="P1370">
        <v>46.018300000000004</v>
      </c>
      <c r="R1370" s="1">
        <v>45721</v>
      </c>
      <c r="S1370">
        <v>47.929600000000001</v>
      </c>
      <c r="U1370" s="1">
        <v>45721</v>
      </c>
      <c r="V1370">
        <v>35.307299999999998</v>
      </c>
      <c r="BL1370" s="1"/>
    </row>
    <row r="1371" spans="15:64">
      <c r="O1371" s="1">
        <v>45722</v>
      </c>
      <c r="P1371">
        <v>51.558300000000003</v>
      </c>
      <c r="R1371" s="1">
        <v>45722</v>
      </c>
      <c r="S1371">
        <v>50.098799999999997</v>
      </c>
      <c r="U1371" s="1">
        <v>45722</v>
      </c>
      <c r="V1371">
        <v>34.143799999999999</v>
      </c>
      <c r="BL1371" s="1"/>
    </row>
    <row r="1372" spans="15:64">
      <c r="O1372" s="1">
        <v>45723</v>
      </c>
      <c r="P1372">
        <v>51.162599999999998</v>
      </c>
      <c r="R1372" s="1">
        <v>45723</v>
      </c>
      <c r="S1372">
        <v>47.467599999999997</v>
      </c>
      <c r="U1372" s="1">
        <v>45723</v>
      </c>
      <c r="V1372">
        <v>35.265000000000001</v>
      </c>
      <c r="BL1372" s="1"/>
    </row>
    <row r="1373" spans="15:64">
      <c r="O1373" s="1">
        <v>45724</v>
      </c>
      <c r="P1373">
        <v>51.162599999999998</v>
      </c>
      <c r="R1373" s="1">
        <v>45724</v>
      </c>
      <c r="S1373">
        <v>47.467599999999997</v>
      </c>
      <c r="U1373" s="1">
        <v>45724</v>
      </c>
      <c r="V1373">
        <v>35.265000000000001</v>
      </c>
      <c r="BL1373" s="1"/>
    </row>
    <row r="1374" spans="15:64">
      <c r="O1374" s="1">
        <v>45725</v>
      </c>
      <c r="P1374">
        <v>51.162599999999998</v>
      </c>
      <c r="R1374" s="1">
        <v>45725</v>
      </c>
      <c r="S1374">
        <v>47.467599999999997</v>
      </c>
      <c r="U1374" s="1">
        <v>45725</v>
      </c>
      <c r="V1374">
        <v>35.265000000000001</v>
      </c>
      <c r="BL1374" s="1"/>
    </row>
    <row r="1375" spans="15:64">
      <c r="O1375" s="1">
        <v>45726</v>
      </c>
      <c r="P1375">
        <v>46.809800000000003</v>
      </c>
      <c r="R1375" s="1">
        <v>45726</v>
      </c>
      <c r="S1375">
        <v>44.980899999999998</v>
      </c>
      <c r="U1375" s="1">
        <v>45726</v>
      </c>
      <c r="V1375">
        <v>31.2879</v>
      </c>
      <c r="BL1375" s="1"/>
    </row>
    <row r="1376" spans="15:64">
      <c r="O1376" s="1">
        <v>45727</v>
      </c>
      <c r="P1376">
        <v>34.938400000000001</v>
      </c>
      <c r="R1376" s="1">
        <v>45727</v>
      </c>
      <c r="S1376">
        <v>43.1083</v>
      </c>
      <c r="U1376" s="1">
        <v>45727</v>
      </c>
      <c r="V1376">
        <v>28.3474</v>
      </c>
      <c r="BL1376" s="1"/>
    </row>
    <row r="1377" spans="15:64">
      <c r="O1377" s="1">
        <v>45728</v>
      </c>
      <c r="P1377">
        <v>36.125500000000002</v>
      </c>
      <c r="R1377" s="1">
        <v>45728</v>
      </c>
      <c r="S1377">
        <v>45.336399999999998</v>
      </c>
      <c r="U1377" s="1">
        <v>45728</v>
      </c>
      <c r="V1377">
        <v>27.903099999999998</v>
      </c>
      <c r="BL1377" s="1"/>
    </row>
    <row r="1378" spans="15:64">
      <c r="O1378" s="1">
        <v>45729</v>
      </c>
      <c r="P1378">
        <v>32.564100000000003</v>
      </c>
      <c r="R1378" s="1">
        <v>45729</v>
      </c>
      <c r="S1378">
        <v>44.636000000000003</v>
      </c>
      <c r="U1378" s="1">
        <v>45729</v>
      </c>
      <c r="V1378">
        <v>26.2319</v>
      </c>
      <c r="BL1378" s="1"/>
    </row>
    <row r="1379" spans="15:64">
      <c r="O1379" s="1">
        <v>45730</v>
      </c>
      <c r="P1379">
        <v>37.5105</v>
      </c>
      <c r="R1379" s="1">
        <v>45730</v>
      </c>
      <c r="S1379">
        <v>47.325800000000001</v>
      </c>
      <c r="U1379" s="1">
        <v>45730</v>
      </c>
      <c r="V1379">
        <v>27.9877</v>
      </c>
      <c r="BL1379" s="1"/>
    </row>
    <row r="1380" spans="15:64">
      <c r="O1380" s="1">
        <v>45731</v>
      </c>
      <c r="P1380">
        <v>37.5105</v>
      </c>
      <c r="R1380" s="1">
        <v>45731</v>
      </c>
      <c r="S1380">
        <v>47.325800000000001</v>
      </c>
      <c r="U1380" s="1">
        <v>45731</v>
      </c>
      <c r="V1380">
        <v>27.9877</v>
      </c>
      <c r="BL1380" s="1"/>
    </row>
    <row r="1381" spans="15:64">
      <c r="O1381" s="1">
        <v>45732</v>
      </c>
      <c r="P1381">
        <v>37.5105</v>
      </c>
      <c r="R1381" s="1">
        <v>45732</v>
      </c>
      <c r="S1381">
        <v>47.325800000000001</v>
      </c>
      <c r="U1381" s="1">
        <v>45732</v>
      </c>
      <c r="V1381">
        <v>27.9877</v>
      </c>
      <c r="BL1381" s="1"/>
    </row>
    <row r="1382" spans="15:64">
      <c r="O1382" s="1">
        <v>45733</v>
      </c>
      <c r="P1382">
        <v>37.5105</v>
      </c>
      <c r="R1382" s="1">
        <v>45733</v>
      </c>
      <c r="S1382">
        <v>48.401000000000003</v>
      </c>
      <c r="U1382" s="1">
        <v>45733</v>
      </c>
      <c r="V1382">
        <v>28.812799999999999</v>
      </c>
      <c r="BL1382" s="1"/>
    </row>
    <row r="1383" spans="15:64">
      <c r="O1383" s="1">
        <v>45734</v>
      </c>
      <c r="P1383">
        <v>40.874099999999999</v>
      </c>
      <c r="R1383" s="1">
        <v>45734</v>
      </c>
      <c r="S1383">
        <v>49.850299999999997</v>
      </c>
      <c r="U1383" s="1">
        <v>45734</v>
      </c>
      <c r="V1383">
        <v>27.564599999999999</v>
      </c>
      <c r="BL1383" s="1"/>
    </row>
    <row r="1384" spans="15:64">
      <c r="O1384" s="1">
        <v>45735</v>
      </c>
      <c r="P1384">
        <v>32.168399999999998</v>
      </c>
      <c r="R1384" s="1">
        <v>45735</v>
      </c>
      <c r="S1384">
        <v>49.256500000000003</v>
      </c>
      <c r="U1384" s="1">
        <v>45735</v>
      </c>
      <c r="V1384">
        <v>29.299299999999999</v>
      </c>
      <c r="BL1384" s="1"/>
    </row>
    <row r="1385" spans="15:64">
      <c r="O1385" s="1">
        <v>45736</v>
      </c>
      <c r="P1385">
        <v>29.200500000000002</v>
      </c>
      <c r="R1385" s="1">
        <v>45736</v>
      </c>
      <c r="S1385">
        <v>47.404800000000002</v>
      </c>
      <c r="U1385" s="1">
        <v>45736</v>
      </c>
      <c r="V1385">
        <v>28.241599999999998</v>
      </c>
      <c r="BL1385" s="1"/>
    </row>
    <row r="1386" spans="15:64">
      <c r="O1386" s="1">
        <v>45737</v>
      </c>
      <c r="P1386">
        <v>27.024100000000001</v>
      </c>
      <c r="R1386" s="1">
        <v>45737</v>
      </c>
      <c r="S1386">
        <v>46.716099999999997</v>
      </c>
      <c r="U1386" s="1">
        <v>45737</v>
      </c>
      <c r="V1386">
        <v>27.564599999999999</v>
      </c>
      <c r="BL1386" s="1"/>
    </row>
    <row r="1387" spans="15:64">
      <c r="O1387" s="1">
        <v>45738</v>
      </c>
      <c r="P1387">
        <v>27.024100000000001</v>
      </c>
      <c r="R1387" s="1">
        <v>45738</v>
      </c>
      <c r="S1387">
        <v>46.716099999999997</v>
      </c>
      <c r="U1387" s="1">
        <v>45738</v>
      </c>
      <c r="V1387">
        <v>27.564599999999999</v>
      </c>
      <c r="BL1387" s="1"/>
    </row>
    <row r="1388" spans="15:64">
      <c r="O1388" s="1">
        <v>45739</v>
      </c>
      <c r="P1388">
        <v>27.024100000000001</v>
      </c>
      <c r="R1388" s="1">
        <v>45739</v>
      </c>
      <c r="S1388">
        <v>46.716099999999997</v>
      </c>
      <c r="U1388" s="1">
        <v>45739</v>
      </c>
      <c r="V1388">
        <v>27.564599999999999</v>
      </c>
      <c r="BL1388" s="1"/>
    </row>
    <row r="1389" spans="15:64">
      <c r="O1389" s="1">
        <v>45740</v>
      </c>
      <c r="P1389">
        <v>28.8048</v>
      </c>
      <c r="R1389" s="1">
        <v>45740</v>
      </c>
      <c r="S1389">
        <v>46.466000000000001</v>
      </c>
      <c r="U1389" s="1">
        <v>45740</v>
      </c>
      <c r="V1389">
        <v>28.981999999999999</v>
      </c>
      <c r="BL1389" s="1"/>
    </row>
    <row r="1390" spans="15:64">
      <c r="O1390" s="1">
        <v>45741</v>
      </c>
      <c r="P1390">
        <v>31.179099999999998</v>
      </c>
      <c r="R1390" s="1">
        <v>45741</v>
      </c>
      <c r="S1390">
        <v>48.113900000000001</v>
      </c>
      <c r="U1390" s="1">
        <v>45741</v>
      </c>
      <c r="V1390">
        <v>29.0243</v>
      </c>
      <c r="BL1390" s="1"/>
    </row>
    <row r="1391" spans="15:64">
      <c r="O1391" s="1">
        <v>45742</v>
      </c>
      <c r="P1391">
        <v>29.398399999999999</v>
      </c>
      <c r="R1391" s="1">
        <v>45742</v>
      </c>
      <c r="S1391">
        <v>46.378599999999999</v>
      </c>
      <c r="U1391" s="1">
        <v>45742</v>
      </c>
      <c r="V1391">
        <v>30.7379</v>
      </c>
      <c r="BL1391" s="1"/>
    </row>
    <row r="1392" spans="15:64">
      <c r="O1392" s="1">
        <v>45743</v>
      </c>
      <c r="P1392">
        <v>29.7941</v>
      </c>
      <c r="R1392" s="1">
        <v>45743</v>
      </c>
      <c r="S1392">
        <v>45.351300000000002</v>
      </c>
      <c r="U1392" s="1">
        <v>45743</v>
      </c>
      <c r="V1392">
        <v>29.8917</v>
      </c>
      <c r="BL1392" s="1"/>
    </row>
    <row r="1393" spans="15:64">
      <c r="O1393" s="1">
        <v>45744</v>
      </c>
      <c r="P1393">
        <v>26.8262</v>
      </c>
      <c r="R1393" s="1">
        <v>45744</v>
      </c>
      <c r="S1393">
        <v>43.959099999999999</v>
      </c>
      <c r="U1393" s="1">
        <v>45744</v>
      </c>
      <c r="V1393">
        <v>28.749300000000002</v>
      </c>
      <c r="BL1393" s="1"/>
    </row>
    <row r="1394" spans="15:64">
      <c r="O1394" s="1">
        <v>45745</v>
      </c>
      <c r="P1394">
        <v>26.8262</v>
      </c>
      <c r="R1394" s="1">
        <v>45745</v>
      </c>
      <c r="S1394">
        <v>43.959099999999999</v>
      </c>
      <c r="U1394" s="1">
        <v>45745</v>
      </c>
      <c r="V1394">
        <v>28.749300000000002</v>
      </c>
      <c r="BL1394" s="1"/>
    </row>
    <row r="1395" spans="15:64">
      <c r="O1395" s="1">
        <v>45746</v>
      </c>
      <c r="P1395">
        <v>26.8262</v>
      </c>
      <c r="R1395" s="1">
        <v>45746</v>
      </c>
      <c r="S1395">
        <v>43.959099999999999</v>
      </c>
      <c r="U1395" s="1">
        <v>45746</v>
      </c>
      <c r="V1395">
        <v>28.749300000000002</v>
      </c>
      <c r="BL1395" s="1"/>
    </row>
    <row r="1396" spans="15:64">
      <c r="O1396" s="1">
        <v>45747</v>
      </c>
      <c r="P1396">
        <v>23.0669</v>
      </c>
      <c r="R1396" s="1">
        <v>45747</v>
      </c>
      <c r="S1396">
        <v>42.048999999999999</v>
      </c>
      <c r="U1396" s="1">
        <v>45747</v>
      </c>
      <c r="V1396">
        <v>30.547499999999999</v>
      </c>
      <c r="BL1396" s="1"/>
    </row>
    <row r="1397" spans="15:64">
      <c r="O1397" s="1">
        <v>45748</v>
      </c>
      <c r="P1397">
        <v>25.8369</v>
      </c>
      <c r="R1397" s="1">
        <v>45748</v>
      </c>
      <c r="S1397">
        <v>44.462000000000003</v>
      </c>
      <c r="U1397" s="1">
        <v>45748</v>
      </c>
      <c r="V1397">
        <v>30.7379</v>
      </c>
      <c r="BL1397" s="1"/>
    </row>
    <row r="1398" spans="15:64">
      <c r="O1398" s="1">
        <v>45749</v>
      </c>
      <c r="P1398">
        <v>25.243400000000001</v>
      </c>
      <c r="R1398" s="1">
        <v>45749</v>
      </c>
      <c r="S1398">
        <v>43.506100000000004</v>
      </c>
      <c r="U1398" s="1">
        <v>45749</v>
      </c>
      <c r="V1398">
        <v>30.780200000000001</v>
      </c>
      <c r="BL1398" s="1"/>
    </row>
    <row r="1399" spans="15:64">
      <c r="O1399" s="1">
        <v>45750</v>
      </c>
      <c r="P1399">
        <v>19.307700000000001</v>
      </c>
      <c r="R1399" s="1">
        <v>45750</v>
      </c>
      <c r="S1399">
        <v>39.189900000000002</v>
      </c>
      <c r="U1399" s="1">
        <v>45750</v>
      </c>
      <c r="V1399">
        <v>22.1066</v>
      </c>
      <c r="BL1399" s="1"/>
    </row>
    <row r="1400" spans="15:64">
      <c r="O1400" s="1">
        <v>45751</v>
      </c>
      <c r="P1400">
        <v>12.3827</v>
      </c>
      <c r="R1400" s="1">
        <v>45751</v>
      </c>
      <c r="S1400">
        <v>32.295699999999997</v>
      </c>
      <c r="U1400" s="1">
        <v>45751</v>
      </c>
      <c r="V1400">
        <v>16.204799999999999</v>
      </c>
      <c r="BL1400" s="1"/>
    </row>
    <row r="1401" spans="15:64">
      <c r="O1401" s="1">
        <v>45752</v>
      </c>
      <c r="P1401">
        <v>12.3827</v>
      </c>
      <c r="R1401" s="1">
        <v>45752</v>
      </c>
      <c r="S1401">
        <v>32.295699999999997</v>
      </c>
      <c r="U1401" s="1">
        <v>45752</v>
      </c>
      <c r="V1401">
        <v>16.204799999999999</v>
      </c>
      <c r="BL1401" s="1"/>
    </row>
    <row r="1402" spans="15:64">
      <c r="O1402" s="1">
        <v>45753</v>
      </c>
      <c r="P1402">
        <v>12.3827</v>
      </c>
      <c r="R1402" s="1">
        <v>45753</v>
      </c>
      <c r="S1402">
        <v>32.295699999999997</v>
      </c>
      <c r="U1402" s="1">
        <v>45753</v>
      </c>
      <c r="V1402">
        <v>16.204799999999999</v>
      </c>
      <c r="BL1402" s="1"/>
    </row>
    <row r="1403" spans="15:64">
      <c r="O1403" s="1">
        <v>45754</v>
      </c>
      <c r="P1403">
        <v>7.7133000000000003</v>
      </c>
      <c r="R1403" s="1">
        <v>45754</v>
      </c>
      <c r="S1403">
        <v>26.834499999999998</v>
      </c>
      <c r="U1403" s="1">
        <v>45754</v>
      </c>
      <c r="V1403">
        <v>15.9278</v>
      </c>
      <c r="BL1403" s="1"/>
    </row>
    <row r="1404" spans="15:64">
      <c r="O1404" s="1">
        <v>45755</v>
      </c>
      <c r="P1404">
        <v>8.5046999999999997</v>
      </c>
      <c r="R1404" s="1">
        <v>45755</v>
      </c>
      <c r="S1404">
        <v>29.979099999999999</v>
      </c>
      <c r="U1404" s="1">
        <v>45755</v>
      </c>
      <c r="V1404">
        <v>13.3284</v>
      </c>
      <c r="BL1404" s="1"/>
    </row>
    <row r="1405" spans="15:64">
      <c r="O1405" s="1">
        <v>45756</v>
      </c>
      <c r="P1405">
        <v>3.6400000000000002E-2</v>
      </c>
      <c r="R1405" s="1">
        <v>45756</v>
      </c>
      <c r="S1405">
        <v>26.073499999999999</v>
      </c>
      <c r="U1405" s="1">
        <v>45756</v>
      </c>
      <c r="V1405">
        <v>23.8538</v>
      </c>
      <c r="BL1405" s="1"/>
    </row>
    <row r="1406" spans="15:64">
      <c r="O1406" s="1">
        <v>45757</v>
      </c>
      <c r="P1406">
        <v>2.0941000000000001</v>
      </c>
      <c r="R1406" s="1">
        <v>45757</v>
      </c>
      <c r="S1406">
        <v>31.7895</v>
      </c>
      <c r="U1406" s="1">
        <v>45757</v>
      </c>
      <c r="V1406">
        <v>20.572600000000001</v>
      </c>
      <c r="BL1406" s="1"/>
    </row>
    <row r="1407" spans="15:64">
      <c r="O1407" s="1">
        <v>45758</v>
      </c>
      <c r="P1407">
        <v>2.4897999999999998</v>
      </c>
      <c r="R1407" s="1">
        <v>45758</v>
      </c>
      <c r="S1407">
        <v>30.580500000000001</v>
      </c>
      <c r="U1407" s="1">
        <v>45758</v>
      </c>
      <c r="V1407">
        <v>22.1492</v>
      </c>
      <c r="BL1407" s="1"/>
    </row>
    <row r="1408" spans="15:64">
      <c r="O1408" s="1">
        <v>45759</v>
      </c>
      <c r="P1408">
        <v>2.4897999999999998</v>
      </c>
      <c r="R1408" s="1">
        <v>45759</v>
      </c>
      <c r="S1408">
        <v>30.580500000000001</v>
      </c>
      <c r="U1408" s="1">
        <v>45759</v>
      </c>
      <c r="V1408">
        <v>22.1492</v>
      </c>
      <c r="BL1408" s="1"/>
    </row>
    <row r="1409" spans="15:64">
      <c r="O1409" s="1">
        <v>45760</v>
      </c>
      <c r="P1409">
        <v>2.4897999999999998</v>
      </c>
      <c r="R1409" s="1">
        <v>45760</v>
      </c>
      <c r="S1409">
        <v>30.580500000000001</v>
      </c>
      <c r="U1409" s="1">
        <v>45760</v>
      </c>
      <c r="V1409">
        <v>22.1492</v>
      </c>
      <c r="BL1409" s="1"/>
    </row>
    <row r="1410" spans="15:64">
      <c r="O1410" s="1">
        <v>45761</v>
      </c>
      <c r="P1410">
        <v>6.2095000000000002</v>
      </c>
      <c r="R1410" s="1">
        <v>45761</v>
      </c>
      <c r="S1410">
        <v>34.302500000000002</v>
      </c>
      <c r="U1410" s="1">
        <v>45761</v>
      </c>
      <c r="V1410">
        <v>22.319700000000001</v>
      </c>
      <c r="BL1410" s="1"/>
    </row>
    <row r="1411" spans="15:64">
      <c r="O1411" s="1">
        <v>45762</v>
      </c>
      <c r="P1411">
        <v>8.0297999999999998</v>
      </c>
      <c r="R1411" s="1">
        <v>45762</v>
      </c>
      <c r="S1411">
        <v>36.218000000000004</v>
      </c>
      <c r="U1411" s="1">
        <v>45762</v>
      </c>
      <c r="V1411">
        <v>21.872299999999999</v>
      </c>
      <c r="BL1411" s="1"/>
    </row>
    <row r="1412" spans="15:64">
      <c r="O1412" s="1">
        <v>45763</v>
      </c>
      <c r="P1412">
        <v>5.4180999999999999</v>
      </c>
      <c r="R1412" s="1">
        <v>45763</v>
      </c>
      <c r="S1412">
        <v>36.5854</v>
      </c>
      <c r="U1412" s="1">
        <v>45763</v>
      </c>
      <c r="V1412">
        <v>18.804099999999998</v>
      </c>
      <c r="BL1412" s="1"/>
    </row>
    <row r="1413" spans="15:64">
      <c r="O1413" s="1">
        <v>45764</v>
      </c>
      <c r="P1413">
        <v>3.9144000000000001</v>
      </c>
      <c r="R1413" s="1">
        <v>45764</v>
      </c>
      <c r="S1413">
        <v>35.9114</v>
      </c>
      <c r="U1413" s="1">
        <v>45764</v>
      </c>
      <c r="V1413">
        <v>18.804099999999998</v>
      </c>
      <c r="BL1413" s="1"/>
    </row>
    <row r="1414" spans="15:64">
      <c r="O1414" s="1">
        <v>45765</v>
      </c>
      <c r="P1414">
        <v>3.9144000000000001</v>
      </c>
      <c r="R1414" s="1">
        <v>45765</v>
      </c>
      <c r="S1414">
        <v>35.9114</v>
      </c>
      <c r="U1414" s="1">
        <v>45765</v>
      </c>
      <c r="V1414">
        <v>18.804099999999998</v>
      </c>
      <c r="BL1414" s="1"/>
    </row>
    <row r="1415" spans="15:64">
      <c r="O1415" s="1">
        <v>45766</v>
      </c>
      <c r="P1415">
        <v>3.9144000000000001</v>
      </c>
      <c r="R1415" s="1">
        <v>45766</v>
      </c>
      <c r="S1415">
        <v>35.9114</v>
      </c>
      <c r="U1415" s="1">
        <v>45766</v>
      </c>
      <c r="V1415">
        <v>18.804099999999998</v>
      </c>
      <c r="BL1415" s="1"/>
    </row>
    <row r="1416" spans="15:64">
      <c r="O1416" s="1">
        <v>45767</v>
      </c>
      <c r="P1416">
        <v>3.9144000000000001</v>
      </c>
      <c r="R1416" s="1">
        <v>45767</v>
      </c>
      <c r="S1416">
        <v>35.9114</v>
      </c>
      <c r="U1416" s="1">
        <v>45767</v>
      </c>
      <c r="V1416">
        <v>18.804099999999998</v>
      </c>
      <c r="BL1416" s="1"/>
    </row>
    <row r="1417" spans="15:64">
      <c r="O1417" s="1">
        <v>45768</v>
      </c>
      <c r="P1417">
        <v>3.9144000000000001</v>
      </c>
      <c r="R1417" s="1">
        <v>45768</v>
      </c>
      <c r="S1417">
        <v>35.9114</v>
      </c>
      <c r="U1417" s="1">
        <v>45768</v>
      </c>
      <c r="V1417">
        <v>15.842599999999999</v>
      </c>
      <c r="BL1417" s="1"/>
    </row>
    <row r="1418" spans="15:64">
      <c r="O1418" s="1">
        <v>45769</v>
      </c>
      <c r="P1418">
        <v>4.9432999999999998</v>
      </c>
      <c r="R1418" s="1">
        <v>45769</v>
      </c>
      <c r="S1418">
        <v>36.473300000000002</v>
      </c>
      <c r="U1418" s="1">
        <v>45769</v>
      </c>
      <c r="V1418">
        <v>17.270099999999999</v>
      </c>
      <c r="BL1418" s="1"/>
    </row>
    <row r="1419" spans="15:64">
      <c r="O1419" s="1">
        <v>45770</v>
      </c>
      <c r="P1419">
        <v>8.3463999999999992</v>
      </c>
      <c r="R1419" s="1">
        <v>45770</v>
      </c>
      <c r="S1419">
        <v>40.757399999999997</v>
      </c>
      <c r="U1419" s="1">
        <v>45770</v>
      </c>
      <c r="V1419">
        <v>18.527200000000001</v>
      </c>
      <c r="BL1419" s="1"/>
    </row>
    <row r="1420" spans="15:64">
      <c r="O1420" s="1">
        <v>45771</v>
      </c>
      <c r="P1420">
        <v>9.9292999999999996</v>
      </c>
      <c r="R1420" s="1">
        <v>45771</v>
      </c>
      <c r="S1420">
        <v>41.4146</v>
      </c>
      <c r="U1420" s="1">
        <v>45771</v>
      </c>
      <c r="V1420">
        <v>19.933399999999999</v>
      </c>
      <c r="BL1420" s="1"/>
    </row>
    <row r="1421" spans="15:64">
      <c r="O1421" s="1">
        <v>45772</v>
      </c>
      <c r="P1421">
        <v>10.641500000000001</v>
      </c>
      <c r="R1421" s="1">
        <v>45772</v>
      </c>
      <c r="S1421">
        <v>42.555</v>
      </c>
      <c r="U1421" s="1">
        <v>45772</v>
      </c>
      <c r="V1421">
        <v>20.828299999999999</v>
      </c>
      <c r="BL1421" s="1"/>
    </row>
    <row r="1422" spans="15:64">
      <c r="O1422" s="1">
        <v>45773</v>
      </c>
      <c r="P1422">
        <v>10.641500000000001</v>
      </c>
      <c r="R1422" s="1">
        <v>45773</v>
      </c>
      <c r="S1422">
        <v>42.555</v>
      </c>
      <c r="U1422" s="1">
        <v>45773</v>
      </c>
      <c r="V1422">
        <v>20.828299999999999</v>
      </c>
      <c r="BL1422" s="1"/>
    </row>
    <row r="1423" spans="15:64">
      <c r="O1423" s="1">
        <v>45774</v>
      </c>
      <c r="P1423">
        <v>10.641500000000001</v>
      </c>
      <c r="R1423" s="1">
        <v>45774</v>
      </c>
      <c r="S1423">
        <v>42.555</v>
      </c>
      <c r="U1423" s="1">
        <v>45774</v>
      </c>
      <c r="V1423">
        <v>20.828299999999999</v>
      </c>
      <c r="BL1423" s="1"/>
    </row>
    <row r="1424" spans="15:64">
      <c r="O1424" s="1">
        <v>45775</v>
      </c>
      <c r="P1424">
        <v>18.793199999999999</v>
      </c>
      <c r="R1424" s="1">
        <v>45775</v>
      </c>
      <c r="S1424">
        <v>42.7423</v>
      </c>
      <c r="U1424" s="1">
        <v>45775</v>
      </c>
      <c r="V1424">
        <v>21.1052</v>
      </c>
      <c r="BL1424" s="1"/>
    </row>
    <row r="1425" spans="15:64">
      <c r="O1425" s="1">
        <v>45776</v>
      </c>
      <c r="P1425">
        <v>14.519500000000001</v>
      </c>
      <c r="R1425" s="1">
        <v>45776</v>
      </c>
      <c r="S1425">
        <v>43.730400000000003</v>
      </c>
      <c r="U1425" s="1">
        <v>45776</v>
      </c>
      <c r="V1425">
        <v>22.1706</v>
      </c>
      <c r="BL1425" s="1"/>
    </row>
    <row r="1426" spans="15:64">
      <c r="O1426" s="1">
        <v>45777</v>
      </c>
      <c r="P1426">
        <v>14.3612</v>
      </c>
      <c r="R1426" s="1">
        <v>45777</v>
      </c>
      <c r="S1426">
        <v>44.186399999999999</v>
      </c>
      <c r="U1426" s="1">
        <v>45777</v>
      </c>
      <c r="V1426">
        <v>23.0015</v>
      </c>
      <c r="BL1426" s="1"/>
    </row>
    <row r="1427" spans="15:64">
      <c r="O1427" s="1">
        <v>45778</v>
      </c>
      <c r="P1427">
        <v>14.3612</v>
      </c>
      <c r="R1427" s="1">
        <v>45778</v>
      </c>
      <c r="S1427">
        <v>44.186399999999999</v>
      </c>
      <c r="U1427" s="1">
        <v>45778</v>
      </c>
      <c r="V1427">
        <v>23.8324</v>
      </c>
      <c r="BL1427" s="1"/>
    </row>
    <row r="1428" spans="15:64">
      <c r="O1428" s="1">
        <v>45779</v>
      </c>
      <c r="P1428">
        <v>15.865</v>
      </c>
      <c r="R1428" s="1">
        <v>45779</v>
      </c>
      <c r="S1428">
        <v>47.965600000000002</v>
      </c>
      <c r="U1428" s="1">
        <v>45779</v>
      </c>
      <c r="V1428">
        <v>26.410499999999999</v>
      </c>
      <c r="BL1428" s="1"/>
    </row>
    <row r="1429" spans="15:64">
      <c r="O1429" s="1">
        <v>45780</v>
      </c>
      <c r="P1429">
        <v>15.865</v>
      </c>
      <c r="R1429" s="1">
        <v>45780</v>
      </c>
      <c r="S1429">
        <v>47.965600000000002</v>
      </c>
      <c r="U1429" s="1">
        <v>45780</v>
      </c>
      <c r="V1429">
        <v>26.410499999999999</v>
      </c>
      <c r="BL1429" s="1"/>
    </row>
    <row r="1430" spans="15:64">
      <c r="O1430" s="1">
        <v>45781</v>
      </c>
      <c r="P1430">
        <v>15.865</v>
      </c>
      <c r="R1430" s="1">
        <v>45781</v>
      </c>
      <c r="S1430">
        <v>47.965600000000002</v>
      </c>
      <c r="U1430" s="1">
        <v>45781</v>
      </c>
      <c r="V1430">
        <v>26.410499999999999</v>
      </c>
      <c r="BL1430" s="1"/>
    </row>
    <row r="1431" spans="15:64">
      <c r="O1431" s="1">
        <v>45782</v>
      </c>
      <c r="P1431">
        <v>16.023199999999999</v>
      </c>
      <c r="R1431" s="1">
        <v>45782</v>
      </c>
      <c r="S1431">
        <v>49.618499999999997</v>
      </c>
      <c r="U1431" s="1">
        <v>45782</v>
      </c>
      <c r="V1431">
        <v>26.389199999999999</v>
      </c>
      <c r="BL1431" s="1"/>
    </row>
    <row r="1432" spans="15:64">
      <c r="O1432" s="1">
        <v>45783</v>
      </c>
      <c r="P1432">
        <v>13.174099999999999</v>
      </c>
      <c r="R1432" s="1">
        <v>45783</v>
      </c>
      <c r="S1432">
        <v>49.010300000000001</v>
      </c>
      <c r="U1432" s="1">
        <v>45783</v>
      </c>
      <c r="V1432">
        <v>26.176100000000002</v>
      </c>
      <c r="BL1432" s="1"/>
    </row>
    <row r="1433" spans="15:64">
      <c r="O1433" s="1">
        <v>45784</v>
      </c>
      <c r="P1433">
        <v>12.224399999999999</v>
      </c>
      <c r="R1433" s="1">
        <v>45784</v>
      </c>
      <c r="S1433">
        <v>48.153500000000001</v>
      </c>
      <c r="U1433" s="1">
        <v>45784</v>
      </c>
      <c r="V1433">
        <v>26.921900000000001</v>
      </c>
      <c r="BL1433" s="1"/>
    </row>
    <row r="1434" spans="15:64">
      <c r="O1434" s="1">
        <v>45785</v>
      </c>
      <c r="P1434">
        <v>15.7858</v>
      </c>
      <c r="R1434" s="1">
        <v>45785</v>
      </c>
      <c r="S1434">
        <v>49.670699999999997</v>
      </c>
      <c r="U1434" s="1">
        <v>45785</v>
      </c>
      <c r="V1434">
        <v>27.220199999999998</v>
      </c>
      <c r="BL1434" s="1"/>
    </row>
    <row r="1435" spans="15:64">
      <c r="O1435" s="1">
        <v>45786</v>
      </c>
      <c r="P1435">
        <v>18.2392</v>
      </c>
      <c r="R1435" s="1">
        <v>45786</v>
      </c>
      <c r="S1435">
        <v>50.610500000000002</v>
      </c>
      <c r="U1435" s="1">
        <v>45786</v>
      </c>
      <c r="V1435">
        <v>27.347999999999999</v>
      </c>
      <c r="BL1435" s="1"/>
    </row>
    <row r="1436" spans="15:64">
      <c r="O1436" s="1">
        <v>45787</v>
      </c>
      <c r="P1436">
        <v>18.2392</v>
      </c>
      <c r="R1436" s="1">
        <v>45787</v>
      </c>
      <c r="S1436">
        <v>50.610500000000002</v>
      </c>
      <c r="U1436" s="1">
        <v>45787</v>
      </c>
      <c r="V1436">
        <v>27.347999999999999</v>
      </c>
      <c r="BL1436" s="1"/>
    </row>
    <row r="1437" spans="15:64">
      <c r="O1437" s="1">
        <v>45788</v>
      </c>
      <c r="P1437">
        <v>18.2392</v>
      </c>
      <c r="R1437" s="1">
        <v>45788</v>
      </c>
      <c r="S1437">
        <v>50.610500000000002</v>
      </c>
      <c r="U1437" s="1">
        <v>45788</v>
      </c>
      <c r="V1437">
        <v>27.347999999999999</v>
      </c>
      <c r="BL1437" s="1"/>
    </row>
    <row r="1438" spans="15:64">
      <c r="O1438" s="1">
        <v>45789</v>
      </c>
      <c r="P1438">
        <v>23.8584</v>
      </c>
      <c r="R1438" s="1">
        <v>45789</v>
      </c>
      <c r="S1438">
        <v>51.0413</v>
      </c>
      <c r="U1438" s="1">
        <v>45789</v>
      </c>
      <c r="V1438">
        <v>31.3962</v>
      </c>
      <c r="BL1438" s="1"/>
    </row>
    <row r="1439" spans="15:64">
      <c r="O1439" s="1">
        <v>45790</v>
      </c>
      <c r="P1439">
        <v>26.549199999999999</v>
      </c>
      <c r="R1439" s="1">
        <v>45790</v>
      </c>
      <c r="S1439">
        <v>51.502899999999997</v>
      </c>
      <c r="U1439" s="1">
        <v>45790</v>
      </c>
      <c r="V1439">
        <v>31.630600000000001</v>
      </c>
      <c r="BL1439" s="1"/>
    </row>
    <row r="1440" spans="15:64">
      <c r="O1440" s="1">
        <v>45791</v>
      </c>
      <c r="P1440">
        <v>26.390899999999998</v>
      </c>
      <c r="R1440" s="1">
        <v>45791</v>
      </c>
      <c r="S1440">
        <v>50.787999999999997</v>
      </c>
      <c r="U1440" s="1">
        <v>45791</v>
      </c>
      <c r="V1440">
        <v>30.586600000000001</v>
      </c>
      <c r="BL1440" s="1"/>
    </row>
    <row r="1441" spans="15:64">
      <c r="O1441" s="1">
        <v>45792</v>
      </c>
      <c r="P1441">
        <v>26.7867</v>
      </c>
      <c r="R1441" s="1">
        <v>45792</v>
      </c>
      <c r="S1441">
        <v>51.868400000000001</v>
      </c>
      <c r="U1441" s="1">
        <v>45792</v>
      </c>
      <c r="V1441">
        <v>36.914499999999997</v>
      </c>
      <c r="BL1441" s="1"/>
    </row>
    <row r="1442" spans="15:64">
      <c r="O1442" s="1">
        <v>45793</v>
      </c>
      <c r="P1442">
        <v>25.700199999999999</v>
      </c>
      <c r="R1442" s="1">
        <v>45793</v>
      </c>
      <c r="S1442">
        <v>52.328899999999997</v>
      </c>
      <c r="U1442" s="1">
        <v>45793</v>
      </c>
      <c r="V1442">
        <v>35.550899999999999</v>
      </c>
      <c r="BL1442" s="1"/>
    </row>
    <row r="1443" spans="15:64">
      <c r="O1443" s="1">
        <v>45794</v>
      </c>
      <c r="P1443">
        <v>25.700199999999999</v>
      </c>
      <c r="R1443" s="1">
        <v>45794</v>
      </c>
      <c r="S1443">
        <v>52.328899999999997</v>
      </c>
      <c r="U1443" s="1">
        <v>45794</v>
      </c>
      <c r="V1443">
        <v>35.550899999999999</v>
      </c>
      <c r="BL1443" s="1"/>
    </row>
    <row r="1444" spans="15:64">
      <c r="O1444" s="1">
        <v>45795</v>
      </c>
      <c r="P1444">
        <v>25.700199999999999</v>
      </c>
      <c r="R1444" s="1">
        <v>45795</v>
      </c>
      <c r="S1444">
        <v>52.328899999999997</v>
      </c>
      <c r="U1444" s="1">
        <v>45795</v>
      </c>
      <c r="V1444">
        <v>35.550899999999999</v>
      </c>
      <c r="BL1444" s="1"/>
    </row>
    <row r="1445" spans="15:64">
      <c r="O1445" s="1">
        <v>45796</v>
      </c>
      <c r="P1445">
        <v>28.2075</v>
      </c>
      <c r="R1445" s="1">
        <v>45796</v>
      </c>
      <c r="S1445">
        <v>53.402700000000003</v>
      </c>
      <c r="U1445" s="1">
        <v>45796</v>
      </c>
      <c r="V1445">
        <v>36.190100000000001</v>
      </c>
      <c r="BL1445" s="1"/>
    </row>
    <row r="1446" spans="15:64">
      <c r="O1446" s="1">
        <v>45797</v>
      </c>
      <c r="P1446">
        <v>28.959700000000002</v>
      </c>
      <c r="R1446" s="1">
        <v>45797</v>
      </c>
      <c r="S1446">
        <v>54.050899999999999</v>
      </c>
      <c r="U1446" s="1">
        <v>45797</v>
      </c>
      <c r="V1446">
        <v>35.1248</v>
      </c>
      <c r="BL1446" s="1"/>
    </row>
    <row r="1447" spans="15:64">
      <c r="O1447" s="1">
        <v>45798</v>
      </c>
      <c r="P1447">
        <v>27.956700000000001</v>
      </c>
      <c r="R1447" s="1">
        <v>45798</v>
      </c>
      <c r="S1447">
        <v>54.603900000000003</v>
      </c>
      <c r="U1447" s="1">
        <v>45798</v>
      </c>
      <c r="V1447">
        <v>34.656100000000002</v>
      </c>
    </row>
    <row r="1448" spans="15:64">
      <c r="O1448" s="1">
        <v>45799</v>
      </c>
      <c r="P1448">
        <v>26.034500000000001</v>
      </c>
      <c r="R1448" s="1">
        <v>45799</v>
      </c>
      <c r="S1448">
        <v>53.814100000000003</v>
      </c>
      <c r="U1448" s="1">
        <v>45799</v>
      </c>
      <c r="V1448">
        <v>34.997</v>
      </c>
    </row>
    <row r="1449" spans="15:64">
      <c r="O1449" s="1">
        <v>45800</v>
      </c>
      <c r="P1449">
        <v>26.619499999999999</v>
      </c>
      <c r="R1449" s="1">
        <v>45800</v>
      </c>
      <c r="S1449">
        <v>51.445399999999999</v>
      </c>
      <c r="U1449" s="1">
        <v>45800</v>
      </c>
      <c r="V1449">
        <v>34.464300000000001</v>
      </c>
    </row>
    <row r="1450" spans="15:64">
      <c r="O1450" s="1">
        <v>45801</v>
      </c>
      <c r="P1450">
        <v>26.619499999999999</v>
      </c>
      <c r="R1450" s="1">
        <v>45801</v>
      </c>
      <c r="S1450">
        <v>51.445399999999999</v>
      </c>
      <c r="U1450" s="1">
        <v>45801</v>
      </c>
      <c r="V1450">
        <v>34.464300000000001</v>
      </c>
    </row>
    <row r="1451" spans="15:64">
      <c r="O1451" s="1">
        <v>45802</v>
      </c>
      <c r="P1451">
        <v>26.619499999999999</v>
      </c>
      <c r="R1451" s="1">
        <v>45802</v>
      </c>
      <c r="S1451">
        <v>51.445399999999999</v>
      </c>
      <c r="U1451" s="1">
        <v>45802</v>
      </c>
      <c r="V1451">
        <v>34.464300000000001</v>
      </c>
    </row>
    <row r="1452" spans="15:64">
      <c r="O1452" s="1">
        <v>45803</v>
      </c>
      <c r="P1452">
        <v>29.544699999999999</v>
      </c>
      <c r="R1452" s="1">
        <v>45803</v>
      </c>
      <c r="S1452">
        <v>53.996600000000001</v>
      </c>
      <c r="U1452" s="1">
        <v>45803</v>
      </c>
      <c r="V1452">
        <v>34.464300000000001</v>
      </c>
    </row>
    <row r="1453" spans="15:64">
      <c r="O1453" s="1">
        <v>45804</v>
      </c>
      <c r="P1453">
        <v>29.544699999999999</v>
      </c>
      <c r="R1453" s="1">
        <v>45804</v>
      </c>
      <c r="S1453">
        <v>55.271000000000001</v>
      </c>
      <c r="U1453" s="1">
        <v>45804</v>
      </c>
      <c r="V1453">
        <v>35.8279</v>
      </c>
    </row>
    <row r="1454" spans="15:64">
      <c r="O1454" s="1">
        <v>45805</v>
      </c>
      <c r="P1454">
        <v>30.296900000000001</v>
      </c>
      <c r="R1454" s="1">
        <v>45805</v>
      </c>
      <c r="S1454">
        <v>54.0642</v>
      </c>
      <c r="U1454" s="1">
        <v>45805</v>
      </c>
      <c r="V1454">
        <v>34.9544</v>
      </c>
    </row>
    <row r="1455" spans="15:64">
      <c r="O1455" s="1">
        <v>45806</v>
      </c>
      <c r="P1455">
        <v>30.464099999999998</v>
      </c>
      <c r="R1455" s="1">
        <v>45806</v>
      </c>
      <c r="S1455">
        <v>53.391500000000001</v>
      </c>
      <c r="U1455" s="1">
        <v>45806</v>
      </c>
      <c r="V1455">
        <v>34.336500000000001</v>
      </c>
    </row>
    <row r="1456" spans="15:64">
      <c r="O1456" s="1">
        <v>45807</v>
      </c>
      <c r="P1456">
        <v>30.046199999999999</v>
      </c>
      <c r="R1456" s="1">
        <v>45807</v>
      </c>
      <c r="S1456">
        <v>53.8033</v>
      </c>
      <c r="U1456" s="1">
        <v>45807</v>
      </c>
      <c r="V1456">
        <v>34.315199999999997</v>
      </c>
    </row>
    <row r="1457" spans="15:22">
      <c r="O1457" s="1">
        <v>45808</v>
      </c>
      <c r="P1457">
        <v>30.046199999999999</v>
      </c>
      <c r="R1457" s="1">
        <v>45808</v>
      </c>
      <c r="S1457">
        <v>53.8033</v>
      </c>
      <c r="U1457" s="1">
        <v>45808</v>
      </c>
      <c r="V1457">
        <v>34.315199999999997</v>
      </c>
    </row>
    <row r="1458" spans="15:22">
      <c r="O1458" s="1">
        <v>45809</v>
      </c>
      <c r="P1458">
        <v>30.046199999999999</v>
      </c>
      <c r="R1458" s="1">
        <v>45809</v>
      </c>
      <c r="S1458">
        <v>53.8033</v>
      </c>
      <c r="U1458" s="1">
        <v>45809</v>
      </c>
      <c r="V1458">
        <v>34.315199999999997</v>
      </c>
    </row>
    <row r="1459" spans="15:22">
      <c r="O1459" s="1">
        <v>45810</v>
      </c>
      <c r="P1459">
        <v>25.533000000000001</v>
      </c>
      <c r="R1459" s="1">
        <v>45810</v>
      </c>
      <c r="S1459">
        <v>53.375100000000003</v>
      </c>
      <c r="U1459" s="1">
        <v>45810</v>
      </c>
      <c r="V1459">
        <v>36.040999999999997</v>
      </c>
    </row>
    <row r="1460" spans="15:22">
      <c r="O1460" s="1">
        <v>45811</v>
      </c>
      <c r="P1460">
        <v>26.2852</v>
      </c>
      <c r="R1460" s="1">
        <v>45811</v>
      </c>
      <c r="S1460">
        <v>54.406599999999997</v>
      </c>
      <c r="U1460" s="1">
        <v>45811</v>
      </c>
      <c r="V1460">
        <v>37.127600000000001</v>
      </c>
    </row>
    <row r="1461" spans="15:22">
      <c r="O1461" s="1">
        <v>45812</v>
      </c>
      <c r="P1461">
        <v>25.449400000000001</v>
      </c>
      <c r="R1461" s="1">
        <v>45812</v>
      </c>
      <c r="S1461">
        <v>55.5914</v>
      </c>
      <c r="U1461" s="1">
        <v>45812</v>
      </c>
      <c r="V1461">
        <v>37.191499999999998</v>
      </c>
    </row>
    <row r="1462" spans="15:22">
      <c r="O1462" s="1">
        <v>45813</v>
      </c>
      <c r="P1462">
        <v>22.774899999999999</v>
      </c>
      <c r="R1462" s="1">
        <v>45813</v>
      </c>
      <c r="S1462">
        <v>55.893300000000004</v>
      </c>
      <c r="U1462" s="1">
        <v>45813</v>
      </c>
      <c r="V1462">
        <v>37.681600000000003</v>
      </c>
    </row>
    <row r="1463" spans="15:22">
      <c r="O1463" s="1">
        <v>45814</v>
      </c>
      <c r="P1463">
        <v>22.0228</v>
      </c>
      <c r="R1463" s="1">
        <v>45814</v>
      </c>
      <c r="S1463">
        <v>55.770800000000001</v>
      </c>
      <c r="U1463" s="1">
        <v>45814</v>
      </c>
      <c r="V1463">
        <v>40.749699999999997</v>
      </c>
    </row>
    <row r="1464" spans="15:22">
      <c r="O1464" s="1">
        <v>45815</v>
      </c>
      <c r="P1464">
        <v>22.0228</v>
      </c>
      <c r="R1464" s="1">
        <v>45815</v>
      </c>
      <c r="S1464">
        <v>55.770800000000001</v>
      </c>
      <c r="U1464" s="1">
        <v>45815</v>
      </c>
      <c r="V1464">
        <v>40.749699999999997</v>
      </c>
    </row>
    <row r="1465" spans="15:22">
      <c r="O1465" s="1">
        <v>45816</v>
      </c>
      <c r="P1465">
        <v>22.0228</v>
      </c>
      <c r="R1465" s="1">
        <v>45816</v>
      </c>
      <c r="S1465">
        <v>55.770800000000001</v>
      </c>
      <c r="U1465" s="1">
        <v>45816</v>
      </c>
      <c r="V1465">
        <v>40.749699999999997</v>
      </c>
    </row>
    <row r="1466" spans="15:22">
      <c r="O1466" s="1">
        <v>45817</v>
      </c>
      <c r="P1466">
        <v>22.0228</v>
      </c>
      <c r="R1466" s="1">
        <v>45817</v>
      </c>
      <c r="S1466">
        <v>54.936700000000002</v>
      </c>
      <c r="U1466" s="1">
        <v>45817</v>
      </c>
      <c r="V1466">
        <v>40.408799999999999</v>
      </c>
    </row>
    <row r="1467" spans="15:22">
      <c r="O1467" s="1">
        <v>45818</v>
      </c>
      <c r="P1467">
        <v>23.610700000000001</v>
      </c>
      <c r="R1467" s="1">
        <v>45818</v>
      </c>
      <c r="S1467">
        <v>53.739699999999999</v>
      </c>
      <c r="U1467" s="1">
        <v>45818</v>
      </c>
      <c r="V1467">
        <v>38.8108</v>
      </c>
    </row>
    <row r="1468" spans="15:22">
      <c r="O1468" s="1">
        <v>45819</v>
      </c>
      <c r="P1468">
        <v>21.688400000000001</v>
      </c>
      <c r="R1468" s="1">
        <v>45819</v>
      </c>
      <c r="S1468">
        <v>53.491900000000001</v>
      </c>
      <c r="U1468" s="1">
        <v>45819</v>
      </c>
      <c r="V1468">
        <v>36.7654</v>
      </c>
    </row>
    <row r="1469" spans="15:22">
      <c r="O1469" s="1">
        <v>45820</v>
      </c>
      <c r="P1469">
        <v>20.351199999999999</v>
      </c>
      <c r="R1469" s="1">
        <v>45820</v>
      </c>
      <c r="S1469">
        <v>52.354599999999998</v>
      </c>
      <c r="U1469" s="1">
        <v>45820</v>
      </c>
      <c r="V1469">
        <v>38.704300000000003</v>
      </c>
    </row>
    <row r="1470" spans="15:22">
      <c r="O1470" s="1">
        <v>45821</v>
      </c>
      <c r="P1470">
        <v>18.512499999999999</v>
      </c>
      <c r="R1470" s="1">
        <v>45821</v>
      </c>
      <c r="S1470">
        <v>50.718899999999998</v>
      </c>
      <c r="U1470" s="1">
        <v>45821</v>
      </c>
      <c r="V1470">
        <v>36.552300000000002</v>
      </c>
    </row>
    <row r="1471" spans="15:22">
      <c r="O1471" s="1">
        <v>45822</v>
      </c>
      <c r="P1471">
        <v>18.512499999999999</v>
      </c>
      <c r="R1471" s="1">
        <v>45822</v>
      </c>
      <c r="S1471">
        <v>50.718899999999998</v>
      </c>
      <c r="U1471" s="1">
        <v>45822</v>
      </c>
      <c r="V1471">
        <v>36.552300000000002</v>
      </c>
    </row>
    <row r="1472" spans="15:22">
      <c r="O1472" s="1">
        <v>45823</v>
      </c>
      <c r="P1472">
        <v>18.512499999999999</v>
      </c>
      <c r="R1472" s="1">
        <v>45823</v>
      </c>
      <c r="S1472">
        <v>50.718899999999998</v>
      </c>
      <c r="U1472" s="1">
        <v>45823</v>
      </c>
      <c r="V1472">
        <v>36.552300000000002</v>
      </c>
    </row>
    <row r="1473" spans="15:22">
      <c r="O1473" s="1">
        <v>45824</v>
      </c>
      <c r="P1473">
        <v>19.0975</v>
      </c>
      <c r="R1473" s="1">
        <v>45824</v>
      </c>
      <c r="S1473">
        <v>51.890999999999998</v>
      </c>
      <c r="U1473" s="1">
        <v>45824</v>
      </c>
      <c r="V1473">
        <v>39.577800000000003</v>
      </c>
    </row>
    <row r="1474" spans="15:22">
      <c r="O1474" s="1">
        <v>45825</v>
      </c>
      <c r="P1474">
        <v>16.924499999999998</v>
      </c>
      <c r="R1474" s="1">
        <v>45825</v>
      </c>
      <c r="S1474">
        <v>50.195999999999998</v>
      </c>
      <c r="U1474" s="1">
        <v>45825</v>
      </c>
      <c r="V1474">
        <v>39.194299999999998</v>
      </c>
    </row>
    <row r="1475" spans="15:22">
      <c r="O1475" s="1">
        <v>45826</v>
      </c>
      <c r="P1475">
        <v>16.1723</v>
      </c>
      <c r="R1475" s="1">
        <v>45826</v>
      </c>
      <c r="S1475">
        <v>49.447200000000002</v>
      </c>
      <c r="U1475" s="1">
        <v>45826</v>
      </c>
      <c r="V1475">
        <v>40.280900000000003</v>
      </c>
    </row>
    <row r="1476" spans="15:22">
      <c r="O1476" s="1">
        <v>45827</v>
      </c>
      <c r="P1476">
        <v>13.8322</v>
      </c>
      <c r="R1476" s="1">
        <v>45827</v>
      </c>
      <c r="S1476">
        <v>47.777999999999999</v>
      </c>
      <c r="U1476" s="1">
        <v>45827</v>
      </c>
      <c r="V1476">
        <v>40.280900000000003</v>
      </c>
    </row>
    <row r="1477" spans="15:22">
      <c r="O1477" s="1">
        <v>45828</v>
      </c>
      <c r="P1477">
        <v>13.915800000000001</v>
      </c>
      <c r="R1477" s="1">
        <v>45828</v>
      </c>
      <c r="S1477">
        <v>49.656999999999996</v>
      </c>
      <c r="U1477" s="1">
        <v>45828</v>
      </c>
      <c r="V1477">
        <v>41.303600000000003</v>
      </c>
    </row>
    <row r="1478" spans="15:22">
      <c r="O1478" s="1">
        <v>45829</v>
      </c>
      <c r="P1478">
        <v>13.915800000000001</v>
      </c>
      <c r="R1478" s="1">
        <v>45829</v>
      </c>
      <c r="S1478">
        <v>49.656999999999996</v>
      </c>
      <c r="U1478" s="1">
        <v>45829</v>
      </c>
      <c r="V1478">
        <v>41.303600000000003</v>
      </c>
    </row>
    <row r="1479" spans="15:22">
      <c r="O1479" s="1">
        <v>45830</v>
      </c>
      <c r="P1479">
        <v>13.915800000000001</v>
      </c>
      <c r="R1479" s="1">
        <v>45830</v>
      </c>
      <c r="S1479">
        <v>49.656999999999996</v>
      </c>
      <c r="U1479" s="1">
        <v>45830</v>
      </c>
      <c r="V1479">
        <v>41.303600000000003</v>
      </c>
    </row>
    <row r="1480" spans="15:22">
      <c r="O1480" s="1">
        <v>45831</v>
      </c>
      <c r="P1480">
        <v>13.4979</v>
      </c>
      <c r="R1480" s="1">
        <v>45831</v>
      </c>
      <c r="S1480">
        <v>49.134399999999999</v>
      </c>
      <c r="U1480" s="1">
        <v>45831</v>
      </c>
      <c r="V1480">
        <v>43.562100000000001</v>
      </c>
    </row>
    <row r="1481" spans="15:22">
      <c r="O1481" s="1">
        <v>45832</v>
      </c>
      <c r="P1481">
        <v>15.837999999999999</v>
      </c>
      <c r="R1481" s="1">
        <v>45832</v>
      </c>
      <c r="S1481">
        <v>51.522300000000001</v>
      </c>
      <c r="U1481" s="1">
        <v>45832</v>
      </c>
      <c r="V1481">
        <v>44.648699999999998</v>
      </c>
    </row>
    <row r="1482" spans="15:22">
      <c r="O1482" s="1">
        <v>45833</v>
      </c>
      <c r="P1482">
        <v>15.085800000000001</v>
      </c>
      <c r="R1482" s="1">
        <v>45833</v>
      </c>
      <c r="S1482">
        <v>50.604199999999999</v>
      </c>
      <c r="U1482" s="1">
        <v>45833</v>
      </c>
      <c r="V1482">
        <v>45.2879</v>
      </c>
    </row>
    <row r="1483" spans="15:22">
      <c r="O1483" s="1">
        <v>45834</v>
      </c>
      <c r="P1483">
        <v>10.1548</v>
      </c>
      <c r="R1483" s="1">
        <v>45834</v>
      </c>
      <c r="S1483">
        <v>51.5717</v>
      </c>
      <c r="U1483" s="1">
        <v>45834</v>
      </c>
      <c r="V1483">
        <v>46.907200000000003</v>
      </c>
    </row>
    <row r="1484" spans="15:22">
      <c r="O1484" s="1">
        <v>45835</v>
      </c>
      <c r="P1484">
        <v>14.2501</v>
      </c>
      <c r="R1484" s="1">
        <v>45835</v>
      </c>
      <c r="S1484">
        <v>54.032299999999999</v>
      </c>
      <c r="U1484" s="1">
        <v>45835</v>
      </c>
      <c r="V1484">
        <v>46.268000000000001</v>
      </c>
    </row>
    <row r="1485" spans="15:22">
      <c r="O1485" s="1">
        <v>45836</v>
      </c>
      <c r="P1485">
        <v>14.2501</v>
      </c>
      <c r="R1485" s="1">
        <v>45836</v>
      </c>
      <c r="S1485">
        <v>54.032299999999999</v>
      </c>
      <c r="U1485" s="1">
        <v>45836</v>
      </c>
      <c r="V1485">
        <v>46.268000000000001</v>
      </c>
    </row>
    <row r="1486" spans="15:22">
      <c r="O1486" s="1">
        <v>45837</v>
      </c>
      <c r="P1486">
        <v>14.2501</v>
      </c>
      <c r="R1486" s="1">
        <v>45837</v>
      </c>
      <c r="S1486">
        <v>54.032299999999999</v>
      </c>
      <c r="U1486" s="1">
        <v>45837</v>
      </c>
      <c r="V1486">
        <v>46.268000000000001</v>
      </c>
    </row>
    <row r="1487" spans="15:22">
      <c r="O1487" s="1">
        <v>45838</v>
      </c>
      <c r="P1487">
        <v>15.0023</v>
      </c>
      <c r="R1487" s="1">
        <v>45838</v>
      </c>
      <c r="S1487">
        <v>53.240099999999998</v>
      </c>
      <c r="U1487" s="1">
        <v>45838</v>
      </c>
      <c r="V1487">
        <v>47.823399999999999</v>
      </c>
    </row>
    <row r="1488" spans="15:22">
      <c r="O1488" s="1">
        <v>45839</v>
      </c>
      <c r="P1488">
        <v>15.837999999999999</v>
      </c>
      <c r="R1488" s="1">
        <v>45839</v>
      </c>
      <c r="S1488">
        <v>51.725499999999997</v>
      </c>
      <c r="U1488" s="1">
        <v>45839</v>
      </c>
      <c r="V1488">
        <v>47.226799999999997</v>
      </c>
    </row>
    <row r="1489" spans="15:22">
      <c r="O1489" s="1">
        <v>45840</v>
      </c>
      <c r="P1489">
        <v>18.6797</v>
      </c>
      <c r="R1489" s="1">
        <v>45840</v>
      </c>
      <c r="S1489">
        <v>52.474200000000003</v>
      </c>
      <c r="U1489" s="1">
        <v>45840</v>
      </c>
      <c r="V1489">
        <v>46.1402</v>
      </c>
    </row>
    <row r="1490" spans="15:22">
      <c r="O1490" s="1">
        <v>45841</v>
      </c>
      <c r="P1490">
        <v>18.345400000000001</v>
      </c>
      <c r="R1490" s="1">
        <v>45841</v>
      </c>
      <c r="S1490">
        <v>53.397300000000001</v>
      </c>
      <c r="U1490" s="1">
        <v>45841</v>
      </c>
      <c r="V1490">
        <v>48.675600000000003</v>
      </c>
    </row>
    <row r="1491" spans="15:22">
      <c r="O1491" s="1">
        <v>45842</v>
      </c>
      <c r="P1491">
        <v>17.425999999999998</v>
      </c>
      <c r="R1491" s="1">
        <v>45842</v>
      </c>
      <c r="S1491">
        <v>52.4572</v>
      </c>
      <c r="U1491" s="1">
        <v>45842</v>
      </c>
      <c r="V1491">
        <v>48.675600000000003</v>
      </c>
    </row>
    <row r="1492" spans="15:22">
      <c r="O1492" s="1">
        <v>45843</v>
      </c>
      <c r="P1492">
        <v>17.425999999999998</v>
      </c>
      <c r="R1492" s="1">
        <v>45843</v>
      </c>
      <c r="S1492">
        <v>52.4572</v>
      </c>
      <c r="U1492" s="1">
        <v>45843</v>
      </c>
      <c r="V1492">
        <v>48.675600000000003</v>
      </c>
    </row>
    <row r="1493" spans="15:22">
      <c r="O1493" s="1">
        <v>45844</v>
      </c>
      <c r="P1493">
        <v>17.425999999999998</v>
      </c>
      <c r="R1493" s="1">
        <v>45844</v>
      </c>
      <c r="S1493">
        <v>52.4572</v>
      </c>
      <c r="U1493" s="1">
        <v>45844</v>
      </c>
      <c r="V1493">
        <v>48.675600000000003</v>
      </c>
    </row>
    <row r="1494" spans="15:22">
      <c r="O1494" s="1">
        <v>45845</v>
      </c>
      <c r="P1494">
        <v>20.184100000000001</v>
      </c>
      <c r="R1494" s="1">
        <v>45845</v>
      </c>
      <c r="S1494">
        <v>54.291600000000003</v>
      </c>
      <c r="U1494" s="1">
        <v>45845</v>
      </c>
      <c r="V1494">
        <v>47.732599999999998</v>
      </c>
    </row>
    <row r="1495" spans="15:22">
      <c r="O1495" s="1">
        <v>45846</v>
      </c>
      <c r="P1495">
        <v>23.192799999999998</v>
      </c>
      <c r="R1495" s="1">
        <v>45846</v>
      </c>
      <c r="S1495">
        <v>55.145499999999998</v>
      </c>
      <c r="U1495" s="1">
        <v>45846</v>
      </c>
      <c r="V1495">
        <v>47.003900000000002</v>
      </c>
    </row>
    <row r="1496" spans="15:22">
      <c r="O1496" s="1">
        <v>45847</v>
      </c>
      <c r="P1496">
        <v>26.703099999999999</v>
      </c>
      <c r="R1496" s="1">
        <v>45847</v>
      </c>
      <c r="S1496">
        <v>57.3416</v>
      </c>
      <c r="U1496" s="1">
        <v>45847</v>
      </c>
      <c r="V1496">
        <v>48.461300000000001</v>
      </c>
    </row>
    <row r="1497" spans="15:22">
      <c r="O1497" s="1">
        <v>45848</v>
      </c>
      <c r="P1497">
        <v>28.876100000000001</v>
      </c>
      <c r="R1497" s="1">
        <v>45848</v>
      </c>
      <c r="S1497">
        <v>56.747199999999999</v>
      </c>
      <c r="U1497" s="1">
        <v>45848</v>
      </c>
      <c r="V1497">
        <v>47.368299999999998</v>
      </c>
    </row>
    <row r="1498" spans="15:22">
      <c r="O1498" s="1">
        <v>45849</v>
      </c>
      <c r="P1498">
        <v>25.198699999999999</v>
      </c>
      <c r="R1498" s="1">
        <v>45849</v>
      </c>
      <c r="S1498">
        <v>55.455800000000004</v>
      </c>
      <c r="U1498" s="1">
        <v>45849</v>
      </c>
      <c r="V1498">
        <v>45.632300000000001</v>
      </c>
    </row>
    <row r="1499" spans="15:22">
      <c r="O1499" s="1">
        <v>45850</v>
      </c>
      <c r="P1499">
        <v>25.198699999999999</v>
      </c>
      <c r="R1499" s="1">
        <v>45850</v>
      </c>
      <c r="S1499">
        <v>55.455800000000004</v>
      </c>
      <c r="U1499" s="1">
        <v>45850</v>
      </c>
      <c r="V1499">
        <v>45.632300000000001</v>
      </c>
    </row>
    <row r="1500" spans="15:22">
      <c r="O1500" s="1">
        <v>45851</v>
      </c>
      <c r="P1500">
        <v>25.198699999999999</v>
      </c>
      <c r="R1500" s="1">
        <v>45851</v>
      </c>
      <c r="S1500">
        <v>55.455800000000004</v>
      </c>
      <c r="U1500" s="1">
        <v>45851</v>
      </c>
      <c r="V1500">
        <v>45.632300000000001</v>
      </c>
    </row>
    <row r="1501" spans="15:22">
      <c r="O1501" s="1">
        <v>45852</v>
      </c>
      <c r="P1501">
        <v>22.5242</v>
      </c>
      <c r="R1501" s="1">
        <v>45852</v>
      </c>
      <c r="S1501">
        <v>54.848999999999997</v>
      </c>
      <c r="U1501" s="1">
        <v>45852</v>
      </c>
      <c r="V1501">
        <v>45.3536</v>
      </c>
    </row>
    <row r="1502" spans="15:22">
      <c r="O1502" s="1">
        <v>45853</v>
      </c>
      <c r="P1502">
        <v>25.3658</v>
      </c>
      <c r="R1502" s="1">
        <v>45853</v>
      </c>
      <c r="S1502">
        <v>54.205800000000004</v>
      </c>
      <c r="U1502" s="1">
        <v>45853</v>
      </c>
      <c r="V1502">
        <v>43.981999999999999</v>
      </c>
    </row>
    <row r="1503" spans="15:22">
      <c r="O1503" s="1">
        <v>45854</v>
      </c>
      <c r="P1503">
        <v>23.610700000000001</v>
      </c>
      <c r="R1503" s="1">
        <v>45854</v>
      </c>
      <c r="S1503">
        <v>53.879600000000003</v>
      </c>
      <c r="U1503" s="1">
        <v>45854</v>
      </c>
      <c r="V1503">
        <v>44.389200000000002</v>
      </c>
    </row>
    <row r="1504" spans="15:22">
      <c r="O1504" s="1">
        <v>45855</v>
      </c>
      <c r="P1504">
        <v>23.36</v>
      </c>
      <c r="R1504" s="1">
        <v>45855</v>
      </c>
      <c r="S1504">
        <v>56.196800000000003</v>
      </c>
      <c r="U1504" s="1">
        <v>45855</v>
      </c>
      <c r="V1504">
        <v>46.382399999999997</v>
      </c>
    </row>
    <row r="1505" spans="15:22">
      <c r="O1505" s="1">
        <v>45856</v>
      </c>
      <c r="P1505">
        <v>23.025700000000001</v>
      </c>
      <c r="R1505" s="1">
        <v>45856</v>
      </c>
      <c r="S1505">
        <v>55.674900000000001</v>
      </c>
      <c r="U1505" s="1">
        <v>45856</v>
      </c>
      <c r="V1505">
        <v>45.846600000000002</v>
      </c>
    </row>
    <row r="1506" spans="15:22">
      <c r="O1506" s="1">
        <v>45857</v>
      </c>
      <c r="P1506">
        <v>23.025700000000001</v>
      </c>
      <c r="R1506" s="1">
        <v>45857</v>
      </c>
      <c r="S1506">
        <v>55.674900000000001</v>
      </c>
      <c r="U1506" s="1">
        <v>45857</v>
      </c>
      <c r="V1506">
        <v>45.846600000000002</v>
      </c>
    </row>
    <row r="1507" spans="15:22">
      <c r="O1507" s="1">
        <v>45858</v>
      </c>
      <c r="P1507">
        <v>23.025700000000001</v>
      </c>
      <c r="R1507" s="1">
        <v>45858</v>
      </c>
      <c r="S1507">
        <v>55.674900000000001</v>
      </c>
      <c r="U1507" s="1">
        <v>45858</v>
      </c>
      <c r="V1507">
        <v>45.846600000000002</v>
      </c>
    </row>
    <row r="1508" spans="15:22">
      <c r="O1508" s="1">
        <v>45859</v>
      </c>
      <c r="P1508">
        <v>26.034500000000001</v>
      </c>
      <c r="R1508" s="1">
        <v>45859</v>
      </c>
      <c r="S1508">
        <v>55.792200000000001</v>
      </c>
      <c r="U1508" s="1">
        <v>45859</v>
      </c>
      <c r="V1508">
        <v>46.4681</v>
      </c>
    </row>
    <row r="1509" spans="15:22">
      <c r="O1509" s="1">
        <v>45860</v>
      </c>
      <c r="P1509">
        <v>26.7867</v>
      </c>
      <c r="R1509" s="1">
        <v>45860</v>
      </c>
      <c r="S1509">
        <v>54.088000000000001</v>
      </c>
      <c r="U1509" s="1">
        <v>45860</v>
      </c>
      <c r="V1509">
        <v>46.082299999999996</v>
      </c>
    </row>
    <row r="1510" spans="15:22">
      <c r="O1510" s="1">
        <v>45861</v>
      </c>
      <c r="P1510">
        <v>36.4816</v>
      </c>
      <c r="R1510" s="1">
        <v>45861</v>
      </c>
      <c r="S1510">
        <v>55.362900000000003</v>
      </c>
      <c r="U1510" s="1">
        <v>45861</v>
      </c>
      <c r="V1510">
        <v>47.068199999999997</v>
      </c>
    </row>
    <row r="1511" spans="15:22">
      <c r="O1511" s="1">
        <v>45862</v>
      </c>
      <c r="P1511">
        <v>37.818800000000003</v>
      </c>
      <c r="R1511" s="1">
        <v>45862</v>
      </c>
      <c r="S1511">
        <v>55.716099999999997</v>
      </c>
      <c r="U1511" s="1">
        <v>45862</v>
      </c>
      <c r="V1511">
        <v>46.360999999999997</v>
      </c>
    </row>
    <row r="1512" spans="15:22">
      <c r="O1512" s="1">
        <v>45863</v>
      </c>
      <c r="P1512">
        <v>32.135599999999997</v>
      </c>
      <c r="R1512" s="1">
        <v>45863</v>
      </c>
      <c r="S1512">
        <v>55.2134</v>
      </c>
      <c r="U1512" s="1">
        <v>45863</v>
      </c>
      <c r="V1512">
        <v>47.218200000000003</v>
      </c>
    </row>
    <row r="1513" spans="15:22">
      <c r="O1513" s="1">
        <v>45864</v>
      </c>
      <c r="P1513">
        <v>32.135599999999997</v>
      </c>
      <c r="R1513" s="1">
        <v>45864</v>
      </c>
      <c r="S1513">
        <v>55.2134</v>
      </c>
      <c r="U1513" s="1">
        <v>45864</v>
      </c>
      <c r="V1513">
        <v>47.218200000000003</v>
      </c>
    </row>
    <row r="1514" spans="15:22">
      <c r="O1514" s="1">
        <v>45865</v>
      </c>
      <c r="P1514">
        <v>32.135599999999997</v>
      </c>
      <c r="R1514" s="1">
        <v>45865</v>
      </c>
      <c r="S1514">
        <v>55.2134</v>
      </c>
      <c r="U1514" s="1">
        <v>45865</v>
      </c>
      <c r="V1514">
        <v>47.218200000000003</v>
      </c>
    </row>
    <row r="1515" spans="15:22">
      <c r="O1515" s="1">
        <v>45866</v>
      </c>
      <c r="P1515">
        <v>25.700199999999999</v>
      </c>
      <c r="R1515" s="1">
        <v>45866</v>
      </c>
      <c r="S1515">
        <v>53.6295</v>
      </c>
      <c r="U1515" s="1">
        <v>45866</v>
      </c>
      <c r="V1515">
        <v>45.567999999999998</v>
      </c>
    </row>
    <row r="1516" spans="15:22">
      <c r="O1516" s="1">
        <v>45867</v>
      </c>
      <c r="P1516">
        <v>27.455300000000001</v>
      </c>
      <c r="R1516" s="1">
        <v>45867</v>
      </c>
      <c r="S1516">
        <v>55.212600000000002</v>
      </c>
      <c r="U1516" s="1">
        <v>45867</v>
      </c>
      <c r="V1516">
        <v>45.653700000000001</v>
      </c>
    </row>
    <row r="1517" spans="15:22">
      <c r="O1517" s="1">
        <v>45868</v>
      </c>
      <c r="P1517">
        <v>25.533000000000001</v>
      </c>
      <c r="R1517" s="1">
        <v>45868</v>
      </c>
      <c r="S1517">
        <v>55.5</v>
      </c>
      <c r="U1517" s="1">
        <v>45868</v>
      </c>
      <c r="V1517">
        <v>46.328800000000001</v>
      </c>
    </row>
    <row r="1518" spans="15:22">
      <c r="O1518" s="1">
        <v>45869</v>
      </c>
      <c r="P1518">
        <v>25.950900000000001</v>
      </c>
      <c r="R1518" s="1">
        <v>45869</v>
      </c>
      <c r="S1518">
        <v>54.238999999999997</v>
      </c>
      <c r="U1518" s="1">
        <v>45869</v>
      </c>
      <c r="V1518">
        <v>45.910899999999998</v>
      </c>
    </row>
    <row r="1519" spans="15:22">
      <c r="O1519" s="1">
        <v>45870</v>
      </c>
      <c r="P1519">
        <v>22.9421</v>
      </c>
      <c r="R1519" s="1">
        <v>45870</v>
      </c>
      <c r="S1519">
        <v>50.1404</v>
      </c>
      <c r="U1519" s="1">
        <v>45870</v>
      </c>
      <c r="V1519">
        <v>43.831899999999997</v>
      </c>
    </row>
    <row r="1520" spans="15:22">
      <c r="O1520" s="1">
        <v>45871</v>
      </c>
      <c r="P1520">
        <v>22.9421</v>
      </c>
      <c r="R1520" s="1">
        <v>45871</v>
      </c>
      <c r="S1520">
        <v>50.1404</v>
      </c>
      <c r="U1520" s="1">
        <v>45871</v>
      </c>
      <c r="V1520">
        <v>43.831899999999997</v>
      </c>
    </row>
    <row r="1521" spans="15:22">
      <c r="O1521" s="1">
        <v>45872</v>
      </c>
      <c r="P1521">
        <v>22.9421</v>
      </c>
      <c r="R1521" s="1">
        <v>45872</v>
      </c>
      <c r="S1521">
        <v>50.1404</v>
      </c>
      <c r="U1521" s="1">
        <v>45872</v>
      </c>
      <c r="V1521">
        <v>43.831899999999997</v>
      </c>
    </row>
    <row r="1522" spans="15:22">
      <c r="O1522" s="1">
        <v>45873</v>
      </c>
      <c r="P1522">
        <v>22.5242</v>
      </c>
      <c r="R1522" s="1">
        <v>45873</v>
      </c>
      <c r="S1522">
        <v>52.266399999999997</v>
      </c>
      <c r="U1522" s="1">
        <v>45873</v>
      </c>
      <c r="V1522">
        <v>46.7896</v>
      </c>
    </row>
    <row r="1523" spans="15:22">
      <c r="O1523" s="1">
        <v>45874</v>
      </c>
      <c r="P1523">
        <v>24.028600000000001</v>
      </c>
      <c r="R1523" s="1">
        <v>45874</v>
      </c>
      <c r="S1523">
        <v>52.832900000000002</v>
      </c>
      <c r="U1523" s="1">
        <v>45874</v>
      </c>
      <c r="V1523">
        <v>44.710700000000003</v>
      </c>
    </row>
    <row r="1524" spans="15:22">
      <c r="O1524" s="1">
        <v>45875</v>
      </c>
      <c r="P1524">
        <v>24.3629</v>
      </c>
      <c r="R1524" s="1">
        <v>45875</v>
      </c>
      <c r="S1524">
        <v>53.334600000000002</v>
      </c>
      <c r="U1524" s="1">
        <v>45875</v>
      </c>
      <c r="V1524">
        <v>48.332700000000003</v>
      </c>
    </row>
    <row r="1525" spans="15:22">
      <c r="O1525" s="1">
        <v>45876</v>
      </c>
      <c r="P1525">
        <v>29.544699999999999</v>
      </c>
      <c r="R1525" s="1">
        <v>45876</v>
      </c>
      <c r="S1525">
        <v>55.053199999999997</v>
      </c>
      <c r="U1525" s="1">
        <v>45876</v>
      </c>
      <c r="V1525">
        <v>49.811500000000002</v>
      </c>
    </row>
    <row r="1526" spans="15:22">
      <c r="O1526" s="1">
        <v>45877</v>
      </c>
      <c r="P1526">
        <v>33.222099999999998</v>
      </c>
      <c r="R1526" s="1">
        <v>45877</v>
      </c>
      <c r="S1526">
        <v>54.863199999999999</v>
      </c>
      <c r="U1526" s="1">
        <v>45877</v>
      </c>
      <c r="V1526">
        <v>53.862200000000001</v>
      </c>
    </row>
    <row r="1527" spans="15:22">
      <c r="O1527" s="1">
        <v>45878</v>
      </c>
      <c r="P1527">
        <v>33.222099999999998</v>
      </c>
      <c r="R1527" s="1">
        <v>45878</v>
      </c>
      <c r="S1527">
        <v>54.863199999999999</v>
      </c>
      <c r="U1527" s="1">
        <v>45878</v>
      </c>
      <c r="V1527">
        <v>53.862200000000001</v>
      </c>
    </row>
    <row r="1528" spans="15:22">
      <c r="O1528" s="1">
        <v>45879</v>
      </c>
      <c r="P1528">
        <v>33.222099999999998</v>
      </c>
      <c r="R1528" s="1">
        <v>45879</v>
      </c>
      <c r="S1528">
        <v>54.863199999999999</v>
      </c>
      <c r="U1528" s="1">
        <v>45879</v>
      </c>
      <c r="V1528">
        <v>53.862200000000001</v>
      </c>
    </row>
    <row r="1529" spans="15:22">
      <c r="O1529" s="1">
        <v>45880</v>
      </c>
      <c r="P1529">
        <v>31.884899999999998</v>
      </c>
      <c r="R1529" s="1">
        <v>45880</v>
      </c>
      <c r="S1529">
        <v>54.340800000000002</v>
      </c>
      <c r="U1529" s="1">
        <v>45880</v>
      </c>
      <c r="V1529">
        <v>51.461799999999997</v>
      </c>
    </row>
    <row r="1530" spans="15:22">
      <c r="O1530" s="1">
        <v>45881</v>
      </c>
      <c r="P1530">
        <v>32.5535</v>
      </c>
      <c r="R1530" s="1">
        <v>45881</v>
      </c>
      <c r="S1530">
        <v>53.978299999999997</v>
      </c>
      <c r="U1530" s="1">
        <v>45881</v>
      </c>
      <c r="V1530">
        <v>52.983499999999999</v>
      </c>
    </row>
    <row r="1531" spans="15:22">
      <c r="O1531" s="1">
        <v>45882</v>
      </c>
      <c r="P1531">
        <v>33.138500000000001</v>
      </c>
      <c r="R1531" s="1">
        <v>45882</v>
      </c>
      <c r="S1531">
        <v>55.008899999999997</v>
      </c>
      <c r="U1531" s="1">
        <v>45882</v>
      </c>
      <c r="V1531">
        <v>50.883200000000002</v>
      </c>
    </row>
    <row r="1532" spans="15:22">
      <c r="O1532" s="1">
        <v>45883</v>
      </c>
      <c r="P1532">
        <v>33.64</v>
      </c>
      <c r="R1532" s="1">
        <v>45883</v>
      </c>
      <c r="S1532">
        <v>56.238900000000001</v>
      </c>
      <c r="U1532" s="1">
        <v>45883</v>
      </c>
      <c r="V1532">
        <v>48.525599999999997</v>
      </c>
    </row>
    <row r="1533" spans="15:22">
      <c r="O1533" s="1">
        <v>45884</v>
      </c>
      <c r="P1533">
        <v>32.720599999999997</v>
      </c>
      <c r="R1533" s="1">
        <v>45884</v>
      </c>
      <c r="S1533">
        <v>56.122199999999999</v>
      </c>
      <c r="U1533" s="1">
        <v>45884</v>
      </c>
      <c r="V1533">
        <v>41.881599999999999</v>
      </c>
    </row>
    <row r="1534" spans="15:22">
      <c r="O1534" s="1">
        <v>45885</v>
      </c>
      <c r="P1534">
        <v>32.720599999999997</v>
      </c>
      <c r="R1534" s="1">
        <v>45885</v>
      </c>
      <c r="S1534">
        <v>56.122199999999999</v>
      </c>
      <c r="U1534" s="1">
        <v>45885</v>
      </c>
      <c r="V1534">
        <v>41.881599999999999</v>
      </c>
    </row>
    <row r="1535" spans="15:22">
      <c r="O1535" s="1">
        <v>45886</v>
      </c>
      <c r="P1535">
        <v>32.720599999999997</v>
      </c>
      <c r="R1535" s="1">
        <v>45886</v>
      </c>
      <c r="S1535">
        <v>56.122199999999999</v>
      </c>
      <c r="U1535" s="1">
        <v>45886</v>
      </c>
      <c r="V1535">
        <v>41.881599999999999</v>
      </c>
    </row>
    <row r="1536" spans="15:22">
      <c r="O1536" s="1">
        <v>45887</v>
      </c>
      <c r="P1536">
        <v>30.547599999999999</v>
      </c>
      <c r="R1536" s="1">
        <v>45887</v>
      </c>
      <c r="S1536">
        <v>55.836799999999997</v>
      </c>
      <c r="U1536" s="1">
        <v>45887</v>
      </c>
      <c r="V1536">
        <v>43.488999999999997</v>
      </c>
    </row>
    <row r="1537" spans="15:22">
      <c r="O1537" s="1">
        <v>45888</v>
      </c>
      <c r="P1537">
        <v>33.723599999999998</v>
      </c>
      <c r="R1537" s="1">
        <v>45888</v>
      </c>
      <c r="S1537">
        <v>56.530900000000003</v>
      </c>
      <c r="U1537" s="1">
        <v>45888</v>
      </c>
      <c r="V1537">
        <v>43.081800000000001</v>
      </c>
    </row>
    <row r="1538" spans="15:22">
      <c r="O1538" s="1">
        <v>45889</v>
      </c>
      <c r="P1538">
        <v>31.968399999999999</v>
      </c>
      <c r="R1538" s="1">
        <v>45889</v>
      </c>
      <c r="S1538">
        <v>55.5946</v>
      </c>
      <c r="U1538" s="1">
        <v>45889</v>
      </c>
      <c r="V1538">
        <v>43.831899999999997</v>
      </c>
    </row>
    <row r="1539" spans="15:22">
      <c r="O1539" s="1">
        <v>45890</v>
      </c>
      <c r="P1539">
        <v>31.216200000000001</v>
      </c>
      <c r="R1539" s="1">
        <v>45890</v>
      </c>
      <c r="S1539">
        <v>55.6995</v>
      </c>
      <c r="U1539" s="1">
        <v>45890</v>
      </c>
      <c r="V1539">
        <v>43.639099999999999</v>
      </c>
    </row>
    <row r="1540" spans="15:22">
      <c r="O1540" s="1">
        <v>45891</v>
      </c>
      <c r="P1540">
        <v>36.648800000000001</v>
      </c>
      <c r="R1540" s="1">
        <v>45891</v>
      </c>
      <c r="S1540">
        <v>56.146500000000003</v>
      </c>
      <c r="U1540" s="1">
        <v>45891</v>
      </c>
      <c r="V1540">
        <v>44.281999999999996</v>
      </c>
    </row>
    <row r="1541" spans="15:22">
      <c r="O1541" s="1">
        <v>45892</v>
      </c>
      <c r="P1541">
        <v>36.648800000000001</v>
      </c>
      <c r="R1541" s="1">
        <v>45892</v>
      </c>
      <c r="S1541">
        <v>56.146500000000003</v>
      </c>
      <c r="U1541" s="1">
        <v>45892</v>
      </c>
      <c r="V1541">
        <v>44.281999999999996</v>
      </c>
    </row>
    <row r="1542" spans="15:22">
      <c r="O1542" s="1">
        <v>45893</v>
      </c>
      <c r="P1542">
        <v>36.648800000000001</v>
      </c>
      <c r="R1542" s="1">
        <v>45893</v>
      </c>
      <c r="S1542">
        <v>56.146500000000003</v>
      </c>
      <c r="U1542" s="1">
        <v>45893</v>
      </c>
      <c r="V1542">
        <v>44.281999999999996</v>
      </c>
    </row>
    <row r="1543" spans="15:22">
      <c r="O1543" s="1">
        <v>45894</v>
      </c>
      <c r="P1543">
        <v>35.478700000000003</v>
      </c>
      <c r="R1543" s="1">
        <v>45894</v>
      </c>
      <c r="S1543">
        <v>55.569899999999997</v>
      </c>
      <c r="U1543" s="1">
        <v>45894</v>
      </c>
      <c r="V1543">
        <v>43.8962</v>
      </c>
    </row>
    <row r="1544" spans="15:22">
      <c r="O1544" s="1">
        <v>45895</v>
      </c>
      <c r="P1544">
        <v>34.225000000000001</v>
      </c>
      <c r="R1544" s="1">
        <v>45895</v>
      </c>
      <c r="S1544">
        <v>54.799199999999999</v>
      </c>
      <c r="U1544" s="1">
        <v>45895</v>
      </c>
      <c r="V1544">
        <v>46.575299999999999</v>
      </c>
    </row>
    <row r="1545" spans="15:22">
      <c r="O1545" s="1">
        <v>45896</v>
      </c>
      <c r="P1545">
        <v>32.887799999999999</v>
      </c>
      <c r="R1545" s="1">
        <v>45896</v>
      </c>
      <c r="S1545">
        <v>54.115600000000001</v>
      </c>
      <c r="U1545" s="1">
        <v>45896</v>
      </c>
      <c r="V1545">
        <v>46.682400000000001</v>
      </c>
    </row>
    <row r="1546" spans="15:22">
      <c r="O1546" s="1">
        <v>45897</v>
      </c>
      <c r="P1546">
        <v>32.469900000000003</v>
      </c>
      <c r="R1546" s="1">
        <v>45897</v>
      </c>
      <c r="S1546">
        <v>54.075299999999999</v>
      </c>
      <c r="U1546" s="1">
        <v>45897</v>
      </c>
      <c r="V1546">
        <v>48.804200000000002</v>
      </c>
    </row>
    <row r="1547" spans="15:22">
      <c r="O1547" s="1">
        <v>45898</v>
      </c>
      <c r="P1547">
        <v>32.052</v>
      </c>
      <c r="R1547" s="1">
        <v>45898</v>
      </c>
      <c r="S1547">
        <v>53.192700000000002</v>
      </c>
      <c r="U1547" s="1">
        <v>45898</v>
      </c>
      <c r="V1547">
        <v>48.075499999999998</v>
      </c>
    </row>
    <row r="1548" spans="15:22">
      <c r="O1548" s="1">
        <v>45899</v>
      </c>
      <c r="P1548">
        <v>32.052</v>
      </c>
      <c r="R1548" s="1">
        <v>45899</v>
      </c>
      <c r="S1548">
        <v>53.192700000000002</v>
      </c>
      <c r="U1548" s="1">
        <v>45899</v>
      </c>
      <c r="V1548">
        <v>48.075499999999998</v>
      </c>
    </row>
    <row r="1549" spans="15:22">
      <c r="O1549" s="1">
        <v>45900</v>
      </c>
      <c r="P1549">
        <v>32.052</v>
      </c>
      <c r="R1549" s="1">
        <v>45900</v>
      </c>
      <c r="S1549">
        <v>53.192700000000002</v>
      </c>
      <c r="U1549" s="1">
        <v>45900</v>
      </c>
      <c r="V1549">
        <v>48.075499999999998</v>
      </c>
    </row>
    <row r="1550" spans="15:22">
      <c r="O1550" s="1">
        <v>45901</v>
      </c>
      <c r="P1550">
        <v>31.383400000000002</v>
      </c>
      <c r="R1550" s="1">
        <v>45901</v>
      </c>
      <c r="S1550">
        <v>54.058700000000002</v>
      </c>
      <c r="U1550" s="1">
        <v>45901</v>
      </c>
      <c r="V1550">
        <v>48.075499999999998</v>
      </c>
    </row>
    <row r="1551" spans="15:22">
      <c r="O1551" s="1">
        <v>45902</v>
      </c>
      <c r="P1551">
        <v>26.953800000000001</v>
      </c>
      <c r="R1551" s="1">
        <v>45902</v>
      </c>
      <c r="S1551">
        <v>50.533700000000003</v>
      </c>
      <c r="U1551" s="1">
        <v>45902</v>
      </c>
      <c r="V1551">
        <v>45.3108</v>
      </c>
    </row>
    <row r="1552" spans="15:22">
      <c r="O1552" s="1">
        <v>45903</v>
      </c>
      <c r="P1552">
        <v>24.948</v>
      </c>
      <c r="R1552" s="1">
        <v>45903</v>
      </c>
      <c r="S1552">
        <v>51.2224</v>
      </c>
      <c r="U1552" s="1">
        <v>45903</v>
      </c>
      <c r="V1552">
        <v>45.032200000000003</v>
      </c>
    </row>
    <row r="1553" spans="15:22">
      <c r="O1553" s="1">
        <v>45904</v>
      </c>
      <c r="P1553">
        <v>24.4465</v>
      </c>
      <c r="R1553" s="1">
        <v>45904</v>
      </c>
      <c r="S1553">
        <v>52.3474</v>
      </c>
      <c r="U1553" s="1">
        <v>45904</v>
      </c>
      <c r="V1553">
        <v>45.718000000000004</v>
      </c>
    </row>
    <row r="1554" spans="15:22">
      <c r="O1554" s="1">
        <v>45905</v>
      </c>
      <c r="P1554">
        <v>26.3688</v>
      </c>
      <c r="R1554" s="1">
        <v>45905</v>
      </c>
      <c r="S1554">
        <v>51.236400000000003</v>
      </c>
      <c r="U1554" s="1">
        <v>45905</v>
      </c>
      <c r="V1554">
        <v>43.381900000000002</v>
      </c>
    </row>
    <row r="1555" spans="15:22">
      <c r="O1555" s="1">
        <v>45906</v>
      </c>
      <c r="P1555">
        <v>26.3688</v>
      </c>
      <c r="R1555" s="1">
        <v>45906</v>
      </c>
      <c r="S1555">
        <v>51.236400000000003</v>
      </c>
      <c r="U1555" s="1">
        <v>45906</v>
      </c>
      <c r="V1555">
        <v>43.381900000000002</v>
      </c>
    </row>
    <row r="1556" spans="15:22">
      <c r="O1556" s="1">
        <v>45907</v>
      </c>
      <c r="P1556">
        <v>26.3688</v>
      </c>
      <c r="R1556" s="1">
        <v>45907</v>
      </c>
      <c r="S1556">
        <v>51.236400000000003</v>
      </c>
      <c r="U1556" s="1">
        <v>45907</v>
      </c>
      <c r="V1556">
        <v>43.381900000000002</v>
      </c>
    </row>
    <row r="1557" spans="15:22">
      <c r="O1557" s="1">
        <v>45908</v>
      </c>
      <c r="P1557">
        <v>29.126799999999999</v>
      </c>
      <c r="R1557" s="1">
        <v>45908</v>
      </c>
      <c r="S1557">
        <v>52.583300000000001</v>
      </c>
      <c r="U1557" s="1">
        <v>45908</v>
      </c>
      <c r="V1557">
        <v>43.338999999999999</v>
      </c>
    </row>
    <row r="1558" spans="15:22">
      <c r="O1558" s="1">
        <v>45909</v>
      </c>
      <c r="P1558">
        <v>28.7089</v>
      </c>
      <c r="R1558" s="1">
        <v>45909</v>
      </c>
      <c r="S1558">
        <v>52.014899999999997</v>
      </c>
      <c r="U1558" s="1">
        <v>45909</v>
      </c>
      <c r="V1558">
        <v>44.3249</v>
      </c>
    </row>
    <row r="1559" spans="15:22">
      <c r="O1559" s="1">
        <v>45910</v>
      </c>
      <c r="P1559">
        <v>26.452300000000001</v>
      </c>
      <c r="R1559" s="1">
        <v>45910</v>
      </c>
      <c r="S1559">
        <v>51.466999999999999</v>
      </c>
      <c r="U1559" s="1">
        <v>45910</v>
      </c>
      <c r="V1559">
        <v>46.018000000000001</v>
      </c>
    </row>
    <row r="1560" spans="15:22">
      <c r="O1560" s="1">
        <v>45911</v>
      </c>
      <c r="P1560">
        <v>27.7896</v>
      </c>
      <c r="R1560" s="1">
        <v>45911</v>
      </c>
      <c r="S1560">
        <v>51.920099999999998</v>
      </c>
      <c r="U1560" s="1">
        <v>45911</v>
      </c>
      <c r="V1560">
        <v>45.075000000000003</v>
      </c>
    </row>
    <row r="1561" spans="15:22">
      <c r="O1561" s="1">
        <v>45912</v>
      </c>
      <c r="P1561">
        <v>27.2881</v>
      </c>
      <c r="R1561" s="1">
        <v>45912</v>
      </c>
      <c r="S1561">
        <v>51.884799999999998</v>
      </c>
      <c r="U1561" s="1">
        <v>45912</v>
      </c>
      <c r="V1561">
        <v>42.588900000000002</v>
      </c>
    </row>
    <row r="1562" spans="15:22">
      <c r="O1562" s="1">
        <v>45913</v>
      </c>
      <c r="P1562">
        <v>27.2881</v>
      </c>
      <c r="R1562" s="1">
        <v>45913</v>
      </c>
      <c r="S1562">
        <v>51.884799999999998</v>
      </c>
      <c r="U1562" s="1">
        <v>45913</v>
      </c>
      <c r="V1562">
        <v>42.588900000000002</v>
      </c>
    </row>
    <row r="1563" spans="15:22">
      <c r="O1563" s="1">
        <v>45914</v>
      </c>
      <c r="P1563">
        <v>27.2881</v>
      </c>
      <c r="R1563" s="1">
        <v>45914</v>
      </c>
      <c r="S1563">
        <v>51.884799999999998</v>
      </c>
      <c r="U1563" s="1">
        <v>45914</v>
      </c>
      <c r="V1563">
        <v>42.588900000000002</v>
      </c>
    </row>
    <row r="1564" spans="15:22">
      <c r="O1564" s="1">
        <v>45915</v>
      </c>
      <c r="P1564">
        <v>28.040299999999998</v>
      </c>
      <c r="R1564" s="1">
        <v>45915</v>
      </c>
      <c r="S1564">
        <v>52.209800000000001</v>
      </c>
      <c r="U1564" s="1">
        <v>45915</v>
      </c>
      <c r="V1564">
        <v>43.639099999999999</v>
      </c>
    </row>
    <row r="1565" spans="15:22">
      <c r="O1565" s="1">
        <v>45916</v>
      </c>
      <c r="P1565">
        <v>27.204499999999999</v>
      </c>
      <c r="R1565" s="1">
        <v>45916</v>
      </c>
      <c r="S1565">
        <v>49.520400000000002</v>
      </c>
      <c r="U1565" s="1">
        <v>45916</v>
      </c>
      <c r="V1565">
        <v>43.446199999999997</v>
      </c>
    </row>
    <row r="1566" spans="15:22">
      <c r="O1566" s="1">
        <v>45917</v>
      </c>
      <c r="P1566">
        <v>27.120999999999999</v>
      </c>
      <c r="R1566" s="1">
        <v>45917</v>
      </c>
      <c r="S1566">
        <v>49.712299999999999</v>
      </c>
      <c r="U1566" s="1">
        <v>45917</v>
      </c>
      <c r="V1566">
        <v>45.139299999999999</v>
      </c>
    </row>
    <row r="1567" spans="15:22">
      <c r="O1567" s="1">
        <v>45918</v>
      </c>
      <c r="P1567">
        <v>27.120999999999999</v>
      </c>
      <c r="R1567" s="1">
        <v>45918</v>
      </c>
      <c r="S1567">
        <v>51.733400000000003</v>
      </c>
      <c r="U1567" s="1">
        <v>45918</v>
      </c>
      <c r="V1567">
        <v>47.196800000000003</v>
      </c>
    </row>
    <row r="1568" spans="15:22">
      <c r="O1568" s="1">
        <v>45919</v>
      </c>
      <c r="P1568">
        <v>24.8644</v>
      </c>
      <c r="R1568" s="1">
        <v>45919</v>
      </c>
      <c r="S1568">
        <v>51.508400000000002</v>
      </c>
      <c r="U1568" s="1">
        <v>45919</v>
      </c>
      <c r="V1568">
        <v>46.189500000000002</v>
      </c>
    </row>
    <row r="1569" spans="15:22">
      <c r="O1569" s="1">
        <v>45920</v>
      </c>
      <c r="P1569">
        <v>24.8644</v>
      </c>
      <c r="R1569" s="1">
        <v>45920</v>
      </c>
      <c r="S1569">
        <v>51.508400000000002</v>
      </c>
      <c r="U1569" s="1">
        <v>45920</v>
      </c>
      <c r="V1569">
        <v>46.189500000000002</v>
      </c>
    </row>
    <row r="1570" spans="15:22">
      <c r="O1570" s="1">
        <v>45921</v>
      </c>
      <c r="P1570">
        <v>24.8644</v>
      </c>
      <c r="R1570" s="1">
        <v>45921</v>
      </c>
      <c r="S1570">
        <v>51.508400000000002</v>
      </c>
      <c r="U1570" s="1">
        <v>45921</v>
      </c>
      <c r="V1570">
        <v>46.189500000000002</v>
      </c>
    </row>
    <row r="1571" spans="15:22">
      <c r="O1571" s="1">
        <v>45922</v>
      </c>
      <c r="P1571">
        <v>22.9421</v>
      </c>
      <c r="R1571" s="1">
        <v>45922</v>
      </c>
      <c r="S1571">
        <v>50.788200000000003</v>
      </c>
      <c r="U1571" s="1">
        <v>45922</v>
      </c>
      <c r="V1571">
        <v>45.203600000000002</v>
      </c>
    </row>
    <row r="1572" spans="15:22">
      <c r="O1572" s="1">
        <v>45923</v>
      </c>
      <c r="P1572">
        <v>24.530100000000001</v>
      </c>
      <c r="R1572" s="1">
        <v>45923</v>
      </c>
      <c r="S1572">
        <v>51.328400000000002</v>
      </c>
      <c r="U1572" s="1">
        <v>45923</v>
      </c>
      <c r="V1572">
        <v>44.753500000000003</v>
      </c>
    </row>
    <row r="1573" spans="15:22">
      <c r="O1573" s="1">
        <v>45924</v>
      </c>
      <c r="P1573">
        <v>21.4377</v>
      </c>
      <c r="R1573" s="1">
        <v>45924</v>
      </c>
      <c r="S1573">
        <v>51.683999999999997</v>
      </c>
      <c r="U1573" s="1">
        <v>45924</v>
      </c>
      <c r="V1573">
        <v>44.281999999999996</v>
      </c>
    </row>
    <row r="1574" spans="15:22">
      <c r="O1574" s="1">
        <v>45925</v>
      </c>
      <c r="P1574">
        <v>18.010999999999999</v>
      </c>
      <c r="R1574" s="1">
        <v>45925</v>
      </c>
      <c r="S1574">
        <v>50.838099999999997</v>
      </c>
      <c r="U1574" s="1">
        <v>45925</v>
      </c>
      <c r="V1574">
        <v>45.417900000000003</v>
      </c>
    </row>
    <row r="1575" spans="15:22">
      <c r="O1575" s="1">
        <v>45926</v>
      </c>
      <c r="P1575">
        <v>15.0023</v>
      </c>
      <c r="R1575" s="1">
        <v>45926</v>
      </c>
      <c r="S1575">
        <v>52.149700000000003</v>
      </c>
      <c r="U1575" s="1">
        <v>45926</v>
      </c>
      <c r="V1575">
        <v>44.067700000000002</v>
      </c>
    </row>
    <row r="1576" spans="15:22">
      <c r="O1576" s="1">
        <v>45927</v>
      </c>
      <c r="P1576">
        <v>15.0023</v>
      </c>
      <c r="R1576" s="1">
        <v>45927</v>
      </c>
      <c r="S1576">
        <v>52.149700000000003</v>
      </c>
      <c r="U1576" s="1">
        <v>45927</v>
      </c>
      <c r="V1576">
        <v>44.067700000000002</v>
      </c>
    </row>
    <row r="1577" spans="15:22">
      <c r="O1577" s="1">
        <v>45928</v>
      </c>
      <c r="P1577">
        <v>15.0023</v>
      </c>
      <c r="R1577" s="1">
        <v>45928</v>
      </c>
      <c r="S1577">
        <v>52.149700000000003</v>
      </c>
      <c r="U1577" s="1">
        <v>45928</v>
      </c>
      <c r="V1577">
        <v>44.067700000000002</v>
      </c>
    </row>
    <row r="1578" spans="15:22">
      <c r="O1578" s="1">
        <v>45929</v>
      </c>
      <c r="P1578">
        <v>15.085800000000001</v>
      </c>
      <c r="R1578" s="1">
        <v>45929</v>
      </c>
      <c r="S1578">
        <v>52.185499999999998</v>
      </c>
      <c r="U1578" s="1">
        <v>45929</v>
      </c>
      <c r="V1578">
        <v>45.139299999999999</v>
      </c>
    </row>
    <row r="1579" spans="15:22">
      <c r="O1579" s="1">
        <v>45930</v>
      </c>
      <c r="P1579">
        <v>13.9993</v>
      </c>
      <c r="R1579" s="1">
        <v>45930</v>
      </c>
      <c r="S1579">
        <v>53.055</v>
      </c>
      <c r="U1579" s="1">
        <v>45930</v>
      </c>
      <c r="V1579">
        <v>46.639600000000002</v>
      </c>
    </row>
    <row r="1580" spans="15:22">
      <c r="O1580" s="1">
        <v>45931</v>
      </c>
      <c r="P1580">
        <v>14.2501</v>
      </c>
      <c r="R1580" s="1">
        <v>45931</v>
      </c>
      <c r="S1580">
        <v>54.547600000000003</v>
      </c>
      <c r="U1580" s="1">
        <v>45931</v>
      </c>
      <c r="V1580">
        <v>47.346800000000002</v>
      </c>
    </row>
    <row r="1581" spans="15:22">
      <c r="O1581" s="1">
        <v>45932</v>
      </c>
      <c r="P1581">
        <v>15.0023</v>
      </c>
      <c r="R1581" s="1">
        <v>45932</v>
      </c>
      <c r="S1581">
        <v>56.527700000000003</v>
      </c>
      <c r="U1581" s="1">
        <v>45932</v>
      </c>
      <c r="V1581">
        <v>46.403799999999997</v>
      </c>
    </row>
    <row r="1582" spans="15:22">
      <c r="O1582" s="1">
        <v>45933</v>
      </c>
      <c r="P1582">
        <v>17.342400000000001</v>
      </c>
      <c r="R1582" s="1">
        <v>45933</v>
      </c>
      <c r="S1582">
        <v>56.247199999999999</v>
      </c>
      <c r="U1582" s="1">
        <v>45933</v>
      </c>
      <c r="V1582">
        <v>46.4467</v>
      </c>
    </row>
    <row r="1583" spans="15:22">
      <c r="O1583" s="1">
        <v>45934</v>
      </c>
      <c r="P1583">
        <v>17.342400000000001</v>
      </c>
      <c r="R1583" s="1">
        <v>45934</v>
      </c>
      <c r="S1583">
        <v>56.247199999999999</v>
      </c>
      <c r="U1583" s="1">
        <v>45934</v>
      </c>
      <c r="V1583">
        <v>46.4467</v>
      </c>
    </row>
    <row r="1584" spans="15:22">
      <c r="O1584" s="1">
        <v>45935</v>
      </c>
      <c r="P1584">
        <v>17.342400000000001</v>
      </c>
      <c r="R1584" s="1">
        <v>45935</v>
      </c>
      <c r="S1584">
        <v>56.247199999999999</v>
      </c>
      <c r="U1584" s="1">
        <v>45935</v>
      </c>
      <c r="V1584">
        <v>46.4467</v>
      </c>
    </row>
    <row r="1585" spans="15:22">
      <c r="O1585" s="1">
        <v>45936</v>
      </c>
      <c r="P1585">
        <v>16.6738</v>
      </c>
      <c r="R1585" s="1">
        <v>45936</v>
      </c>
      <c r="S1585">
        <v>56.243899999999996</v>
      </c>
      <c r="U1585" s="1">
        <v>45936</v>
      </c>
      <c r="V1585">
        <v>48.581299999999999</v>
      </c>
    </row>
    <row r="1586" spans="15:22">
      <c r="O1586" s="1">
        <v>45937</v>
      </c>
      <c r="P1586">
        <v>13.163600000000001</v>
      </c>
      <c r="R1586" s="1">
        <v>45937</v>
      </c>
      <c r="S1586">
        <v>56.292000000000002</v>
      </c>
      <c r="U1586" s="1">
        <v>45937</v>
      </c>
      <c r="V1586">
        <v>48.743000000000002</v>
      </c>
    </row>
    <row r="1587" spans="15:22">
      <c r="O1587" s="1">
        <v>45938</v>
      </c>
      <c r="P1587">
        <v>11.993499999999999</v>
      </c>
      <c r="R1587" s="1">
        <v>45938</v>
      </c>
      <c r="S1587">
        <v>57.646500000000003</v>
      </c>
      <c r="U1587" s="1">
        <v>45938</v>
      </c>
      <c r="V1587">
        <v>51.643000000000001</v>
      </c>
    </row>
    <row r="1588" spans="15:22">
      <c r="O1588" s="1">
        <v>45939</v>
      </c>
      <c r="P1588">
        <v>11.5756</v>
      </c>
      <c r="R1588" s="1">
        <v>45939</v>
      </c>
      <c r="S1588">
        <v>57.737000000000002</v>
      </c>
      <c r="U1588" s="1">
        <v>45939</v>
      </c>
      <c r="V1588">
        <v>50.845300000000002</v>
      </c>
    </row>
    <row r="1589" spans="15:22">
      <c r="O1589" s="1">
        <v>45940</v>
      </c>
      <c r="P1589">
        <v>9.6532999999999998</v>
      </c>
      <c r="R1589" s="1">
        <v>45940</v>
      </c>
      <c r="S1589">
        <v>55.366999999999997</v>
      </c>
      <c r="U1589" s="1">
        <v>45940</v>
      </c>
      <c r="V1589">
        <v>46.489800000000002</v>
      </c>
    </row>
    <row r="1590" spans="15:22">
      <c r="O1590" s="1">
        <v>45941</v>
      </c>
      <c r="P1590">
        <v>9.6532999999999998</v>
      </c>
      <c r="R1590" s="1">
        <v>45941</v>
      </c>
      <c r="S1590">
        <v>55.366999999999997</v>
      </c>
      <c r="U1590" s="1">
        <v>45941</v>
      </c>
      <c r="V1590">
        <v>46.489800000000002</v>
      </c>
    </row>
    <row r="1591" spans="15:22">
      <c r="O1591" s="1">
        <v>45942</v>
      </c>
      <c r="P1591">
        <v>9.6532999999999998</v>
      </c>
      <c r="R1591" s="1">
        <v>45942</v>
      </c>
      <c r="S1591">
        <v>55.366999999999997</v>
      </c>
      <c r="U1591" s="1">
        <v>45942</v>
      </c>
      <c r="V1591">
        <v>46.489800000000002</v>
      </c>
    </row>
    <row r="1592" spans="15:22">
      <c r="O1592" s="1">
        <v>45943</v>
      </c>
      <c r="P1592">
        <v>10.990600000000001</v>
      </c>
      <c r="R1592" s="1">
        <v>45943</v>
      </c>
      <c r="S1592">
        <v>56.305700000000002</v>
      </c>
      <c r="U1592" s="1">
        <v>45943</v>
      </c>
      <c r="V1592">
        <v>45.454799999999999</v>
      </c>
    </row>
    <row r="1593" spans="15:22">
      <c r="O1593" s="1">
        <v>45944</v>
      </c>
      <c r="P1593">
        <v>9.3190000000000008</v>
      </c>
      <c r="R1593" s="1">
        <v>45944</v>
      </c>
      <c r="S1593">
        <v>55.338000000000001</v>
      </c>
      <c r="U1593" s="1">
        <v>45944</v>
      </c>
      <c r="V1593">
        <v>48.042200000000001</v>
      </c>
    </row>
    <row r="1594" spans="15:22">
      <c r="O1594" s="1">
        <v>45945</v>
      </c>
      <c r="P1594">
        <v>9.4862000000000002</v>
      </c>
      <c r="R1594" s="1">
        <v>45945</v>
      </c>
      <c r="S1594">
        <v>54.981900000000003</v>
      </c>
      <c r="U1594" s="1">
        <v>45945</v>
      </c>
      <c r="V1594">
        <v>49.896500000000003</v>
      </c>
    </row>
    <row r="1595" spans="15:22">
      <c r="O1595" s="1">
        <v>45946</v>
      </c>
      <c r="P1595">
        <v>11.0741</v>
      </c>
      <c r="R1595" s="1">
        <v>45946</v>
      </c>
      <c r="S1595">
        <v>55.563899999999997</v>
      </c>
      <c r="U1595" s="1">
        <v>45946</v>
      </c>
      <c r="V1595">
        <v>48.9694</v>
      </c>
    </row>
    <row r="1596" spans="15:22">
      <c r="O1596" s="1">
        <v>45947</v>
      </c>
      <c r="P1596">
        <v>8.1488999999999994</v>
      </c>
      <c r="R1596" s="1">
        <v>45947</v>
      </c>
      <c r="S1596">
        <v>52.736199999999997</v>
      </c>
      <c r="U1596" s="1">
        <v>45947</v>
      </c>
      <c r="V1596">
        <v>51.211799999999997</v>
      </c>
    </row>
    <row r="1597" spans="15:22">
      <c r="O1597" s="1">
        <v>45948</v>
      </c>
      <c r="P1597">
        <v>8.1488999999999994</v>
      </c>
      <c r="R1597" s="1">
        <v>45948</v>
      </c>
      <c r="S1597">
        <v>52.736199999999997</v>
      </c>
      <c r="U1597" s="1">
        <v>45948</v>
      </c>
      <c r="V1597">
        <v>51.211799999999997</v>
      </c>
    </row>
    <row r="1598" spans="15:22">
      <c r="O1598" s="1">
        <v>45949</v>
      </c>
      <c r="P1598">
        <v>8.1488999999999994</v>
      </c>
      <c r="R1598" s="1">
        <v>45949</v>
      </c>
      <c r="S1598">
        <v>52.736199999999997</v>
      </c>
      <c r="U1598" s="1">
        <v>45949</v>
      </c>
      <c r="V1598">
        <v>51.211799999999997</v>
      </c>
    </row>
    <row r="1599" spans="15:22">
      <c r="O1599" s="1">
        <v>45950</v>
      </c>
      <c r="P1599">
        <v>9.8204999999999991</v>
      </c>
      <c r="R1599" s="1">
        <v>45950</v>
      </c>
      <c r="S1599">
        <v>55.478099999999998</v>
      </c>
      <c r="U1599" s="1">
        <v>45950</v>
      </c>
      <c r="V1599">
        <v>52.332999999999998</v>
      </c>
    </row>
    <row r="1600" spans="15:22">
      <c r="O1600" s="1">
        <v>45951</v>
      </c>
      <c r="P1600">
        <v>9.5696999999999992</v>
      </c>
      <c r="R1600" s="1">
        <v>45951</v>
      </c>
      <c r="S1600">
        <v>55.934600000000003</v>
      </c>
      <c r="U1600" s="1">
        <v>45951</v>
      </c>
      <c r="V1600">
        <v>52.483899999999998</v>
      </c>
    </row>
    <row r="1601" spans="15:22">
      <c r="O1601" s="1">
        <v>45952</v>
      </c>
      <c r="P1601">
        <v>9.4862000000000002</v>
      </c>
      <c r="R1601" s="1">
        <v>45952</v>
      </c>
      <c r="S1601">
        <v>54.787999999999997</v>
      </c>
      <c r="U1601" s="1">
        <v>45952</v>
      </c>
      <c r="V1601">
        <v>52.354599999999998</v>
      </c>
    </row>
    <row r="1602" spans="15:22">
      <c r="O1602" s="1">
        <v>45953</v>
      </c>
      <c r="P1602">
        <v>9.8204999999999991</v>
      </c>
      <c r="R1602" s="1">
        <v>45953</v>
      </c>
      <c r="S1602">
        <v>55.151200000000003</v>
      </c>
      <c r="U1602" s="1">
        <v>45953</v>
      </c>
      <c r="V1602">
        <v>51.5137</v>
      </c>
    </row>
    <row r="1603" spans="15:22">
      <c r="O1603" s="1">
        <v>45954</v>
      </c>
      <c r="P1603">
        <v>10.6562</v>
      </c>
      <c r="R1603" s="1">
        <v>45954</v>
      </c>
      <c r="S1603">
        <v>55.356900000000003</v>
      </c>
      <c r="U1603" s="1">
        <v>45954</v>
      </c>
      <c r="V1603">
        <v>52.289900000000003</v>
      </c>
    </row>
    <row r="1604" spans="15:22">
      <c r="O1604" s="1">
        <v>45955</v>
      </c>
      <c r="P1604">
        <v>10.6562</v>
      </c>
      <c r="R1604" s="1">
        <v>45955</v>
      </c>
      <c r="S1604">
        <v>55.356900000000003</v>
      </c>
      <c r="U1604" s="1">
        <v>45955</v>
      </c>
      <c r="V1604">
        <v>52.289900000000003</v>
      </c>
    </row>
    <row r="1605" spans="15:22">
      <c r="O1605" s="1">
        <v>45956</v>
      </c>
      <c r="P1605">
        <v>10.6562</v>
      </c>
      <c r="R1605" s="1">
        <v>45956</v>
      </c>
      <c r="S1605">
        <v>55.356900000000003</v>
      </c>
      <c r="U1605" s="1">
        <v>45956</v>
      </c>
      <c r="V1605">
        <v>52.289900000000003</v>
      </c>
    </row>
    <row r="1606" spans="15:22">
      <c r="O1606" s="1">
        <v>45957</v>
      </c>
      <c r="P1606">
        <v>11.993499999999999</v>
      </c>
      <c r="R1606" s="1">
        <v>45957</v>
      </c>
      <c r="S1606">
        <v>55.798400000000001</v>
      </c>
      <c r="U1606" s="1">
        <v>45957</v>
      </c>
      <c r="V1606">
        <v>53.928600000000003</v>
      </c>
    </row>
    <row r="1607" spans="15:22">
      <c r="O1607" s="1">
        <v>45958</v>
      </c>
      <c r="P1607">
        <v>12.4114</v>
      </c>
      <c r="R1607" s="1">
        <v>45958</v>
      </c>
      <c r="S1607">
        <v>55.605200000000004</v>
      </c>
      <c r="U1607" s="1">
        <v>45958</v>
      </c>
      <c r="V1607">
        <v>56.5807</v>
      </c>
    </row>
    <row r="1608" spans="15:22">
      <c r="O1608" s="1">
        <v>45959</v>
      </c>
      <c r="P1608">
        <v>15.5037</v>
      </c>
      <c r="R1608" s="1">
        <v>45959</v>
      </c>
      <c r="S1608">
        <v>54.615499999999997</v>
      </c>
      <c r="U1608" s="1">
        <v>45959</v>
      </c>
      <c r="V1608">
        <v>53.799199999999999</v>
      </c>
    </row>
    <row r="1609" spans="15:22">
      <c r="O1609" s="1">
        <v>45960</v>
      </c>
      <c r="P1609">
        <v>16.590199999999999</v>
      </c>
      <c r="R1609" s="1">
        <v>45960</v>
      </c>
      <c r="S1609">
        <v>54.581400000000002</v>
      </c>
      <c r="U1609" s="1">
        <v>45960</v>
      </c>
      <c r="V1609">
        <v>57.2059</v>
      </c>
    </row>
    <row r="1610" spans="15:22">
      <c r="O1610" s="1">
        <v>45961</v>
      </c>
      <c r="P1610">
        <v>16.339500000000001</v>
      </c>
      <c r="R1610" s="1">
        <v>45961</v>
      </c>
      <c r="S1610">
        <v>53.552199999999999</v>
      </c>
      <c r="U1610" s="1">
        <v>45961</v>
      </c>
      <c r="V1610">
        <v>57.6372</v>
      </c>
    </row>
    <row r="1611" spans="15:22">
      <c r="O1611" s="1">
        <v>45962</v>
      </c>
      <c r="P1611">
        <v>16.339500000000001</v>
      </c>
      <c r="R1611" s="1">
        <v>45962</v>
      </c>
      <c r="S1611">
        <v>53.552199999999999</v>
      </c>
      <c r="U1611" s="1">
        <v>45962</v>
      </c>
      <c r="V1611">
        <v>57.6372</v>
      </c>
    </row>
    <row r="1612" spans="15:22">
      <c r="O1612" s="1">
        <v>45963</v>
      </c>
      <c r="P1612">
        <v>16.339500000000001</v>
      </c>
      <c r="R1612" s="1">
        <v>45963</v>
      </c>
      <c r="S1612">
        <v>53.552199999999999</v>
      </c>
      <c r="U1612" s="1">
        <v>45963</v>
      </c>
      <c r="V1612">
        <v>57.6372</v>
      </c>
    </row>
    <row r="1613" spans="15:22">
      <c r="O1613" s="1">
        <v>45964</v>
      </c>
      <c r="P1613">
        <v>15.9216</v>
      </c>
      <c r="R1613" s="1">
        <v>45964</v>
      </c>
      <c r="S1613">
        <v>54.668100000000003</v>
      </c>
      <c r="U1613" s="1">
        <v>45964</v>
      </c>
      <c r="V1613">
        <v>60.526400000000002</v>
      </c>
    </row>
    <row r="1614" spans="15:22">
      <c r="O1614" s="1">
        <v>45965</v>
      </c>
      <c r="P1614">
        <v>13.664999999999999</v>
      </c>
      <c r="R1614" s="1">
        <v>45965</v>
      </c>
      <c r="S1614">
        <v>53.493299999999998</v>
      </c>
      <c r="U1614" s="1">
        <v>45965</v>
      </c>
      <c r="V1614">
        <v>55.933799999999998</v>
      </c>
    </row>
    <row r="1615" spans="15:22">
      <c r="O1615" s="1">
        <v>45966</v>
      </c>
      <c r="P1615">
        <v>17.342400000000001</v>
      </c>
      <c r="R1615" s="1">
        <v>45966</v>
      </c>
      <c r="S1615">
        <v>54.138199999999998</v>
      </c>
      <c r="U1615" s="1">
        <v>45966</v>
      </c>
      <c r="V1615">
        <v>55.459400000000002</v>
      </c>
    </row>
    <row r="1616" spans="15:22">
      <c r="O1616" s="1">
        <v>45967</v>
      </c>
      <c r="P1616">
        <v>15.7545</v>
      </c>
      <c r="R1616" s="1">
        <v>45967</v>
      </c>
      <c r="S1616">
        <v>52.114699999999999</v>
      </c>
      <c r="U1616" s="1">
        <v>45967</v>
      </c>
      <c r="V1616">
        <v>53.173900000000003</v>
      </c>
    </row>
    <row r="1617" spans="15:22">
      <c r="O1617" s="1">
        <v>45968</v>
      </c>
      <c r="P1617">
        <v>15.587300000000001</v>
      </c>
      <c r="R1617" s="1">
        <v>45968</v>
      </c>
      <c r="S1617">
        <v>51.063200000000002</v>
      </c>
      <c r="U1617" s="1">
        <v>45968</v>
      </c>
      <c r="V1617">
        <v>53.238599999999998</v>
      </c>
    </row>
    <row r="1618" spans="15:22">
      <c r="O1618" s="1">
        <v>45969</v>
      </c>
      <c r="P1618">
        <v>15.587300000000001</v>
      </c>
      <c r="R1618" s="1">
        <v>45969</v>
      </c>
      <c r="S1618">
        <v>51.063200000000002</v>
      </c>
      <c r="U1618" s="1">
        <v>45969</v>
      </c>
      <c r="V1618">
        <v>53.238599999999998</v>
      </c>
    </row>
    <row r="1619" spans="15:22">
      <c r="O1619" s="1">
        <v>45970</v>
      </c>
      <c r="P1619">
        <v>15.587300000000001</v>
      </c>
      <c r="R1619" s="1">
        <v>45970</v>
      </c>
      <c r="S1619">
        <v>51.063200000000002</v>
      </c>
      <c r="U1619" s="1">
        <v>45970</v>
      </c>
      <c r="V1619">
        <v>53.238599999999998</v>
      </c>
    </row>
    <row r="1620" spans="15:22">
      <c r="O1620" s="1">
        <v>45971</v>
      </c>
      <c r="P1620">
        <v>16.924499999999998</v>
      </c>
      <c r="R1620" s="1">
        <v>45971</v>
      </c>
      <c r="S1620">
        <v>53.563000000000002</v>
      </c>
      <c r="U1620" s="1">
        <v>45971</v>
      </c>
      <c r="V1620">
        <v>55.437899999999999</v>
      </c>
    </row>
    <row r="1621" spans="15:22">
      <c r="O1621" s="1">
        <v>45972</v>
      </c>
      <c r="P1621">
        <v>18.512499999999999</v>
      </c>
      <c r="R1621" s="1">
        <v>45972</v>
      </c>
      <c r="S1621">
        <v>54.383800000000001</v>
      </c>
      <c r="U1621" s="1">
        <v>45972</v>
      </c>
      <c r="V1621">
        <v>54.618499999999997</v>
      </c>
    </row>
    <row r="1622" spans="15:22">
      <c r="O1622" s="1">
        <v>45973</v>
      </c>
      <c r="P1622">
        <v>21.187000000000001</v>
      </c>
      <c r="R1622" s="1">
        <v>45973</v>
      </c>
      <c r="S1622">
        <v>56.264299999999999</v>
      </c>
      <c r="U1622" s="1">
        <v>45973</v>
      </c>
      <c r="V1622">
        <v>59.469900000000003</v>
      </c>
    </row>
    <row r="1623" spans="15:22">
      <c r="O1623" s="1">
        <v>45974</v>
      </c>
      <c r="P1623">
        <v>21.187000000000001</v>
      </c>
      <c r="R1623" s="1">
        <v>45974</v>
      </c>
      <c r="S1623">
        <v>54.086199999999998</v>
      </c>
      <c r="U1623" s="1">
        <v>45974</v>
      </c>
      <c r="V1623">
        <v>66.843999999999994</v>
      </c>
    </row>
    <row r="1624" spans="15:22">
      <c r="O1624" s="1">
        <v>45975</v>
      </c>
      <c r="P1624">
        <v>18.6797</v>
      </c>
      <c r="R1624" s="1">
        <v>45975</v>
      </c>
      <c r="S1624">
        <v>53.028199999999998</v>
      </c>
      <c r="U1624" s="1">
        <v>45975</v>
      </c>
      <c r="V1624">
        <v>68.180800000000005</v>
      </c>
    </row>
    <row r="1625" spans="15:22">
      <c r="O1625" s="1">
        <v>45976</v>
      </c>
      <c r="P1625">
        <v>18.6797</v>
      </c>
      <c r="R1625" s="1">
        <v>45976</v>
      </c>
      <c r="S1625">
        <v>53.028199999999998</v>
      </c>
      <c r="U1625" s="1">
        <v>45976</v>
      </c>
      <c r="V1625">
        <v>68.180800000000005</v>
      </c>
    </row>
    <row r="1626" spans="15:22">
      <c r="O1626" s="1">
        <v>45977</v>
      </c>
      <c r="P1626">
        <v>18.6797</v>
      </c>
      <c r="R1626" s="1">
        <v>45977</v>
      </c>
      <c r="S1626">
        <v>53.028199999999998</v>
      </c>
      <c r="U1626" s="1">
        <v>45977</v>
      </c>
      <c r="V1626">
        <v>68.180800000000005</v>
      </c>
    </row>
    <row r="1627" spans="15:22">
      <c r="O1627" s="1">
        <v>45978</v>
      </c>
      <c r="P1627">
        <v>17.091699999999999</v>
      </c>
      <c r="R1627" s="1">
        <v>45978</v>
      </c>
      <c r="S1627">
        <v>51.195</v>
      </c>
      <c r="U1627" s="1">
        <v>45978</v>
      </c>
      <c r="V1627">
        <v>67.706500000000005</v>
      </c>
    </row>
    <row r="1628" spans="15:22">
      <c r="O1628" s="1">
        <v>45979</v>
      </c>
      <c r="P1628">
        <v>15.336600000000001</v>
      </c>
      <c r="R1628" s="1">
        <v>45979</v>
      </c>
      <c r="S1628">
        <v>48.567300000000003</v>
      </c>
      <c r="U1628" s="1">
        <v>45979</v>
      </c>
      <c r="V1628">
        <v>66.822400000000002</v>
      </c>
    </row>
    <row r="1629" spans="15:22">
      <c r="O1629" s="1">
        <v>45980</v>
      </c>
      <c r="P1629">
        <v>19.431899999999999</v>
      </c>
      <c r="R1629" s="1">
        <v>45980</v>
      </c>
      <c r="S1629">
        <v>48.454500000000003</v>
      </c>
      <c r="U1629" s="1">
        <v>45980</v>
      </c>
      <c r="V1629">
        <v>69.021699999999996</v>
      </c>
    </row>
    <row r="1630" spans="15:22">
      <c r="O1630" s="1">
        <v>45981</v>
      </c>
      <c r="P1630">
        <v>16.1723</v>
      </c>
      <c r="R1630" s="1">
        <v>45981</v>
      </c>
      <c r="S1630">
        <v>49.197499999999998</v>
      </c>
      <c r="U1630" s="1">
        <v>45981</v>
      </c>
      <c r="V1630">
        <v>62.661000000000001</v>
      </c>
    </row>
    <row r="1631" spans="15:22">
      <c r="O1631" s="1">
        <v>45982</v>
      </c>
      <c r="P1631">
        <v>18.930399999999999</v>
      </c>
      <c r="R1631" s="1">
        <v>45982</v>
      </c>
      <c r="S1631">
        <v>47.999099999999999</v>
      </c>
      <c r="U1631" s="1">
        <v>45982</v>
      </c>
      <c r="V1631">
        <v>64.084100000000007</v>
      </c>
    </row>
    <row r="1632" spans="15:22">
      <c r="O1632" s="1">
        <v>45983</v>
      </c>
      <c r="P1632">
        <v>18.930399999999999</v>
      </c>
      <c r="R1632" s="1">
        <v>45983</v>
      </c>
      <c r="S1632">
        <v>47.999099999999999</v>
      </c>
      <c r="U1632" s="1">
        <v>45983</v>
      </c>
      <c r="V1632">
        <v>64.084100000000007</v>
      </c>
    </row>
    <row r="1633" spans="15:22">
      <c r="O1633" s="1">
        <v>45984</v>
      </c>
      <c r="P1633">
        <v>18.930399999999999</v>
      </c>
      <c r="R1633" s="1">
        <v>45984</v>
      </c>
      <c r="S1633">
        <v>47.999099999999999</v>
      </c>
      <c r="U1633" s="1">
        <v>45984</v>
      </c>
      <c r="V1633">
        <v>64.084100000000007</v>
      </c>
    </row>
    <row r="1634" spans="15:22">
      <c r="O1634" s="1">
        <v>45985</v>
      </c>
      <c r="P1634">
        <v>20.936199999999999</v>
      </c>
      <c r="R1634" s="1">
        <v>45985</v>
      </c>
      <c r="S1634">
        <v>48.943199999999997</v>
      </c>
      <c r="U1634" s="1">
        <v>45985</v>
      </c>
      <c r="V1634">
        <v>64.385999999999996</v>
      </c>
    </row>
    <row r="1635" spans="15:22">
      <c r="O1635" s="1">
        <v>45986</v>
      </c>
      <c r="P1635">
        <v>23.276399999999999</v>
      </c>
      <c r="R1635" s="1">
        <v>45986</v>
      </c>
      <c r="S1635">
        <v>50.388199999999998</v>
      </c>
      <c r="U1635" s="1">
        <v>45986</v>
      </c>
      <c r="V1635">
        <v>64.558499999999995</v>
      </c>
    </row>
    <row r="1636" spans="15:22">
      <c r="O1636" s="1">
        <v>45987</v>
      </c>
      <c r="P1636">
        <v>22.5242</v>
      </c>
      <c r="R1636" s="1">
        <v>45987</v>
      </c>
      <c r="S1636">
        <v>52.064700000000002</v>
      </c>
      <c r="U1636" s="1">
        <v>45987</v>
      </c>
      <c r="V1636">
        <v>64.019400000000005</v>
      </c>
    </row>
    <row r="1637" spans="15:22">
      <c r="O1637" s="1">
        <v>45988</v>
      </c>
      <c r="P1637">
        <v>22.858499999999999</v>
      </c>
      <c r="R1637" s="1">
        <v>45988</v>
      </c>
      <c r="S1637">
        <v>52.332299999999996</v>
      </c>
      <c r="U1637" s="1">
        <v>45988</v>
      </c>
      <c r="V1637">
        <v>64.019400000000005</v>
      </c>
    </row>
    <row r="1638" spans="15:22">
      <c r="O1638" s="1">
        <v>45989</v>
      </c>
      <c r="P1638">
        <v>22.691400000000002</v>
      </c>
      <c r="R1638" s="1">
        <v>45989</v>
      </c>
      <c r="S1638">
        <v>52.773400000000002</v>
      </c>
      <c r="U1638" s="1">
        <v>45989</v>
      </c>
      <c r="V1638">
        <v>65.895300000000006</v>
      </c>
    </row>
    <row r="1639" spans="15:22">
      <c r="O1639" s="1">
        <v>45990</v>
      </c>
      <c r="P1639">
        <v>22.691400000000002</v>
      </c>
      <c r="R1639" s="1">
        <v>45990</v>
      </c>
      <c r="S1639">
        <v>52.773400000000002</v>
      </c>
      <c r="U1639" s="1">
        <v>45990</v>
      </c>
      <c r="V1639">
        <v>65.895300000000006</v>
      </c>
    </row>
    <row r="1640" spans="15:22">
      <c r="O1640" s="1">
        <v>45991</v>
      </c>
      <c r="P1640">
        <v>22.691400000000002</v>
      </c>
      <c r="R1640" s="1">
        <v>45991</v>
      </c>
      <c r="S1640">
        <v>52.773400000000002</v>
      </c>
      <c r="U1640" s="1">
        <v>45991</v>
      </c>
      <c r="V1640">
        <v>65.895300000000006</v>
      </c>
    </row>
    <row r="1641" spans="15:22">
      <c r="O1641" s="1">
        <v>45992</v>
      </c>
      <c r="P1641">
        <v>20.685500000000001</v>
      </c>
      <c r="R1641" s="1">
        <v>45992</v>
      </c>
      <c r="S1641">
        <v>51.188099999999999</v>
      </c>
      <c r="U1641" s="1">
        <v>45992</v>
      </c>
      <c r="V1641">
        <v>63.954700000000003</v>
      </c>
    </row>
    <row r="1642" spans="15:22">
      <c r="O1642" s="1">
        <v>45993</v>
      </c>
      <c r="P1642">
        <v>19.431899999999999</v>
      </c>
      <c r="R1642" s="1">
        <v>45993</v>
      </c>
      <c r="S1642">
        <v>51.966299999999997</v>
      </c>
      <c r="U1642" s="1">
        <v>45993</v>
      </c>
      <c r="V1642">
        <v>65.744399999999999</v>
      </c>
    </row>
    <row r="1643" spans="15:22">
      <c r="O1643" s="1">
        <v>45994</v>
      </c>
      <c r="P1643">
        <v>17.6767</v>
      </c>
      <c r="R1643" s="1">
        <v>45994</v>
      </c>
      <c r="S1643">
        <v>51.856400000000001</v>
      </c>
      <c r="U1643" s="1">
        <v>45994</v>
      </c>
      <c r="V1643">
        <v>67.641800000000003</v>
      </c>
    </row>
    <row r="1644" spans="15:22">
      <c r="O1644" s="1">
        <v>45995</v>
      </c>
      <c r="P1644">
        <v>20.936199999999999</v>
      </c>
      <c r="R1644" s="1">
        <v>45995</v>
      </c>
      <c r="S1644">
        <v>53.063299999999998</v>
      </c>
      <c r="U1644" s="1">
        <v>45995</v>
      </c>
      <c r="V1644">
        <v>67.663300000000007</v>
      </c>
    </row>
    <row r="1645" spans="15:22">
      <c r="O1645" s="1">
        <v>45996</v>
      </c>
      <c r="P1645">
        <v>23.276399999999999</v>
      </c>
      <c r="R1645" s="1">
        <v>45996</v>
      </c>
      <c r="S1645">
        <v>53.9998</v>
      </c>
      <c r="U1645" s="1">
        <v>45996</v>
      </c>
      <c r="V1645">
        <v>68.116100000000003</v>
      </c>
    </row>
    <row r="1646" spans="15:22">
      <c r="O1646" s="1">
        <v>45997</v>
      </c>
      <c r="P1646">
        <v>23.276399999999999</v>
      </c>
      <c r="R1646" s="1">
        <v>45997</v>
      </c>
      <c r="S1646">
        <v>53.9998</v>
      </c>
      <c r="U1646" s="1">
        <v>45997</v>
      </c>
      <c r="V1646">
        <v>68.116100000000003</v>
      </c>
    </row>
    <row r="1647" spans="15:22">
      <c r="O1647" s="1">
        <v>45998</v>
      </c>
      <c r="P1647">
        <v>23.276399999999999</v>
      </c>
      <c r="R1647" s="1">
        <v>45998</v>
      </c>
      <c r="S1647">
        <v>53.9998</v>
      </c>
      <c r="U1647" s="1">
        <v>45998</v>
      </c>
      <c r="V1647">
        <v>68.116100000000003</v>
      </c>
    </row>
    <row r="1648" spans="15:22">
      <c r="O1648" s="1">
        <v>45999</v>
      </c>
      <c r="P1648">
        <v>22.0228</v>
      </c>
      <c r="R1648" s="1">
        <v>45999</v>
      </c>
      <c r="S1648">
        <v>54.1143</v>
      </c>
      <c r="U1648" s="1">
        <v>45999</v>
      </c>
      <c r="V1648">
        <v>70.0351</v>
      </c>
    </row>
    <row r="1649" spans="15:22">
      <c r="O1649" s="1">
        <v>46000</v>
      </c>
      <c r="P1649">
        <v>19.933299999999999</v>
      </c>
      <c r="R1649" s="1">
        <v>46000</v>
      </c>
      <c r="S1649">
        <v>54.861899999999999</v>
      </c>
      <c r="U1649" s="1">
        <v>46000</v>
      </c>
      <c r="V1649">
        <v>71.436599999999999</v>
      </c>
    </row>
    <row r="1650" spans="15:22">
      <c r="O1650" s="1">
        <v>46001</v>
      </c>
      <c r="P1650">
        <v>21.103400000000001</v>
      </c>
      <c r="R1650" s="1">
        <v>46001</v>
      </c>
      <c r="S1650">
        <v>54.653500000000001</v>
      </c>
      <c r="U1650" s="1">
        <v>46001</v>
      </c>
      <c r="V1650">
        <v>73.032200000000003</v>
      </c>
    </row>
    <row r="1651" spans="15:22">
      <c r="O1651" s="1">
        <v>46002</v>
      </c>
      <c r="P1651">
        <v>25.449400000000001</v>
      </c>
      <c r="R1651" s="1">
        <v>46002</v>
      </c>
      <c r="S1651">
        <v>55.707599999999999</v>
      </c>
      <c r="U1651" s="1">
        <v>46002</v>
      </c>
      <c r="V1651">
        <v>70.9191</v>
      </c>
    </row>
    <row r="1652" spans="15:22">
      <c r="O1652" s="1">
        <v>46003</v>
      </c>
      <c r="P1652">
        <v>27.706</v>
      </c>
      <c r="R1652" s="1">
        <v>46003</v>
      </c>
      <c r="S1652">
        <v>55.014699999999998</v>
      </c>
      <c r="U1652" s="1">
        <v>46003</v>
      </c>
      <c r="V1652">
        <v>67.749600000000001</v>
      </c>
    </row>
    <row r="1653" spans="15:22">
      <c r="O1653" s="1">
        <v>46004</v>
      </c>
      <c r="P1653">
        <v>27.706</v>
      </c>
      <c r="R1653" s="1">
        <v>46004</v>
      </c>
      <c r="S1653">
        <v>55.014699999999998</v>
      </c>
      <c r="U1653" s="1">
        <v>46004</v>
      </c>
      <c r="V1653">
        <v>67.749600000000001</v>
      </c>
    </row>
    <row r="1654" spans="15:22">
      <c r="O1654" s="1">
        <v>46005</v>
      </c>
      <c r="P1654">
        <v>27.706</v>
      </c>
      <c r="R1654" s="1">
        <v>46005</v>
      </c>
      <c r="S1654">
        <v>55.014699999999998</v>
      </c>
      <c r="U1654" s="1">
        <v>46005</v>
      </c>
      <c r="V1654">
        <v>67.749600000000001</v>
      </c>
    </row>
    <row r="1655" spans="15:22">
      <c r="O1655" s="1">
        <v>46006</v>
      </c>
      <c r="P1655">
        <v>27.538799999999998</v>
      </c>
      <c r="R1655" s="1">
        <v>46006</v>
      </c>
      <c r="S1655">
        <v>55.292999999999999</v>
      </c>
      <c r="U1655" s="1">
        <v>46006</v>
      </c>
      <c r="V1655">
        <v>68.719899999999996</v>
      </c>
    </row>
    <row r="1656" spans="15:22">
      <c r="O1656" s="1">
        <v>46007</v>
      </c>
      <c r="P1656">
        <v>26.535900000000002</v>
      </c>
      <c r="R1656" s="1">
        <v>46007</v>
      </c>
      <c r="S1656">
        <v>54.312100000000001</v>
      </c>
      <c r="U1656" s="1">
        <v>46007</v>
      </c>
      <c r="V1656">
        <v>67.210499999999996</v>
      </c>
    </row>
    <row r="1657" spans="15:22">
      <c r="O1657" s="1">
        <v>46008</v>
      </c>
      <c r="P1657">
        <v>26.2852</v>
      </c>
      <c r="R1657" s="1">
        <v>46008</v>
      </c>
      <c r="S1657">
        <v>53.566800000000001</v>
      </c>
      <c r="U1657" s="1">
        <v>46008</v>
      </c>
      <c r="V1657">
        <v>63.868499999999997</v>
      </c>
    </row>
    <row r="1658" spans="15:22">
      <c r="O1658" s="1">
        <v>46009</v>
      </c>
      <c r="P1658">
        <v>27.538799999999998</v>
      </c>
      <c r="R1658" s="1">
        <v>46009</v>
      </c>
      <c r="S1658">
        <v>55.098100000000002</v>
      </c>
      <c r="U1658" s="1">
        <v>46009</v>
      </c>
      <c r="V1658">
        <v>65.916799999999995</v>
      </c>
    </row>
    <row r="1659" spans="15:22">
      <c r="O1659" s="1">
        <v>46010</v>
      </c>
      <c r="P1659">
        <v>26.953800000000001</v>
      </c>
      <c r="R1659" s="1">
        <v>46010</v>
      </c>
      <c r="S1659">
        <v>55.6678</v>
      </c>
      <c r="U1659" s="1">
        <v>46010</v>
      </c>
      <c r="V1659">
        <v>69.086399999999998</v>
      </c>
    </row>
    <row r="1660" spans="15:22">
      <c r="O1660" s="1">
        <v>46011</v>
      </c>
      <c r="P1660">
        <v>26.953800000000001</v>
      </c>
      <c r="R1660" s="1">
        <v>46011</v>
      </c>
      <c r="S1660">
        <v>55.6678</v>
      </c>
      <c r="U1660" s="1">
        <v>46011</v>
      </c>
      <c r="V1660">
        <v>69.086399999999998</v>
      </c>
    </row>
    <row r="1661" spans="15:22">
      <c r="O1661" s="1">
        <v>46012</v>
      </c>
      <c r="P1661">
        <v>26.953800000000001</v>
      </c>
      <c r="R1661" s="1">
        <v>46012</v>
      </c>
      <c r="S1661">
        <v>55.6678</v>
      </c>
      <c r="U1661" s="1">
        <v>46012</v>
      </c>
      <c r="V1661">
        <v>69.086399999999998</v>
      </c>
    </row>
    <row r="1662" spans="15:22">
      <c r="O1662" s="1">
        <v>46013</v>
      </c>
      <c r="P1662">
        <v>25.449400000000001</v>
      </c>
      <c r="R1662" s="1">
        <v>46013</v>
      </c>
      <c r="S1662">
        <v>55.639400000000002</v>
      </c>
      <c r="U1662" s="1">
        <v>46013</v>
      </c>
      <c r="V1662">
        <v>68.418000000000006</v>
      </c>
    </row>
    <row r="1663" spans="15:22">
      <c r="O1663" s="1">
        <v>46014</v>
      </c>
      <c r="P1663">
        <v>25.198699999999999</v>
      </c>
      <c r="R1663" s="1">
        <v>46014</v>
      </c>
      <c r="S1663">
        <v>55.998899999999999</v>
      </c>
      <c r="U1663" s="1">
        <v>46014</v>
      </c>
      <c r="V1663">
        <v>68.2239</v>
      </c>
    </row>
    <row r="1664" spans="15:22">
      <c r="O1664" s="1">
        <v>46015</v>
      </c>
      <c r="P1664">
        <v>25.198699999999999</v>
      </c>
      <c r="R1664" s="1">
        <v>46015</v>
      </c>
      <c r="S1664">
        <v>55.998899999999999</v>
      </c>
      <c r="U1664" s="1">
        <v>46015</v>
      </c>
      <c r="V1664">
        <v>68.2239</v>
      </c>
    </row>
    <row r="1665" spans="15:22">
      <c r="O1665" s="1">
        <v>46016</v>
      </c>
      <c r="P1665">
        <v>25.198699999999999</v>
      </c>
      <c r="R1665" s="1">
        <v>46016</v>
      </c>
      <c r="S1665">
        <v>55.998899999999999</v>
      </c>
      <c r="U1665" s="1">
        <v>46016</v>
      </c>
      <c r="V1665">
        <v>68.2239</v>
      </c>
    </row>
    <row r="1666" spans="15:22">
      <c r="O1666" s="1">
        <v>46017</v>
      </c>
      <c r="P1666">
        <v>25.198699999999999</v>
      </c>
      <c r="R1666" s="1">
        <v>46017</v>
      </c>
      <c r="S1666">
        <v>55.998899999999999</v>
      </c>
      <c r="U1666" s="1">
        <v>46017</v>
      </c>
      <c r="V1666">
        <v>68.525800000000004</v>
      </c>
    </row>
    <row r="1667" spans="15:22">
      <c r="O1667" s="1">
        <v>46018</v>
      </c>
      <c r="P1667">
        <v>25.198699999999999</v>
      </c>
      <c r="R1667" s="1">
        <v>46018</v>
      </c>
      <c r="S1667">
        <v>55.998899999999999</v>
      </c>
      <c r="U1667" s="1">
        <v>46018</v>
      </c>
      <c r="V1667">
        <v>68.525800000000004</v>
      </c>
    </row>
    <row r="1668" spans="15:22">
      <c r="O1668" s="1">
        <v>46019</v>
      </c>
      <c r="P1668">
        <v>25.198699999999999</v>
      </c>
      <c r="R1668" s="1">
        <v>46019</v>
      </c>
      <c r="S1668">
        <v>55.998899999999999</v>
      </c>
      <c r="U1668" s="1">
        <v>46019</v>
      </c>
      <c r="V1668">
        <v>68.525800000000004</v>
      </c>
    </row>
    <row r="1669" spans="15:22">
      <c r="O1669" s="1">
        <v>46020</v>
      </c>
      <c r="P1669">
        <v>27.371700000000001</v>
      </c>
      <c r="R1669" s="1">
        <v>46020</v>
      </c>
      <c r="S1669">
        <v>56.069800000000001</v>
      </c>
      <c r="U1669" s="1">
        <v>46020</v>
      </c>
      <c r="V1669">
        <v>67.727999999999994</v>
      </c>
    </row>
    <row r="1670" spans="15:22">
      <c r="O1670" s="1">
        <v>46021</v>
      </c>
      <c r="P1670">
        <v>27.455300000000001</v>
      </c>
      <c r="R1670" s="1">
        <v>46021</v>
      </c>
      <c r="S1670">
        <v>56.962499999999999</v>
      </c>
      <c r="U1670" s="1">
        <v>46021</v>
      </c>
      <c r="V1670">
        <v>66.908699999999996</v>
      </c>
    </row>
    <row r="1671" spans="15:22">
      <c r="O1671" s="1">
        <v>46022</v>
      </c>
      <c r="P1671">
        <v>27.455300000000001</v>
      </c>
      <c r="R1671" s="1">
        <v>46022</v>
      </c>
      <c r="S1671">
        <v>56.962499999999999</v>
      </c>
      <c r="U1671" s="1">
        <v>46022</v>
      </c>
      <c r="V1671">
        <v>66.089299999999994</v>
      </c>
    </row>
    <row r="1672" spans="15:22">
      <c r="O1672" s="1">
        <v>46023</v>
      </c>
      <c r="P1672">
        <v>27.455300000000001</v>
      </c>
      <c r="R1672" s="1">
        <v>46023</v>
      </c>
      <c r="S1672">
        <v>56.962499999999999</v>
      </c>
      <c r="U1672" s="1">
        <v>46023</v>
      </c>
      <c r="V1672">
        <v>66.089299999999994</v>
      </c>
    </row>
    <row r="1673" spans="15:22">
      <c r="O1673" s="1">
        <v>46024</v>
      </c>
      <c r="P1673">
        <v>31.1327</v>
      </c>
      <c r="R1673" s="1">
        <v>46024</v>
      </c>
      <c r="S1673">
        <v>57.2761</v>
      </c>
      <c r="U1673" s="1">
        <v>46024</v>
      </c>
      <c r="V1673">
        <v>64.838800000000006</v>
      </c>
    </row>
    <row r="1674" spans="15:22">
      <c r="O1674" s="1">
        <v>46025</v>
      </c>
      <c r="P1674">
        <v>31.1327</v>
      </c>
      <c r="R1674" s="1">
        <v>46025</v>
      </c>
      <c r="S1674">
        <v>57.2761</v>
      </c>
      <c r="U1674" s="1">
        <v>46025</v>
      </c>
      <c r="V1674">
        <v>64.838800000000006</v>
      </c>
    </row>
    <row r="1675" spans="15:22">
      <c r="O1675" s="1">
        <v>46026</v>
      </c>
      <c r="P1675">
        <v>31.1327</v>
      </c>
      <c r="R1675" s="1">
        <v>46026</v>
      </c>
      <c r="S1675">
        <v>57.2761</v>
      </c>
      <c r="U1675" s="1">
        <v>46026</v>
      </c>
      <c r="V1675">
        <v>64.838800000000006</v>
      </c>
    </row>
    <row r="1676" spans="15:22">
      <c r="O1676" s="1">
        <v>46027</v>
      </c>
      <c r="P1676">
        <v>28.876100000000001</v>
      </c>
      <c r="R1676" s="1">
        <v>46027</v>
      </c>
      <c r="S1676">
        <v>59.387</v>
      </c>
      <c r="U1676" s="1">
        <v>46027</v>
      </c>
      <c r="V1676">
        <v>63.8416</v>
      </c>
    </row>
    <row r="1677" spans="15:22">
      <c r="O1677" s="1">
        <v>46028</v>
      </c>
      <c r="P1677">
        <v>32.804200000000002</v>
      </c>
      <c r="R1677" s="1">
        <v>46028</v>
      </c>
      <c r="S1677">
        <v>59.537700000000001</v>
      </c>
      <c r="U1677" s="1">
        <v>46028</v>
      </c>
      <c r="V1677">
        <v>63.082900000000002</v>
      </c>
    </row>
    <row r="1678" spans="15:22">
      <c r="O1678" s="1">
        <v>46029</v>
      </c>
      <c r="P1678">
        <v>34.726500000000001</v>
      </c>
      <c r="R1678" s="1">
        <v>46029</v>
      </c>
      <c r="S1678">
        <v>61.0122</v>
      </c>
      <c r="U1678" s="1">
        <v>46029</v>
      </c>
      <c r="V1678">
        <v>61.9773</v>
      </c>
    </row>
    <row r="1679" spans="15:22">
      <c r="O1679" s="1">
        <v>46030</v>
      </c>
      <c r="P1679">
        <v>32.386299999999999</v>
      </c>
      <c r="R1679" s="1">
        <v>46030</v>
      </c>
      <c r="S1679">
        <v>61.045499999999997</v>
      </c>
      <c r="U1679" s="1">
        <v>46030</v>
      </c>
      <c r="V1679">
        <v>60.329799999999999</v>
      </c>
    </row>
    <row r="1680" spans="15:22">
      <c r="O1680" s="1">
        <v>46031</v>
      </c>
      <c r="P1680">
        <v>31.717700000000001</v>
      </c>
      <c r="R1680" s="1">
        <v>46031</v>
      </c>
      <c r="S1680">
        <v>61.905500000000004</v>
      </c>
      <c r="U1680" s="1">
        <v>46031</v>
      </c>
      <c r="V1680">
        <v>60.156300000000002</v>
      </c>
    </row>
    <row r="1681" spans="15:22">
      <c r="O1681" s="1">
        <v>46032</v>
      </c>
      <c r="P1681">
        <v>31.717700000000001</v>
      </c>
      <c r="R1681" s="1">
        <v>46032</v>
      </c>
      <c r="S1681">
        <v>61.905500000000004</v>
      </c>
      <c r="U1681" s="1">
        <v>46032</v>
      </c>
      <c r="V1681">
        <v>60.156300000000002</v>
      </c>
    </row>
    <row r="1682" spans="15:22">
      <c r="O1682" s="1">
        <v>46033</v>
      </c>
      <c r="P1682">
        <v>31.717700000000001</v>
      </c>
      <c r="R1682" s="1">
        <v>46033</v>
      </c>
      <c r="S1682">
        <v>61.905500000000004</v>
      </c>
      <c r="U1682" s="1">
        <v>46033</v>
      </c>
      <c r="V1682">
        <v>60.156300000000002</v>
      </c>
    </row>
    <row r="1683" spans="15:22">
      <c r="O1683" s="1">
        <v>46034</v>
      </c>
      <c r="P1683">
        <v>31.299800000000001</v>
      </c>
      <c r="R1683" s="1">
        <v>46034</v>
      </c>
      <c r="S1683">
        <v>62.826500000000003</v>
      </c>
      <c r="U1683" s="1">
        <v>46034</v>
      </c>
      <c r="V1683">
        <v>60.438099999999999</v>
      </c>
    </row>
    <row r="1684" spans="15:22">
      <c r="O1684" s="1">
        <v>46035</v>
      </c>
      <c r="P1684">
        <v>29.043199999999999</v>
      </c>
      <c r="R1684" s="1">
        <v>46035</v>
      </c>
      <c r="S1684">
        <v>62.924599999999998</v>
      </c>
      <c r="U1684" s="1">
        <v>46035</v>
      </c>
      <c r="V1684">
        <v>63.603099999999998</v>
      </c>
    </row>
    <row r="1685" spans="15:22">
      <c r="O1685" s="1">
        <v>46036</v>
      </c>
      <c r="P1685">
        <v>28.7089</v>
      </c>
      <c r="R1685" s="1">
        <v>46036</v>
      </c>
      <c r="S1685">
        <v>62.063099999999999</v>
      </c>
      <c r="U1685" s="1">
        <v>46036</v>
      </c>
      <c r="V1685">
        <v>61.305300000000003</v>
      </c>
    </row>
    <row r="1686" spans="15:22">
      <c r="O1686" s="1">
        <v>46037</v>
      </c>
      <c r="P1686">
        <v>30.798400000000001</v>
      </c>
      <c r="R1686" s="1">
        <v>46037</v>
      </c>
      <c r="S1686">
        <v>62.487099999999998</v>
      </c>
      <c r="U1686" s="1">
        <v>46037</v>
      </c>
      <c r="V1686">
        <v>63.126199999999997</v>
      </c>
    </row>
    <row r="1687" spans="15:22">
      <c r="O1687" s="1">
        <v>46038</v>
      </c>
      <c r="P1687">
        <v>29.7119</v>
      </c>
      <c r="R1687" s="1">
        <v>46038</v>
      </c>
      <c r="S1687">
        <v>62.132899999999999</v>
      </c>
      <c r="U1687" s="1">
        <v>46038</v>
      </c>
      <c r="V1687">
        <v>62.996099999999998</v>
      </c>
    </row>
    <row r="1688" spans="15:22">
      <c r="O1688" s="1">
        <v>46039</v>
      </c>
      <c r="P1688">
        <v>29.7119</v>
      </c>
      <c r="R1688" s="1">
        <v>46039</v>
      </c>
      <c r="S1688">
        <v>62.132899999999999</v>
      </c>
      <c r="U1688" s="1">
        <v>46039</v>
      </c>
      <c r="V1688">
        <v>62.996099999999998</v>
      </c>
    </row>
    <row r="1689" spans="15:22">
      <c r="O1689" s="1">
        <v>46040</v>
      </c>
      <c r="P1689">
        <v>29.7119</v>
      </c>
      <c r="R1689" s="1">
        <v>46040</v>
      </c>
      <c r="S1689">
        <v>62.132899999999999</v>
      </c>
      <c r="U1689" s="1">
        <v>46040</v>
      </c>
      <c r="V1689">
        <v>62.996099999999998</v>
      </c>
    </row>
    <row r="1690" spans="15:22">
      <c r="O1690" s="1">
        <v>46041</v>
      </c>
      <c r="P1690">
        <v>26.703099999999999</v>
      </c>
      <c r="R1690" s="1">
        <v>46041</v>
      </c>
      <c r="S1690">
        <v>59.966200000000001</v>
      </c>
      <c r="U1690" s="1">
        <v>46041</v>
      </c>
      <c r="V1690">
        <v>62.996099999999998</v>
      </c>
    </row>
    <row r="1691" spans="15:22">
      <c r="O1691" s="1">
        <v>46042</v>
      </c>
      <c r="P1691">
        <v>23.36</v>
      </c>
      <c r="R1691" s="1">
        <v>46042</v>
      </c>
      <c r="S1691">
        <v>58.325800000000001</v>
      </c>
      <c r="U1691" s="1">
        <v>46042</v>
      </c>
      <c r="V1691">
        <v>59.007399999999997</v>
      </c>
    </row>
    <row r="1692" spans="15:22">
      <c r="O1692" s="1">
        <v>46043</v>
      </c>
      <c r="P1692">
        <v>30.881900000000002</v>
      </c>
      <c r="R1692" s="1">
        <v>46043</v>
      </c>
      <c r="S1692">
        <v>57.4148</v>
      </c>
      <c r="U1692" s="1">
        <v>46043</v>
      </c>
      <c r="V1692">
        <v>59.744500000000002</v>
      </c>
    </row>
    <row r="1693" spans="15:22">
      <c r="O1693" s="1">
        <v>46044</v>
      </c>
      <c r="P1693">
        <v>31.299800000000001</v>
      </c>
      <c r="R1693" s="1">
        <v>46044</v>
      </c>
      <c r="S1693">
        <v>59.308700000000002</v>
      </c>
      <c r="U1693" s="1">
        <v>46044</v>
      </c>
      <c r="V1693">
        <v>61.131799999999998</v>
      </c>
    </row>
    <row r="1694" spans="15:22">
      <c r="O1694" s="1">
        <v>46045</v>
      </c>
      <c r="P1694">
        <v>31.1327</v>
      </c>
      <c r="R1694" s="1">
        <v>46045</v>
      </c>
      <c r="S1694">
        <v>59.592199999999998</v>
      </c>
      <c r="U1694" s="1">
        <v>46045</v>
      </c>
      <c r="V1694">
        <v>61.695500000000003</v>
      </c>
    </row>
    <row r="1695" spans="15:22">
      <c r="O1695" s="1">
        <v>46046</v>
      </c>
      <c r="P1695">
        <v>31.1327</v>
      </c>
      <c r="R1695" s="1">
        <v>46046</v>
      </c>
      <c r="S1695">
        <v>59.592199999999998</v>
      </c>
      <c r="U1695" s="1">
        <v>46046</v>
      </c>
      <c r="V1695">
        <v>61.695500000000003</v>
      </c>
    </row>
    <row r="1696" spans="15:22">
      <c r="O1696" s="1">
        <v>46047</v>
      </c>
      <c r="P1696">
        <v>31.1327</v>
      </c>
      <c r="R1696" s="1">
        <v>46047</v>
      </c>
      <c r="S1696">
        <v>59.592199999999998</v>
      </c>
      <c r="U1696" s="1">
        <v>46047</v>
      </c>
      <c r="V1696">
        <v>61.695500000000003</v>
      </c>
    </row>
    <row r="1697" spans="15:22">
      <c r="O1697" s="1">
        <v>46048</v>
      </c>
      <c r="P1697">
        <v>30.380500000000001</v>
      </c>
      <c r="R1697" s="1">
        <v>46048</v>
      </c>
      <c r="S1697">
        <v>59.799700000000001</v>
      </c>
      <c r="U1697" s="1">
        <v>46048</v>
      </c>
      <c r="V1697">
        <v>66.941500000000005</v>
      </c>
    </row>
    <row r="1698" spans="15:22">
      <c r="O1698" s="1">
        <v>46049</v>
      </c>
      <c r="P1698">
        <v>32.386299999999999</v>
      </c>
      <c r="R1698" s="1">
        <v>46049</v>
      </c>
      <c r="S1698">
        <v>59.552</v>
      </c>
      <c r="U1698" s="1">
        <v>46049</v>
      </c>
      <c r="V1698">
        <v>70.561700000000002</v>
      </c>
    </row>
    <row r="1699" spans="15:22">
      <c r="O1699" s="1">
        <v>46050</v>
      </c>
      <c r="P1699">
        <v>36.565199999999997</v>
      </c>
      <c r="R1699" s="1">
        <v>46050</v>
      </c>
      <c r="S1699">
        <v>59.092799999999997</v>
      </c>
      <c r="U1699" s="1">
        <v>46050</v>
      </c>
      <c r="V1699">
        <v>71.168700000000001</v>
      </c>
    </row>
    <row r="1700" spans="15:22">
      <c r="O1700" s="1">
        <v>46051</v>
      </c>
      <c r="P1700">
        <v>35.645800000000001</v>
      </c>
      <c r="R1700" s="1">
        <v>46051</v>
      </c>
      <c r="S1700">
        <v>55.802799999999998</v>
      </c>
      <c r="U1700" s="1">
        <v>46051</v>
      </c>
      <c r="V1700">
        <v>70.019800000000004</v>
      </c>
    </row>
    <row r="1701" spans="15:22">
      <c r="O1701" s="1">
        <v>46052</v>
      </c>
      <c r="P1701">
        <v>37.651699999999998</v>
      </c>
      <c r="R1701" s="1">
        <v>46052</v>
      </c>
      <c r="S1701">
        <v>57.2727</v>
      </c>
      <c r="U1701" s="1">
        <v>46052</v>
      </c>
      <c r="V1701">
        <v>69.781300000000002</v>
      </c>
    </row>
    <row r="1702" spans="15:22">
      <c r="O1702" s="1">
        <v>46053</v>
      </c>
      <c r="P1702">
        <v>37.651699999999998</v>
      </c>
      <c r="R1702" s="1">
        <v>46053</v>
      </c>
      <c r="S1702">
        <v>57.2727</v>
      </c>
      <c r="U1702" s="1">
        <v>46053</v>
      </c>
      <c r="V1702">
        <v>69.781300000000002</v>
      </c>
    </row>
    <row r="1703" spans="15:22">
      <c r="O1703" s="1">
        <v>46054</v>
      </c>
      <c r="P1703">
        <v>37.651699999999998</v>
      </c>
      <c r="R1703" s="1">
        <v>46054</v>
      </c>
      <c r="S1703">
        <v>57.2727</v>
      </c>
      <c r="U1703" s="1">
        <v>46054</v>
      </c>
      <c r="V1703">
        <v>69.781300000000002</v>
      </c>
    </row>
    <row r="1704" spans="15:22">
      <c r="O1704" s="1">
        <v>46055</v>
      </c>
      <c r="P1704">
        <v>38.821800000000003</v>
      </c>
      <c r="R1704" s="1">
        <v>46055</v>
      </c>
      <c r="S1704">
        <v>58.930900000000001</v>
      </c>
      <c r="U1704" s="1">
        <v>46055</v>
      </c>
      <c r="V1704">
        <v>74.810599999999994</v>
      </c>
    </row>
    <row r="1705" spans="15:22">
      <c r="O1705" s="1">
        <v>46056</v>
      </c>
      <c r="P1705">
        <v>46.845199999999998</v>
      </c>
      <c r="R1705" s="1">
        <v>46056</v>
      </c>
      <c r="S1705">
        <v>58.823599999999999</v>
      </c>
      <c r="U1705" s="1">
        <v>46056</v>
      </c>
      <c r="V1705">
        <v>80.165000000000006</v>
      </c>
    </row>
    <row r="1706" spans="15:22">
      <c r="O1706" s="1">
        <v>46057</v>
      </c>
      <c r="P1706">
        <v>51.943399999999997</v>
      </c>
      <c r="R1706" s="1">
        <v>46057</v>
      </c>
      <c r="S1706">
        <v>57.684399999999997</v>
      </c>
      <c r="U1706" s="1">
        <v>46057</v>
      </c>
      <c r="V1706">
        <v>75.937799999999996</v>
      </c>
    </row>
    <row r="1707" spans="15:22">
      <c r="O1707" s="1">
        <v>46058</v>
      </c>
      <c r="P1707">
        <v>50.439</v>
      </c>
      <c r="R1707" s="1">
        <v>46058</v>
      </c>
      <c r="S1707">
        <v>56.966700000000003</v>
      </c>
      <c r="U1707" s="1">
        <v>46058</v>
      </c>
      <c r="V1707">
        <v>78.539199999999994</v>
      </c>
    </row>
    <row r="1708" spans="15:22">
      <c r="O1708" s="1">
        <v>46059</v>
      </c>
      <c r="P1708">
        <v>51.191200000000002</v>
      </c>
      <c r="R1708" s="1">
        <v>46059</v>
      </c>
      <c r="S1708">
        <v>58.443399999999997</v>
      </c>
      <c r="U1708" s="1">
        <v>46059</v>
      </c>
      <c r="V1708">
        <v>83.872</v>
      </c>
    </row>
    <row r="1709" spans="15:22">
      <c r="O1709" s="1">
        <v>46060</v>
      </c>
      <c r="P1709">
        <v>51.191200000000002</v>
      </c>
      <c r="R1709" s="1">
        <v>46060</v>
      </c>
      <c r="S1709">
        <v>58.443399999999997</v>
      </c>
      <c r="U1709" s="1">
        <v>46060</v>
      </c>
      <c r="V1709">
        <v>83.872</v>
      </c>
    </row>
    <row r="1710" spans="15:22">
      <c r="O1710" s="1">
        <v>46061</v>
      </c>
      <c r="P1710">
        <v>51.191200000000002</v>
      </c>
      <c r="R1710" s="1">
        <v>46061</v>
      </c>
      <c r="S1710">
        <v>58.443399999999997</v>
      </c>
      <c r="U1710" s="1">
        <v>46061</v>
      </c>
      <c r="V1710">
        <v>83.872</v>
      </c>
    </row>
    <row r="1711" spans="15:22">
      <c r="O1711" s="1">
        <v>46062</v>
      </c>
      <c r="P1711">
        <v>50.355400000000003</v>
      </c>
      <c r="R1711" s="1">
        <v>46062</v>
      </c>
      <c r="S1711">
        <v>60.323900000000002</v>
      </c>
      <c r="U1711" s="1">
        <v>46062</v>
      </c>
      <c r="V1711">
        <v>88.120800000000003</v>
      </c>
    </row>
    <row r="1712" spans="15:22">
      <c r="O1712" s="1">
        <v>46063</v>
      </c>
      <c r="P1712">
        <v>51.191200000000002</v>
      </c>
      <c r="R1712" s="1">
        <v>46063</v>
      </c>
      <c r="S1712">
        <v>60.150700000000001</v>
      </c>
      <c r="U1712" s="1">
        <v>46063</v>
      </c>
      <c r="V1712">
        <v>87.058599999999998</v>
      </c>
    </row>
    <row r="1713" spans="15:22">
      <c r="O1713" s="1">
        <v>46064</v>
      </c>
      <c r="P1713">
        <v>53.7821</v>
      </c>
      <c r="R1713" s="1">
        <v>46064</v>
      </c>
      <c r="S1713">
        <v>59.306600000000003</v>
      </c>
      <c r="U1713" s="1">
        <v>46064</v>
      </c>
      <c r="V1713">
        <v>85.4328</v>
      </c>
    </row>
    <row r="1714" spans="15:22">
      <c r="O1714" s="1">
        <v>46065</v>
      </c>
      <c r="P1714">
        <v>51.692700000000002</v>
      </c>
      <c r="R1714" s="1">
        <v>46065</v>
      </c>
      <c r="S1714">
        <v>59.284399999999998</v>
      </c>
      <c r="U1714" s="1">
        <v>46065</v>
      </c>
      <c r="V1714">
        <v>62.584299999999999</v>
      </c>
    </row>
    <row r="1715" spans="15:22">
      <c r="O1715" s="1">
        <v>46066</v>
      </c>
      <c r="P1715">
        <v>52.3613</v>
      </c>
      <c r="R1715" s="1">
        <v>46066</v>
      </c>
      <c r="S1715">
        <v>59.683</v>
      </c>
      <c r="U1715" s="1">
        <v>46066</v>
      </c>
      <c r="V1715">
        <v>66.594700000000003</v>
      </c>
    </row>
    <row r="1716" spans="15:22">
      <c r="O1716" s="1">
        <v>46067</v>
      </c>
      <c r="P1716">
        <v>52.3613</v>
      </c>
      <c r="R1716" s="1">
        <v>46067</v>
      </c>
      <c r="S1716">
        <v>59.683</v>
      </c>
      <c r="U1716" s="1">
        <v>46067</v>
      </c>
      <c r="V1716">
        <v>66.594700000000003</v>
      </c>
    </row>
    <row r="1717" spans="15:22">
      <c r="O1717" s="1">
        <v>46068</v>
      </c>
      <c r="P1717">
        <v>52.3613</v>
      </c>
      <c r="R1717" s="1">
        <v>46068</v>
      </c>
      <c r="S1717">
        <v>59.683</v>
      </c>
      <c r="U1717" s="1">
        <v>46068</v>
      </c>
      <c r="V1717">
        <v>66.594700000000003</v>
      </c>
    </row>
    <row r="1718" spans="15:22">
      <c r="O1718" s="1">
        <v>46069</v>
      </c>
      <c r="P1718">
        <v>51.024000000000001</v>
      </c>
      <c r="R1718" s="1">
        <v>46069</v>
      </c>
      <c r="S1718">
        <v>58.952599999999997</v>
      </c>
      <c r="U1718" s="1">
        <v>46069</v>
      </c>
      <c r="V1718">
        <v>66.594700000000003</v>
      </c>
    </row>
    <row r="1719" spans="15:22">
      <c r="O1719" s="1">
        <v>46070</v>
      </c>
      <c r="P1719">
        <v>50.773299999999999</v>
      </c>
      <c r="R1719" s="1">
        <v>46070</v>
      </c>
      <c r="S1719">
        <v>60.218299999999999</v>
      </c>
      <c r="U1719" s="1">
        <v>46070</v>
      </c>
      <c r="V1719">
        <v>66.594700000000003</v>
      </c>
    </row>
    <row r="1720" spans="15:22">
      <c r="O1720" s="1">
        <v>46071</v>
      </c>
      <c r="P1720">
        <v>53.698500000000003</v>
      </c>
      <c r="R1720" s="1">
        <v>46071</v>
      </c>
      <c r="S1720">
        <v>62.011699999999998</v>
      </c>
      <c r="U1720" s="1">
        <v>46071</v>
      </c>
      <c r="V1720">
        <v>69.477800000000002</v>
      </c>
    </row>
    <row r="1721" spans="15:22">
      <c r="O1721" s="1">
        <v>46072</v>
      </c>
      <c r="P1721">
        <v>52.444899999999997</v>
      </c>
      <c r="R1721" s="1">
        <v>46072</v>
      </c>
      <c r="S1721">
        <v>60.507800000000003</v>
      </c>
      <c r="U1721" s="1">
        <v>46072</v>
      </c>
      <c r="V1721">
        <v>70.301599999999993</v>
      </c>
    </row>
    <row r="1722" spans="15:22">
      <c r="O1722" s="1">
        <v>46073</v>
      </c>
      <c r="P1722">
        <v>54.784999999999997</v>
      </c>
      <c r="R1722" s="1">
        <v>46073</v>
      </c>
      <c r="S1722">
        <v>61.8994</v>
      </c>
      <c r="U1722" s="1">
        <v>46073</v>
      </c>
      <c r="V1722">
        <v>71.688999999999993</v>
      </c>
    </row>
    <row r="1723" spans="15:22">
      <c r="O1723" s="1">
        <v>46074</v>
      </c>
      <c r="P1723">
        <v>54.784999999999997</v>
      </c>
      <c r="R1723" s="1">
        <v>46074</v>
      </c>
      <c r="S1723">
        <v>61.8994</v>
      </c>
      <c r="U1723" s="1">
        <v>46074</v>
      </c>
      <c r="V1723">
        <v>71.688999999999993</v>
      </c>
    </row>
    <row r="1724" spans="15:22">
      <c r="O1724" s="1">
        <v>46075</v>
      </c>
      <c r="P1724">
        <v>54.784999999999997</v>
      </c>
      <c r="R1724" s="1">
        <v>46075</v>
      </c>
      <c r="S1724">
        <v>61.8994</v>
      </c>
      <c r="U1724" s="1">
        <v>46075</v>
      </c>
      <c r="V1724">
        <v>71.688999999999993</v>
      </c>
    </row>
    <row r="1725" spans="15:22">
      <c r="O1725" s="1">
        <v>46076</v>
      </c>
      <c r="P1725">
        <v>52.444899999999997</v>
      </c>
      <c r="R1725" s="1">
        <v>46076</v>
      </c>
      <c r="S1725">
        <v>60.177100000000003</v>
      </c>
      <c r="U1725" s="1">
        <v>46076</v>
      </c>
      <c r="V1725">
        <v>68.524000000000001</v>
      </c>
    </row>
    <row r="1726" spans="15:22">
      <c r="O1726" s="1">
        <v>46077</v>
      </c>
      <c r="P1726">
        <v>52.862699999999997</v>
      </c>
      <c r="R1726" s="1">
        <v>46077</v>
      </c>
      <c r="S1726">
        <v>60.1404</v>
      </c>
      <c r="U1726" s="1">
        <v>46077</v>
      </c>
      <c r="V1726">
        <v>69.391099999999994</v>
      </c>
    </row>
    <row r="1727" spans="15:22">
      <c r="O1727" s="1">
        <v>46078</v>
      </c>
      <c r="P1727">
        <v>51.441899999999997</v>
      </c>
      <c r="R1727" s="1">
        <v>46078</v>
      </c>
      <c r="S1727">
        <v>61.356200000000001</v>
      </c>
      <c r="U1727" s="1">
        <v>46078</v>
      </c>
      <c r="V1727">
        <v>71.515600000000006</v>
      </c>
    </row>
    <row r="1728" spans="15:22">
      <c r="O1728" s="1">
        <v>46079</v>
      </c>
      <c r="P1728">
        <v>49.686799999999998</v>
      </c>
      <c r="R1728" s="1">
        <v>46079</v>
      </c>
      <c r="S1728">
        <v>62.0809</v>
      </c>
      <c r="U1728" s="1">
        <v>46079</v>
      </c>
      <c r="V1728">
        <v>69.304400000000001</v>
      </c>
    </row>
    <row r="1729" spans="15:22">
      <c r="O1729" s="1">
        <v>46080</v>
      </c>
      <c r="P1729">
        <v>50.606200000000001</v>
      </c>
      <c r="R1729" s="1">
        <v>46080</v>
      </c>
      <c r="S1729">
        <v>62.050400000000003</v>
      </c>
      <c r="U1729" s="1">
        <v>46080</v>
      </c>
      <c r="V1729">
        <v>72.252600000000001</v>
      </c>
    </row>
    <row r="1730" spans="15:22">
      <c r="O1730" s="1">
        <v>46081</v>
      </c>
      <c r="P1730">
        <v>50.606200000000001</v>
      </c>
      <c r="R1730" s="1">
        <v>46081</v>
      </c>
      <c r="S1730">
        <v>62.050400000000003</v>
      </c>
      <c r="U1730" s="1">
        <v>46081</v>
      </c>
      <c r="V1730">
        <v>72.252600000000001</v>
      </c>
    </row>
    <row r="1731" spans="15:22">
      <c r="O1731" s="1">
        <v>46082</v>
      </c>
      <c r="P1731">
        <v>50.606200000000001</v>
      </c>
      <c r="R1731" s="1">
        <v>46082</v>
      </c>
      <c r="S1731">
        <v>62.050400000000003</v>
      </c>
      <c r="U1731" s="1">
        <v>46082</v>
      </c>
      <c r="V1731">
        <v>72.252600000000001</v>
      </c>
    </row>
    <row r="1732" spans="15:22">
      <c r="O1732" s="1">
        <v>46083</v>
      </c>
      <c r="P1732">
        <v>44.672199999999997</v>
      </c>
      <c r="R1732" s="1">
        <v>46083</v>
      </c>
      <c r="S1732">
        <v>57.908499999999997</v>
      </c>
      <c r="U1732" s="1">
        <v>46083</v>
      </c>
      <c r="V1732">
        <v>72.165899999999993</v>
      </c>
    </row>
    <row r="1733" spans="15:22">
      <c r="O1733" s="1">
        <v>46084</v>
      </c>
      <c r="P1733">
        <v>37.233800000000002</v>
      </c>
      <c r="R1733" s="1">
        <v>46084</v>
      </c>
      <c r="S1733">
        <v>52.477699999999999</v>
      </c>
      <c r="U1733" s="1">
        <v>46084</v>
      </c>
      <c r="V1733">
        <v>71.168700000000001</v>
      </c>
    </row>
    <row r="1734" spans="15:22">
      <c r="O1734" s="1">
        <v>46085</v>
      </c>
      <c r="P1734">
        <v>32.887799999999999</v>
      </c>
      <c r="R1734" s="1">
        <v>46085</v>
      </c>
      <c r="S1734">
        <v>55.135599999999997</v>
      </c>
      <c r="U1734" s="1">
        <v>46085</v>
      </c>
      <c r="V1734">
        <v>75.309200000000004</v>
      </c>
    </row>
    <row r="1735" spans="15:22">
      <c r="O1735" s="1">
        <v>46086</v>
      </c>
      <c r="P1735">
        <v>31.049099999999999</v>
      </c>
      <c r="R1735" s="1">
        <v>46086</v>
      </c>
      <c r="S1735">
        <v>52.638500000000001</v>
      </c>
      <c r="U1735" s="1">
        <v>46086</v>
      </c>
      <c r="V1735">
        <v>73.444900000000004</v>
      </c>
    </row>
    <row r="1736" spans="15:22">
      <c r="O1736" s="1">
        <v>46087</v>
      </c>
      <c r="P1736">
        <v>31.216200000000001</v>
      </c>
      <c r="R1736" s="1">
        <v>46087</v>
      </c>
      <c r="S1736">
        <v>51.198300000000003</v>
      </c>
      <c r="U1736" s="1">
        <v>46087</v>
      </c>
      <c r="V1736">
        <v>70.474999999999994</v>
      </c>
    </row>
    <row r="1737" spans="15:22">
      <c r="O1737" s="1">
        <v>46088</v>
      </c>
      <c r="P1737">
        <v>31.216200000000001</v>
      </c>
      <c r="R1737" s="1">
        <v>46088</v>
      </c>
      <c r="S1737">
        <v>51.198300000000003</v>
      </c>
      <c r="U1737" s="1">
        <v>46088</v>
      </c>
      <c r="V1737">
        <v>70.474999999999994</v>
      </c>
    </row>
    <row r="1738" spans="15:22">
      <c r="O1738" s="1">
        <v>46089</v>
      </c>
      <c r="P1738">
        <v>31.216200000000001</v>
      </c>
      <c r="R1738" s="1">
        <v>46089</v>
      </c>
      <c r="S1738">
        <v>51.198300000000003</v>
      </c>
      <c r="U1738" s="1">
        <v>46089</v>
      </c>
      <c r="V1738">
        <v>70.474999999999994</v>
      </c>
    </row>
    <row r="1739" spans="15:22">
      <c r="O1739" s="1">
        <v>46090</v>
      </c>
      <c r="P1739">
        <v>26.452300000000001</v>
      </c>
      <c r="R1739" s="1">
        <v>46090</v>
      </c>
      <c r="S1739">
        <v>50.033999999999999</v>
      </c>
      <c r="U1739" s="1">
        <v>46090</v>
      </c>
      <c r="V1739">
        <v>65.207300000000004</v>
      </c>
    </row>
    <row r="1740" spans="15:22">
      <c r="O1740" s="1">
        <v>46091</v>
      </c>
      <c r="P1740">
        <v>32.469900000000003</v>
      </c>
      <c r="R1740" s="1">
        <v>46091</v>
      </c>
      <c r="S1740">
        <v>53.618400000000001</v>
      </c>
      <c r="U1740" s="1">
        <v>46091</v>
      </c>
      <c r="V1740">
        <v>68.437299999999993</v>
      </c>
    </row>
    <row r="1741" spans="15:22">
      <c r="O1741" s="1">
        <v>46092</v>
      </c>
      <c r="P1741">
        <v>32.804200000000002</v>
      </c>
      <c r="R1741" s="1">
        <v>46092</v>
      </c>
      <c r="S1741">
        <v>51.512300000000003</v>
      </c>
      <c r="U1741" s="1">
        <v>46092</v>
      </c>
      <c r="V1741">
        <v>69.304400000000001</v>
      </c>
    </row>
    <row r="1742" spans="15:22">
      <c r="O1742" s="1">
        <v>46093</v>
      </c>
      <c r="P1742">
        <v>31.717700000000001</v>
      </c>
      <c r="R1742" s="1">
        <v>46093</v>
      </c>
      <c r="S1742">
        <v>51.189399999999999</v>
      </c>
      <c r="U1742" s="1">
        <v>46093</v>
      </c>
      <c r="V1742">
        <v>68.524000000000001</v>
      </c>
    </row>
    <row r="1743" spans="15:22">
      <c r="O1743" s="1">
        <v>46094</v>
      </c>
      <c r="P1743">
        <v>29.126799999999999</v>
      </c>
      <c r="R1743" s="1">
        <v>46094</v>
      </c>
      <c r="S1743">
        <v>50.277000000000001</v>
      </c>
      <c r="U1743" s="1">
        <v>46094</v>
      </c>
      <c r="V1743">
        <v>69.802999999999997</v>
      </c>
    </row>
    <row r="1744" spans="15:22">
      <c r="O1744" s="1">
        <v>46095</v>
      </c>
      <c r="P1744">
        <v>29.126799999999999</v>
      </c>
      <c r="R1744" s="1">
        <v>46095</v>
      </c>
      <c r="S1744">
        <v>50.277000000000001</v>
      </c>
      <c r="U1744" s="1">
        <v>46095</v>
      </c>
      <c r="V1744">
        <v>69.802999999999997</v>
      </c>
    </row>
    <row r="1745" spans="15:22">
      <c r="O1745" s="1">
        <v>46096</v>
      </c>
      <c r="P1745">
        <v>29.126799999999999</v>
      </c>
      <c r="R1745" s="1">
        <v>46096</v>
      </c>
      <c r="S1745">
        <v>50.277000000000001</v>
      </c>
      <c r="U1745" s="1">
        <v>46096</v>
      </c>
      <c r="V1745">
        <v>69.802999999999997</v>
      </c>
    </row>
    <row r="1746" spans="15:22">
      <c r="O1746" s="1">
        <v>46097</v>
      </c>
      <c r="P1746">
        <v>26.619499999999999</v>
      </c>
      <c r="R1746" s="1">
        <v>46097</v>
      </c>
      <c r="S1746">
        <v>51.025100000000002</v>
      </c>
      <c r="U1746" s="1">
        <v>46097</v>
      </c>
      <c r="V1746">
        <v>71.038600000000002</v>
      </c>
    </row>
    <row r="1747" spans="15:22">
      <c r="O1747" s="1">
        <v>46098</v>
      </c>
      <c r="P1747">
        <v>27.120999999999999</v>
      </c>
      <c r="R1747" s="1">
        <v>46098</v>
      </c>
      <c r="S1747">
        <v>52.094900000000003</v>
      </c>
      <c r="U1747" s="1">
        <v>46098</v>
      </c>
      <c r="V1747">
        <v>71.840699999999998</v>
      </c>
    </row>
    <row r="1748" spans="15:22">
      <c r="O1748" s="1">
        <v>46099</v>
      </c>
      <c r="P1748">
        <v>26.2852</v>
      </c>
      <c r="R1748" s="1">
        <v>46099</v>
      </c>
      <c r="S1748">
        <v>50.629300000000001</v>
      </c>
      <c r="U1748" s="1">
        <v>46099</v>
      </c>
      <c r="V1748">
        <v>68.220500000000001</v>
      </c>
    </row>
    <row r="1749" spans="15:22">
      <c r="O1749" s="1">
        <v>46100</v>
      </c>
      <c r="P1749">
        <v>21.604900000000001</v>
      </c>
      <c r="R1749" s="1">
        <v>46100</v>
      </c>
      <c r="S1749">
        <v>46.381999999999998</v>
      </c>
      <c r="U1749" s="1">
        <v>46100</v>
      </c>
      <c r="V1749">
        <v>70.193200000000004</v>
      </c>
    </row>
    <row r="1750" spans="15:22">
      <c r="O1750" s="1">
        <v>46101</v>
      </c>
      <c r="P1750">
        <v>21.187000000000001</v>
      </c>
      <c r="R1750" s="1">
        <v>46101</v>
      </c>
      <c r="S1750">
        <v>43.437800000000003</v>
      </c>
      <c r="U1750" s="1">
        <v>46101</v>
      </c>
      <c r="V1750">
        <v>68.328900000000004</v>
      </c>
    </row>
    <row r="1751" spans="15:22">
      <c r="O1751" s="1">
        <v>46102</v>
      </c>
      <c r="P1751">
        <v>21.187000000000001</v>
      </c>
      <c r="R1751" s="1">
        <v>46102</v>
      </c>
      <c r="S1751">
        <v>43.437800000000003</v>
      </c>
      <c r="U1751" s="1">
        <v>46102</v>
      </c>
      <c r="V1751">
        <v>68.328900000000004</v>
      </c>
    </row>
    <row r="1752" spans="15:22">
      <c r="O1752" s="1">
        <v>46103</v>
      </c>
      <c r="P1752">
        <v>21.187000000000001</v>
      </c>
      <c r="R1752" s="1">
        <v>46103</v>
      </c>
      <c r="S1752">
        <v>43.437800000000003</v>
      </c>
      <c r="U1752" s="1">
        <v>46103</v>
      </c>
      <c r="V1752">
        <v>68.328900000000004</v>
      </c>
    </row>
    <row r="1753" spans="15:22">
      <c r="O1753" s="1">
        <v>46104</v>
      </c>
      <c r="P1753">
        <v>25.198699999999999</v>
      </c>
      <c r="R1753" s="1">
        <v>46104</v>
      </c>
      <c r="S1753">
        <v>45.191800000000001</v>
      </c>
      <c r="U1753" s="1">
        <v>46104</v>
      </c>
      <c r="V1753">
        <v>70.865200000000002</v>
      </c>
    </row>
    <row r="1754" spans="15:22">
      <c r="O1754" s="1">
        <v>46105</v>
      </c>
      <c r="P1754">
        <v>27.2881</v>
      </c>
      <c r="R1754" s="1">
        <v>46105</v>
      </c>
      <c r="S1754">
        <v>45.083199999999998</v>
      </c>
      <c r="U1754" s="1">
        <v>46105</v>
      </c>
      <c r="V1754">
        <v>75.287499999999994</v>
      </c>
    </row>
    <row r="1755" spans="15:22">
      <c r="O1755" s="1">
        <v>46106</v>
      </c>
      <c r="P1755">
        <v>30.2133</v>
      </c>
      <c r="R1755" s="1">
        <v>46106</v>
      </c>
      <c r="S1755">
        <v>47.135199999999998</v>
      </c>
      <c r="U1755" s="1">
        <v>46106</v>
      </c>
      <c r="V1755">
        <v>77.390299999999996</v>
      </c>
    </row>
    <row r="1756" spans="15:22">
      <c r="O1756" s="1">
        <v>46107</v>
      </c>
      <c r="P1756">
        <v>27.873200000000001</v>
      </c>
      <c r="R1756" s="1">
        <v>46107</v>
      </c>
      <c r="S1756">
        <v>44.9298</v>
      </c>
      <c r="U1756" s="1">
        <v>46107</v>
      </c>
      <c r="V1756">
        <v>78.105599999999995</v>
      </c>
    </row>
    <row r="1757" spans="15:22">
      <c r="O1757" s="1">
        <v>46108</v>
      </c>
      <c r="P1757">
        <v>27.037400000000002</v>
      </c>
      <c r="R1757" s="1">
        <v>46108</v>
      </c>
      <c r="S1757">
        <v>42.928699999999999</v>
      </c>
      <c r="U1757" s="1">
        <v>46108</v>
      </c>
      <c r="V1757">
        <v>73.249799999999993</v>
      </c>
    </row>
    <row r="1758" spans="15:22">
      <c r="O1758" s="1">
        <v>46109</v>
      </c>
      <c r="P1758">
        <v>27.037400000000002</v>
      </c>
      <c r="R1758" s="1">
        <v>46109</v>
      </c>
      <c r="S1758">
        <v>42.928699999999999</v>
      </c>
      <c r="U1758" s="1">
        <v>46109</v>
      </c>
      <c r="V1758">
        <v>73.249799999999993</v>
      </c>
    </row>
    <row r="1759" spans="15:22">
      <c r="O1759" s="1">
        <v>46110</v>
      </c>
      <c r="P1759">
        <v>27.037400000000002</v>
      </c>
      <c r="R1759" s="1">
        <v>46110</v>
      </c>
      <c r="S1759">
        <v>42.928699999999999</v>
      </c>
      <c r="U1759" s="1">
        <v>46110</v>
      </c>
      <c r="V1759">
        <v>73.249799999999993</v>
      </c>
    </row>
    <row r="1760" spans="15:22">
      <c r="O1760" s="1">
        <v>46111</v>
      </c>
      <c r="P1760">
        <v>25.3658</v>
      </c>
      <c r="R1760" s="1">
        <v>46111</v>
      </c>
      <c r="S1760">
        <v>44.608699999999999</v>
      </c>
      <c r="U1760" s="1">
        <v>46111</v>
      </c>
      <c r="V1760">
        <v>67.006600000000006</v>
      </c>
    </row>
    <row r="1761" spans="15:22">
      <c r="O1761" s="1">
        <v>46112</v>
      </c>
      <c r="P1761">
        <v>28.7925</v>
      </c>
      <c r="R1761" s="1">
        <v>46112</v>
      </c>
      <c r="S1761">
        <v>45.3596</v>
      </c>
      <c r="U1761" s="1">
        <v>46112</v>
      </c>
      <c r="V1761">
        <v>68.198800000000006</v>
      </c>
    </row>
    <row r="1762" spans="15:22">
      <c r="O1762" s="1">
        <v>46113</v>
      </c>
      <c r="P1762">
        <v>32.5535</v>
      </c>
      <c r="R1762" s="1">
        <v>46113</v>
      </c>
      <c r="S1762">
        <v>49.325899999999997</v>
      </c>
      <c r="U1762" s="1">
        <v>46113</v>
      </c>
      <c r="V1762">
        <v>68.935900000000004</v>
      </c>
    </row>
    <row r="1763" spans="15:22">
      <c r="O1763" s="1">
        <v>46114</v>
      </c>
      <c r="P1763">
        <v>31.717700000000001</v>
      </c>
      <c r="R1763" s="1">
        <v>46114</v>
      </c>
      <c r="S1763">
        <v>48.487499999999997</v>
      </c>
      <c r="U1763" s="1">
        <v>46114</v>
      </c>
      <c r="V1763">
        <v>72.209299999999999</v>
      </c>
    </row>
    <row r="1764" spans="15:22">
      <c r="O1764" s="1">
        <v>46115</v>
      </c>
      <c r="P1764">
        <v>31.717700000000001</v>
      </c>
      <c r="R1764" s="1">
        <v>46115</v>
      </c>
      <c r="S1764">
        <v>48.487499999999997</v>
      </c>
      <c r="U1764" s="1">
        <v>46115</v>
      </c>
      <c r="V1764">
        <v>72.209299999999999</v>
      </c>
    </row>
    <row r="1765" spans="15:22">
      <c r="O1765" s="1">
        <v>46116</v>
      </c>
      <c r="P1765">
        <v>31.717700000000001</v>
      </c>
      <c r="R1765" s="1">
        <v>46116</v>
      </c>
      <c r="S1765">
        <v>48.487499999999997</v>
      </c>
      <c r="U1765" s="1">
        <v>46116</v>
      </c>
      <c r="V1765">
        <v>72.209299999999999</v>
      </c>
    </row>
    <row r="1766" spans="15:22">
      <c r="O1766" s="1">
        <v>46117</v>
      </c>
      <c r="P1766">
        <v>31.717700000000001</v>
      </c>
      <c r="R1766" s="1">
        <v>46117</v>
      </c>
      <c r="S1766">
        <v>48.487499999999997</v>
      </c>
      <c r="U1766" s="1">
        <v>46117</v>
      </c>
      <c r="V1766">
        <v>72.209299999999999</v>
      </c>
    </row>
    <row r="1767" spans="15:22">
      <c r="O1767" s="1">
        <v>46118</v>
      </c>
      <c r="P1767">
        <v>31.717700000000001</v>
      </c>
      <c r="R1767" s="1">
        <v>46118</v>
      </c>
      <c r="S1767">
        <v>48.487499999999997</v>
      </c>
      <c r="U1767" s="1">
        <v>46118</v>
      </c>
      <c r="V1767">
        <v>75.293000000000006</v>
      </c>
    </row>
    <row r="1768" spans="15:22">
      <c r="O1768" s="1">
        <v>46119</v>
      </c>
      <c r="P1768">
        <v>27.873200000000001</v>
      </c>
      <c r="R1768" s="1">
        <v>46119</v>
      </c>
      <c r="S1768">
        <v>46.907699999999998</v>
      </c>
      <c r="U1768" s="1">
        <v>46119</v>
      </c>
      <c r="V1768">
        <v>75.826899999999995</v>
      </c>
    </row>
    <row r="1769" spans="15:22">
      <c r="O1769" s="1">
        <v>46120</v>
      </c>
      <c r="P1769">
        <v>39.741100000000003</v>
      </c>
      <c r="R1769" s="1">
        <v>46120</v>
      </c>
      <c r="S1769">
        <v>54.336199999999998</v>
      </c>
      <c r="U1769" s="1">
        <v>46120</v>
      </c>
      <c r="V1769">
        <v>82.4084</v>
      </c>
    </row>
    <row r="1770" spans="15:22">
      <c r="O1770" s="1">
        <v>46121</v>
      </c>
      <c r="P1770">
        <v>36.899500000000003</v>
      </c>
      <c r="R1770" s="1">
        <v>46121</v>
      </c>
      <c r="S1770">
        <v>52.5824</v>
      </c>
      <c r="U1770" s="1">
        <v>46121</v>
      </c>
      <c r="V1770">
        <v>81.253399999999999</v>
      </c>
    </row>
    <row r="1771" spans="15:22">
      <c r="O1771" s="1">
        <v>46122</v>
      </c>
      <c r="P1771">
        <v>39.156100000000002</v>
      </c>
      <c r="R1771" s="1">
        <v>46122</v>
      </c>
      <c r="S1771">
        <v>52.562899999999999</v>
      </c>
      <c r="U1771" s="1">
        <v>46122</v>
      </c>
      <c r="V1771">
        <v>79.183000000000007</v>
      </c>
    </row>
    <row r="1772" spans="15:22">
      <c r="O1772" s="1">
        <v>46123</v>
      </c>
      <c r="P1772">
        <v>39.156100000000002</v>
      </c>
      <c r="R1772" s="1">
        <v>46123</v>
      </c>
      <c r="S1772">
        <v>52.562899999999999</v>
      </c>
      <c r="U1772" s="1">
        <v>46123</v>
      </c>
      <c r="V1772">
        <v>79.183000000000007</v>
      </c>
    </row>
    <row r="1773" spans="15:22">
      <c r="O1773" s="1">
        <v>46124</v>
      </c>
      <c r="P1773">
        <v>39.156100000000002</v>
      </c>
      <c r="R1773" s="1">
        <v>46124</v>
      </c>
      <c r="S1773">
        <v>52.562899999999999</v>
      </c>
      <c r="U1773" s="1">
        <v>46124</v>
      </c>
      <c r="V1773">
        <v>79.183000000000007</v>
      </c>
    </row>
    <row r="1774" spans="15:22">
      <c r="O1774" s="1">
        <v>46125</v>
      </c>
      <c r="P1774">
        <v>38.236699999999999</v>
      </c>
      <c r="R1774" s="1">
        <v>46125</v>
      </c>
      <c r="S1774">
        <v>52.168700000000001</v>
      </c>
      <c r="U1774" s="1">
        <v>46125</v>
      </c>
      <c r="V1774">
        <v>79.466399999999993</v>
      </c>
    </row>
    <row r="1775" spans="15:22">
      <c r="O1775" s="1">
        <v>46126</v>
      </c>
      <c r="P1775">
        <v>35.645800000000001</v>
      </c>
      <c r="R1775" s="1">
        <v>46126</v>
      </c>
      <c r="S1775">
        <v>54.102800000000002</v>
      </c>
      <c r="U1775" s="1">
        <v>46126</v>
      </c>
      <c r="V1775">
        <v>80.033000000000001</v>
      </c>
    </row>
    <row r="1776" spans="15:22">
      <c r="O1776" s="1">
        <v>46127</v>
      </c>
      <c r="P1776">
        <v>33.305700000000002</v>
      </c>
      <c r="R1776" s="1">
        <v>46127</v>
      </c>
      <c r="S1776">
        <v>54.246899999999997</v>
      </c>
      <c r="U1776" s="1">
        <v>46127</v>
      </c>
      <c r="V1776">
        <v>79.488200000000006</v>
      </c>
    </row>
    <row r="1777" spans="15:22">
      <c r="O1777" s="1">
        <v>46128</v>
      </c>
      <c r="P1777">
        <v>30.965499999999999</v>
      </c>
      <c r="R1777" s="1">
        <v>46128</v>
      </c>
      <c r="S1777">
        <v>54.8095</v>
      </c>
      <c r="U1777" s="1">
        <v>46128</v>
      </c>
      <c r="V1777">
        <v>84.151899999999998</v>
      </c>
    </row>
    <row r="1778" spans="15:22">
      <c r="O1778" s="1">
        <v>46129</v>
      </c>
      <c r="P1778">
        <v>36.230899999999998</v>
      </c>
      <c r="R1778" s="1">
        <v>46129</v>
      </c>
      <c r="S1778">
        <v>58.3202</v>
      </c>
      <c r="U1778" s="1">
        <v>46129</v>
      </c>
      <c r="V1778">
        <v>87.965699999999998</v>
      </c>
    </row>
    <row r="1779" spans="15:22">
      <c r="O1779" s="1">
        <v>46130</v>
      </c>
      <c r="P1779">
        <v>36.230899999999998</v>
      </c>
      <c r="R1779" s="1">
        <v>46130</v>
      </c>
      <c r="S1779">
        <v>58.3202</v>
      </c>
      <c r="U1779" s="1">
        <v>46130</v>
      </c>
      <c r="V1779">
        <v>87.965699999999998</v>
      </c>
    </row>
    <row r="1780" spans="15:22">
      <c r="O1780" s="1">
        <v>46131</v>
      </c>
      <c r="P1780">
        <v>36.230899999999998</v>
      </c>
      <c r="R1780" s="1">
        <v>46131</v>
      </c>
      <c r="S1780">
        <v>58.3202</v>
      </c>
      <c r="U1780" s="1">
        <v>46131</v>
      </c>
      <c r="V1780">
        <v>87.965699999999998</v>
      </c>
    </row>
    <row r="1781" spans="15:22">
      <c r="O1781" s="1">
        <v>46132</v>
      </c>
      <c r="P1781">
        <v>34.392200000000003</v>
      </c>
      <c r="R1781" s="1">
        <v>46132</v>
      </c>
      <c r="S1781">
        <v>56.497199999999999</v>
      </c>
      <c r="U1781" s="1">
        <v>46132</v>
      </c>
      <c r="V1781">
        <v>91.147499999999994</v>
      </c>
    </row>
    <row r="1782" spans="15:22">
      <c r="O1782" s="1">
        <v>46133</v>
      </c>
      <c r="P1782">
        <v>33.472799999999999</v>
      </c>
      <c r="R1782" s="1">
        <v>46133</v>
      </c>
      <c r="S1782">
        <v>55.555500000000002</v>
      </c>
      <c r="U1782" s="1">
        <v>46133</v>
      </c>
      <c r="V1782">
        <v>95.484300000000005</v>
      </c>
    </row>
    <row r="1783" spans="15:22">
      <c r="O1783" s="1">
        <v>46134</v>
      </c>
      <c r="P1783">
        <v>32.887799999999999</v>
      </c>
      <c r="R1783" s="1">
        <v>46134</v>
      </c>
      <c r="S1783">
        <v>55.068600000000004</v>
      </c>
      <c r="U1783" s="1">
        <v>46134</v>
      </c>
      <c r="V1783">
        <v>95.702200000000005</v>
      </c>
    </row>
    <row r="1784" spans="15:22">
      <c r="O1784" s="1">
        <v>46135</v>
      </c>
      <c r="P1784">
        <v>33.974299999999999</v>
      </c>
      <c r="R1784" s="1">
        <v>46135</v>
      </c>
      <c r="S1784">
        <v>54.8157</v>
      </c>
      <c r="U1784" s="1">
        <v>46135</v>
      </c>
      <c r="V1784">
        <v>93.065299999999993</v>
      </c>
    </row>
    <row r="1785" spans="15:22">
      <c r="O1785" s="1">
        <v>46136</v>
      </c>
      <c r="P1785">
        <v>32.720599999999997</v>
      </c>
      <c r="R1785" s="1">
        <v>46136</v>
      </c>
      <c r="S1785">
        <v>54.646099999999997</v>
      </c>
      <c r="U1785" s="1">
        <v>46136</v>
      </c>
      <c r="V1785">
        <v>93.980599999999995</v>
      </c>
    </row>
    <row r="1786" spans="15:22">
      <c r="O1786" s="1">
        <v>46137</v>
      </c>
      <c r="P1786">
        <v>32.720599999999997</v>
      </c>
      <c r="R1786" s="1">
        <v>46137</v>
      </c>
      <c r="S1786">
        <v>54.646099999999997</v>
      </c>
      <c r="U1786" s="1">
        <v>46137</v>
      </c>
      <c r="V1786">
        <v>93.980599999999995</v>
      </c>
    </row>
    <row r="1787" spans="15:22">
      <c r="O1787" s="1">
        <v>46138</v>
      </c>
      <c r="P1787">
        <v>32.720599999999997</v>
      </c>
      <c r="R1787" s="1">
        <v>46138</v>
      </c>
      <c r="S1787">
        <v>54.646099999999997</v>
      </c>
      <c r="U1787" s="1">
        <v>46138</v>
      </c>
      <c r="V1787">
        <v>93.980599999999995</v>
      </c>
    </row>
    <row r="1788" spans="15:22">
      <c r="O1788" s="1">
        <v>46139</v>
      </c>
      <c r="P1788">
        <v>31.1327</v>
      </c>
      <c r="R1788" s="1">
        <v>46139</v>
      </c>
      <c r="S1788">
        <v>54.354799999999997</v>
      </c>
      <c r="U1788" s="1">
        <v>46139</v>
      </c>
      <c r="V1788">
        <v>92.346100000000007</v>
      </c>
    </row>
    <row r="1789" spans="15:22">
      <c r="O1789" s="1">
        <v>46140</v>
      </c>
      <c r="P1789">
        <v>28.625399999999999</v>
      </c>
      <c r="R1789" s="1">
        <v>46140</v>
      </c>
      <c r="S1789">
        <v>53.936500000000002</v>
      </c>
      <c r="U1789" s="1">
        <v>46140</v>
      </c>
      <c r="V1789">
        <v>89.295100000000005</v>
      </c>
    </row>
    <row r="1790" spans="15:22">
      <c r="O1790" s="1">
        <v>46141</v>
      </c>
      <c r="P1790">
        <v>30.296900000000001</v>
      </c>
      <c r="R1790" s="1">
        <v>46141</v>
      </c>
      <c r="S1790">
        <v>53.528199999999998</v>
      </c>
      <c r="U1790" s="1">
        <v>46141</v>
      </c>
      <c r="V1790">
        <v>95.200999999999993</v>
      </c>
    </row>
    <row r="1791" spans="15:22">
      <c r="O1791" s="1">
        <v>46142</v>
      </c>
      <c r="P1791">
        <v>34.893599999999999</v>
      </c>
      <c r="R1791" s="1">
        <v>46142</v>
      </c>
      <c r="S1791">
        <v>55.693300000000001</v>
      </c>
      <c r="U1791" s="1">
        <v>46142</v>
      </c>
      <c r="V1791">
        <v>99.4071</v>
      </c>
    </row>
    <row r="1792" spans="15:22">
      <c r="O1792" s="1">
        <v>46143</v>
      </c>
      <c r="P1792">
        <v>34.893599999999999</v>
      </c>
      <c r="R1792" s="1">
        <v>46143</v>
      </c>
      <c r="S1792">
        <v>55.693300000000001</v>
      </c>
      <c r="U1792" s="1">
        <v>46143</v>
      </c>
      <c r="V1792">
        <v>100.1698</v>
      </c>
    </row>
    <row r="1793" spans="15:22">
      <c r="O1793" s="1">
        <v>46144</v>
      </c>
      <c r="P1793">
        <v>34.893599999999999</v>
      </c>
      <c r="R1793" s="1">
        <v>46144</v>
      </c>
      <c r="S1793">
        <v>55.693300000000001</v>
      </c>
      <c r="U1793" s="1">
        <v>46144</v>
      </c>
      <c r="V1793">
        <v>100.1698</v>
      </c>
    </row>
    <row r="1794" spans="15:22">
      <c r="O1794" s="1">
        <v>46145</v>
      </c>
      <c r="P1794">
        <v>34.893599999999999</v>
      </c>
      <c r="R1794" s="1">
        <v>46145</v>
      </c>
      <c r="S1794">
        <v>55.693300000000001</v>
      </c>
      <c r="U1794" s="1">
        <v>46145</v>
      </c>
      <c r="V1794">
        <v>100.1698</v>
      </c>
    </row>
    <row r="1795" spans="15:22">
      <c r="O1795" s="1">
        <v>46146</v>
      </c>
      <c r="P1795">
        <v>32.052</v>
      </c>
      <c r="R1795" s="1">
        <v>46146</v>
      </c>
      <c r="S1795">
        <v>53.763500000000001</v>
      </c>
      <c r="U1795" s="1">
        <v>46146</v>
      </c>
      <c r="V1795">
        <v>101.86969999999999</v>
      </c>
    </row>
    <row r="1796" spans="15:22">
      <c r="O1796" s="1">
        <v>46147</v>
      </c>
      <c r="P1796">
        <v>36.230899999999998</v>
      </c>
      <c r="R1796" s="1">
        <v>46147</v>
      </c>
      <c r="S1796">
        <v>56.393999999999998</v>
      </c>
      <c r="U1796" s="1">
        <v>46147</v>
      </c>
      <c r="V1796">
        <v>105.5091</v>
      </c>
    </row>
    <row r="1797" spans="15:22">
      <c r="O1797" s="1">
        <v>46148</v>
      </c>
      <c r="P1797">
        <v>39.490400000000001</v>
      </c>
      <c r="R1797" s="1">
        <v>46148</v>
      </c>
      <c r="S1797">
        <v>59.7074</v>
      </c>
      <c r="U1797" s="1">
        <v>46148</v>
      </c>
      <c r="V1797">
        <v>99.712199999999996</v>
      </c>
    </row>
    <row r="1798" spans="15:22">
      <c r="O1798" s="1">
        <v>46149</v>
      </c>
      <c r="P1798">
        <v>39.072499999999998</v>
      </c>
      <c r="R1798" s="1">
        <v>46149</v>
      </c>
      <c r="S1798">
        <v>58.072600000000001</v>
      </c>
      <c r="U1798" s="1">
        <v>46149</v>
      </c>
      <c r="V1798">
        <v>100.8454</v>
      </c>
    </row>
    <row r="1799" spans="15:22">
      <c r="O1799" s="1">
        <v>46150</v>
      </c>
      <c r="P1799">
        <v>37.9024</v>
      </c>
      <c r="R1799" s="1">
        <v>46150</v>
      </c>
      <c r="S1799">
        <v>55.989800000000002</v>
      </c>
      <c r="U1799" s="1">
        <v>46150</v>
      </c>
      <c r="V1799">
        <v>110.4562</v>
      </c>
    </row>
    <row r="1800" spans="15:22">
      <c r="O1800" s="1">
        <v>46151</v>
      </c>
      <c r="P1800">
        <v>37.9024</v>
      </c>
      <c r="R1800" s="1">
        <v>46151</v>
      </c>
      <c r="S1800">
        <v>55.989800000000002</v>
      </c>
      <c r="U1800" s="1">
        <v>46151</v>
      </c>
      <c r="V1800">
        <v>110.4562</v>
      </c>
    </row>
    <row r="1801" spans="15:22">
      <c r="O1801" s="1">
        <v>46152</v>
      </c>
      <c r="P1801">
        <v>37.9024</v>
      </c>
      <c r="R1801" s="1">
        <v>46152</v>
      </c>
      <c r="S1801">
        <v>55.989800000000002</v>
      </c>
      <c r="U1801" s="1">
        <v>46152</v>
      </c>
      <c r="V1801">
        <v>110.4562</v>
      </c>
    </row>
    <row r="1802" spans="15:22">
      <c r="O1802" s="1">
        <v>46153</v>
      </c>
      <c r="P1802">
        <v>40.242600000000003</v>
      </c>
      <c r="R1802" s="1">
        <v>46153</v>
      </c>
      <c r="S1802">
        <v>56.064399999999999</v>
      </c>
      <c r="U1802" s="1">
        <v>46153</v>
      </c>
      <c r="V1802">
        <v>115.1417</v>
      </c>
    </row>
    <row r="1803" spans="15:22">
      <c r="O1803" s="1">
        <v>46154</v>
      </c>
      <c r="P1803">
        <v>35.478700000000003</v>
      </c>
      <c r="R1803" s="1">
        <v>46154</v>
      </c>
      <c r="S1803">
        <v>53.5306</v>
      </c>
      <c r="U1803" s="1">
        <v>46154</v>
      </c>
      <c r="V1803">
        <v>116.3839</v>
      </c>
    </row>
    <row r="1804" spans="15:22">
      <c r="O1804" s="1">
        <v>46155</v>
      </c>
      <c r="P1804">
        <v>36.398000000000003</v>
      </c>
      <c r="R1804" s="1">
        <v>46155</v>
      </c>
      <c r="S1804">
        <v>54.696300000000001</v>
      </c>
      <c r="U1804" s="1">
        <v>46155</v>
      </c>
      <c r="V1804">
        <v>122.0065</v>
      </c>
    </row>
    <row r="1805" spans="15:22">
      <c r="O1805" s="1">
        <v>46156</v>
      </c>
      <c r="P1805">
        <v>37.735300000000002</v>
      </c>
      <c r="R1805" s="1">
        <v>46156</v>
      </c>
      <c r="S1805">
        <v>56.743699999999997</v>
      </c>
      <c r="U1805" s="1">
        <v>46156</v>
      </c>
      <c r="V1805">
        <v>151.77590000000001</v>
      </c>
    </row>
    <row r="1806" spans="15:22">
      <c r="O1806" s="1">
        <v>46157</v>
      </c>
      <c r="P1806">
        <v>36.398000000000003</v>
      </c>
      <c r="R1806" s="1">
        <v>46157</v>
      </c>
      <c r="S1806">
        <v>53.502600000000001</v>
      </c>
      <c r="U1806" s="1">
        <v>46157</v>
      </c>
      <c r="V1806">
        <v>157.6165</v>
      </c>
    </row>
    <row r="1807" spans="15:22">
      <c r="O1807" s="1">
        <v>46158</v>
      </c>
      <c r="P1807">
        <v>36.398000000000003</v>
      </c>
      <c r="R1807" s="1">
        <v>46158</v>
      </c>
      <c r="S1807">
        <v>53.502600000000001</v>
      </c>
      <c r="U1807" s="1">
        <v>46158</v>
      </c>
      <c r="V1807">
        <v>157.6165</v>
      </c>
    </row>
    <row r="1808" spans="15:22">
      <c r="O1808" s="1">
        <v>46159</v>
      </c>
      <c r="P1808">
        <v>36.398000000000003</v>
      </c>
      <c r="R1808" s="1">
        <v>46159</v>
      </c>
      <c r="S1808">
        <v>53.502600000000001</v>
      </c>
      <c r="U1808" s="1">
        <v>46159</v>
      </c>
      <c r="V1808">
        <v>157.6165</v>
      </c>
    </row>
    <row r="1809" spans="15:22">
      <c r="O1809" s="1">
        <v>46160</v>
      </c>
      <c r="P1809">
        <v>34.726500000000001</v>
      </c>
      <c r="R1809" s="1">
        <v>46160</v>
      </c>
      <c r="S1809">
        <v>55.792900000000003</v>
      </c>
      <c r="U1809" s="1">
        <v>46160</v>
      </c>
      <c r="V1809">
        <v>159.07660000000001</v>
      </c>
    </row>
    <row r="1810" spans="15:22">
      <c r="O1810" s="1">
        <v>46161</v>
      </c>
      <c r="P1810">
        <v>31.717700000000001</v>
      </c>
      <c r="R1810" s="1">
        <v>46161</v>
      </c>
      <c r="S1810">
        <v>56.387300000000003</v>
      </c>
      <c r="U1810" s="1">
        <v>46161</v>
      </c>
      <c r="V1810">
        <v>151.44900000000001</v>
      </c>
    </row>
    <row r="1811" spans="15:22">
      <c r="O1811" s="1">
        <v>46162</v>
      </c>
      <c r="P1811">
        <v>33.054900000000004</v>
      </c>
      <c r="R1811" s="1">
        <v>46162</v>
      </c>
      <c r="S1811">
        <v>58.544499999999999</v>
      </c>
      <c r="U1811" s="1">
        <v>46162</v>
      </c>
      <c r="V1811">
        <v>149.20439999999999</v>
      </c>
    </row>
    <row r="1812" spans="15:22">
      <c r="O1812" s="1">
        <v>46163</v>
      </c>
      <c r="P1812">
        <v>33.723599999999998</v>
      </c>
      <c r="R1812" s="1">
        <v>46163</v>
      </c>
      <c r="S1812">
        <v>57.708300000000001</v>
      </c>
      <c r="U1812" s="1">
        <v>46163</v>
      </c>
      <c r="V1812">
        <v>157.59469999999999</v>
      </c>
    </row>
    <row r="1813" spans="15:22">
      <c r="O1813" s="1">
        <v>46164</v>
      </c>
      <c r="P1813">
        <v>35.228000000000002</v>
      </c>
      <c r="R1813" s="1">
        <v>46164</v>
      </c>
      <c r="S1813">
        <v>59.514299999999999</v>
      </c>
      <c r="U1813" s="1">
        <v>46164</v>
      </c>
      <c r="V1813">
        <v>162.411</v>
      </c>
    </row>
    <row r="1814" spans="15:22">
      <c r="O1814" s="1">
        <v>46165</v>
      </c>
      <c r="P1814">
        <v>35.228000000000002</v>
      </c>
      <c r="R1814" s="1">
        <v>46165</v>
      </c>
      <c r="S1814">
        <v>59.514299999999999</v>
      </c>
      <c r="U1814" s="1">
        <v>46165</v>
      </c>
      <c r="V1814">
        <v>162.411</v>
      </c>
    </row>
    <row r="1815" spans="15:22">
      <c r="O1815" s="1">
        <v>46166</v>
      </c>
      <c r="P1815">
        <v>35.228000000000002</v>
      </c>
      <c r="R1815" s="1">
        <v>46166</v>
      </c>
      <c r="S1815">
        <v>59.514299999999999</v>
      </c>
      <c r="U1815" s="1">
        <v>46166</v>
      </c>
      <c r="V1815">
        <v>162.411</v>
      </c>
    </row>
    <row r="1816" spans="15:22">
      <c r="O1816" s="1">
        <v>46167</v>
      </c>
      <c r="P1816">
        <v>41.161900000000003</v>
      </c>
      <c r="R1816" s="1">
        <v>46167</v>
      </c>
      <c r="S1816">
        <v>62.7224</v>
      </c>
      <c r="U1816" s="1">
        <v>46167</v>
      </c>
      <c r="V1816">
        <v>162.411</v>
      </c>
    </row>
    <row r="1817" spans="15:22">
      <c r="O1817" s="1">
        <v>46168</v>
      </c>
      <c r="P1817">
        <v>40.911200000000001</v>
      </c>
      <c r="R1817" s="1">
        <v>46168</v>
      </c>
      <c r="S1817">
        <v>61.413600000000002</v>
      </c>
      <c r="U1817" s="1">
        <v>46168</v>
      </c>
      <c r="V1817">
        <v>157.87799999999999</v>
      </c>
    </row>
    <row r="1818" spans="15:22">
      <c r="O1818" s="1">
        <v>46169</v>
      </c>
      <c r="P1818">
        <v>44.0871</v>
      </c>
      <c r="R1818" s="1">
        <v>46169</v>
      </c>
      <c r="S1818">
        <v>61.368099999999998</v>
      </c>
      <c r="U1818" s="1">
        <v>46169</v>
      </c>
      <c r="V1818">
        <v>160.79830000000001</v>
      </c>
    </row>
    <row r="1819" spans="15:22">
      <c r="O1819" s="1">
        <v>46170</v>
      </c>
      <c r="P1819">
        <v>43.334899999999998</v>
      </c>
      <c r="R1819" s="1">
        <v>46170</v>
      </c>
      <c r="S1819">
        <v>60.819800000000001</v>
      </c>
      <c r="U1819" s="1">
        <v>46170</v>
      </c>
      <c r="V1819">
        <v>158.55359999999999</v>
      </c>
    </row>
    <row r="1820" spans="15:22">
      <c r="O1820" s="1">
        <v>46171</v>
      </c>
      <c r="P1820">
        <v>41.078400000000002</v>
      </c>
      <c r="R1820" s="1">
        <v>46171</v>
      </c>
      <c r="S1820">
        <v>60.8996</v>
      </c>
      <c r="U1820" s="1">
        <v>46171</v>
      </c>
      <c r="V1820">
        <v>162.43279999999999</v>
      </c>
    </row>
    <row r="1821" spans="15:22">
      <c r="O1821" s="1">
        <v>46172</v>
      </c>
      <c r="P1821">
        <v>41.078400000000002</v>
      </c>
      <c r="R1821" s="1">
        <v>46172</v>
      </c>
      <c r="S1821">
        <v>60.8996</v>
      </c>
      <c r="U1821" s="1">
        <v>46172</v>
      </c>
      <c r="V1821">
        <v>162.43279999999999</v>
      </c>
    </row>
    <row r="1822" spans="15:22">
      <c r="O1822" s="1">
        <v>46173</v>
      </c>
      <c r="P1822">
        <v>41.078400000000002</v>
      </c>
      <c r="R1822" s="1">
        <v>46173</v>
      </c>
      <c r="S1822">
        <v>60.8996</v>
      </c>
      <c r="U1822" s="1">
        <v>46173</v>
      </c>
      <c r="V1822">
        <v>162.43279999999999</v>
      </c>
    </row>
    <row r="1823" spans="15:22">
      <c r="O1823" s="1">
        <v>46174</v>
      </c>
      <c r="P1823">
        <v>40.3262</v>
      </c>
      <c r="R1823" s="1">
        <v>46174</v>
      </c>
      <c r="S1823">
        <v>60.248100000000001</v>
      </c>
      <c r="U1823" s="1">
        <v>46174</v>
      </c>
      <c r="V1823">
        <v>164.41589999999999</v>
      </c>
    </row>
    <row r="1824" spans="15:22">
      <c r="O1824" s="1">
        <v>46175</v>
      </c>
      <c r="P1824">
        <v>44.505000000000003</v>
      </c>
      <c r="R1824" s="1">
        <v>46175</v>
      </c>
      <c r="S1824">
        <v>61.0244</v>
      </c>
      <c r="U1824" s="1">
        <v>46175</v>
      </c>
      <c r="V1824">
        <v>178.952</v>
      </c>
    </row>
    <row r="1825" spans="15:22">
      <c r="O1825" s="1">
        <v>46176</v>
      </c>
      <c r="P1825">
        <v>45.1736</v>
      </c>
      <c r="R1825" s="1">
        <v>46176</v>
      </c>
      <c r="S1825">
        <v>58.920699999999997</v>
      </c>
      <c r="U1825" s="1">
        <v>46176</v>
      </c>
      <c r="V1825">
        <v>175.68299999999999</v>
      </c>
    </row>
    <row r="1826" spans="15:22">
      <c r="O1826" s="1">
        <v>46177</v>
      </c>
      <c r="P1826">
        <v>44.5886</v>
      </c>
      <c r="R1826" s="1">
        <v>46177</v>
      </c>
      <c r="S1826">
        <v>59.875799999999998</v>
      </c>
      <c r="U1826" s="1">
        <v>46177</v>
      </c>
      <c r="V1826">
        <v>183.31059999999999</v>
      </c>
    </row>
    <row r="1827" spans="15:22">
      <c r="O1827" s="1">
        <v>46178</v>
      </c>
      <c r="P1827">
        <v>41.329099999999997</v>
      </c>
      <c r="R1827" s="1">
        <v>46178</v>
      </c>
      <c r="S1827">
        <v>58.6843</v>
      </c>
      <c r="U1827" s="1">
        <v>46178</v>
      </c>
      <c r="V1827">
        <v>165.0915</v>
      </c>
    </row>
    <row r="1828" spans="15:22">
      <c r="O1828" s="1">
        <v>46179</v>
      </c>
      <c r="P1828">
        <v>41.329099999999997</v>
      </c>
      <c r="R1828" s="1">
        <v>46179</v>
      </c>
      <c r="S1828">
        <v>58.6843</v>
      </c>
      <c r="U1828" s="1">
        <v>46179</v>
      </c>
      <c r="V1828">
        <v>165.0915</v>
      </c>
    </row>
    <row r="1829" spans="15:22">
      <c r="O1829" s="1">
        <v>46180</v>
      </c>
      <c r="P1829">
        <v>41.329099999999997</v>
      </c>
      <c r="R1829" s="1">
        <v>46180</v>
      </c>
      <c r="S1829">
        <v>58.6843</v>
      </c>
      <c r="U1829" s="1">
        <v>46180</v>
      </c>
      <c r="V1829">
        <v>165.0915</v>
      </c>
    </row>
    <row r="1830" spans="15:22">
      <c r="O1830" s="1">
        <v>46181</v>
      </c>
      <c r="P1830">
        <v>42.415599999999998</v>
      </c>
      <c r="R1830" s="1">
        <v>46181</v>
      </c>
      <c r="S1830">
        <v>57.768900000000002</v>
      </c>
      <c r="U1830" s="1">
        <v>46181</v>
      </c>
      <c r="V1830">
        <v>170.5616</v>
      </c>
    </row>
    <row r="1831" spans="15:22">
      <c r="O1831" s="1">
        <v>46182</v>
      </c>
      <c r="P1831">
        <v>41.496200000000002</v>
      </c>
      <c r="R1831" s="1">
        <v>46182</v>
      </c>
      <c r="S1831">
        <v>56.594999999999999</v>
      </c>
      <c r="U1831" s="1">
        <v>46182</v>
      </c>
      <c r="V1831">
        <v>162.30199999999999</v>
      </c>
    </row>
    <row r="1832" spans="15:22">
      <c r="O1832" s="1">
        <v>46183</v>
      </c>
      <c r="P1832">
        <v>36.732300000000002</v>
      </c>
      <c r="R1832" s="1">
        <v>46183</v>
      </c>
      <c r="S1832">
        <v>55.071199999999997</v>
      </c>
      <c r="U1832" s="1">
        <v>46183</v>
      </c>
      <c r="V1832">
        <v>158.9023</v>
      </c>
    </row>
    <row r="1833" spans="15:22">
      <c r="O1833" s="1">
        <v>46184</v>
      </c>
      <c r="P1833">
        <v>37.985999999999997</v>
      </c>
      <c r="R1833" s="1">
        <v>46184</v>
      </c>
      <c r="S1833">
        <v>55.163499999999999</v>
      </c>
      <c r="U1833" s="1">
        <v>46184</v>
      </c>
      <c r="V1833">
        <v>165.50559999999999</v>
      </c>
    </row>
    <row r="1834" spans="15:22">
      <c r="O1834" s="1">
        <v>46185</v>
      </c>
      <c r="P1834">
        <v>41.914099999999998</v>
      </c>
      <c r="R1834" s="1">
        <v>46185</v>
      </c>
      <c r="S1834">
        <v>57.891199999999998</v>
      </c>
      <c r="U1834" s="1">
        <v>46185</v>
      </c>
      <c r="V1834">
        <v>163.91470000000001</v>
      </c>
    </row>
    <row r="1835" spans="15:22">
      <c r="O1835" s="1">
        <v>46186</v>
      </c>
      <c r="P1835">
        <v>41.914099999999998</v>
      </c>
      <c r="R1835" s="1">
        <v>46186</v>
      </c>
      <c r="S1835">
        <v>57.891199999999998</v>
      </c>
      <c r="U1835" s="1">
        <v>46186</v>
      </c>
      <c r="V1835">
        <v>163.91470000000001</v>
      </c>
    </row>
    <row r="1836" spans="15:22">
      <c r="O1836" s="1">
        <v>46187</v>
      </c>
      <c r="P1836">
        <v>41.914099999999998</v>
      </c>
      <c r="R1836" s="1">
        <v>46187</v>
      </c>
      <c r="S1836">
        <v>57.891199999999998</v>
      </c>
      <c r="U1836" s="1">
        <v>46187</v>
      </c>
      <c r="V1836">
        <v>163.91470000000001</v>
      </c>
    </row>
    <row r="1837" spans="15:22">
      <c r="O1837" s="1">
        <v>46188</v>
      </c>
      <c r="P1837">
        <v>44.0871</v>
      </c>
      <c r="R1837" s="1">
        <v>46188</v>
      </c>
      <c r="S1837">
        <v>59.549300000000002</v>
      </c>
      <c r="U1837" s="1">
        <v>46188</v>
      </c>
      <c r="V1837">
        <v>161.8879</v>
      </c>
    </row>
    <row r="1838" spans="15:22">
      <c r="O1838" s="1">
        <v>46189</v>
      </c>
      <c r="P1838">
        <v>45.842300000000002</v>
      </c>
      <c r="R1838" s="1">
        <v>46189</v>
      </c>
      <c r="S1838">
        <v>59.654400000000003</v>
      </c>
      <c r="U1838" s="1">
        <v>46189</v>
      </c>
      <c r="V1838">
        <v>160.5804</v>
      </c>
    </row>
    <row r="1839" spans="15:22">
      <c r="O1839" s="1">
        <v>46190</v>
      </c>
      <c r="P1839">
        <v>45.549700000000001</v>
      </c>
      <c r="R1839" s="1">
        <v>46190</v>
      </c>
      <c r="S1839">
        <v>59.809899999999999</v>
      </c>
      <c r="U1839" s="1">
        <v>46190</v>
      </c>
      <c r="V1839">
        <v>155.6987</v>
      </c>
    </row>
    <row r="1840" spans="15:22">
      <c r="O1840" s="1">
        <v>46191</v>
      </c>
      <c r="P1840">
        <v>45.635599999999997</v>
      </c>
      <c r="R1840" s="1">
        <v>46191</v>
      </c>
      <c r="S1840">
        <v>60.400300000000001</v>
      </c>
      <c r="U1840" s="1">
        <v>46191</v>
      </c>
      <c r="V1840">
        <v>160.51499999999999</v>
      </c>
    </row>
    <row r="1841" spans="15:22">
      <c r="O1841" s="1">
        <v>46192</v>
      </c>
      <c r="P1841">
        <v>42.286700000000003</v>
      </c>
      <c r="R1841" s="1">
        <v>46192</v>
      </c>
      <c r="S1841">
        <v>60.137700000000002</v>
      </c>
      <c r="U1841" s="1">
        <v>46192</v>
      </c>
      <c r="V1841">
        <v>160.51499999999999</v>
      </c>
    </row>
    <row r="1842" spans="15:22">
      <c r="O1842" s="1">
        <v>46193</v>
      </c>
      <c r="P1842">
        <v>42.286700000000003</v>
      </c>
      <c r="R1842" s="1">
        <v>46193</v>
      </c>
      <c r="S1842">
        <v>60.137700000000002</v>
      </c>
      <c r="U1842" s="1">
        <v>46193</v>
      </c>
      <c r="V1842">
        <v>160.51499999999999</v>
      </c>
    </row>
    <row r="1843" spans="15:22">
      <c r="O1843" s="1">
        <v>46194</v>
      </c>
      <c r="P1843">
        <v>42.286700000000003</v>
      </c>
      <c r="R1843" s="1">
        <v>46194</v>
      </c>
      <c r="S1843">
        <v>60.137700000000002</v>
      </c>
      <c r="U1843" s="1">
        <v>46194</v>
      </c>
      <c r="V1843">
        <v>160.51499999999999</v>
      </c>
    </row>
    <row r="1844" spans="15:22">
      <c r="O1844" s="1">
        <v>46195</v>
      </c>
      <c r="P1844">
        <v>41.943199999999997</v>
      </c>
      <c r="R1844" s="1">
        <v>46195</v>
      </c>
      <c r="S1844">
        <v>61.123899999999999</v>
      </c>
      <c r="U1844" s="1">
        <v>46195</v>
      </c>
      <c r="V1844">
        <v>164.8518</v>
      </c>
    </row>
    <row r="1845" spans="15:22">
      <c r="O1845" s="1">
        <v>46196</v>
      </c>
      <c r="P1845">
        <v>38.164900000000003</v>
      </c>
      <c r="R1845" s="1">
        <v>46196</v>
      </c>
      <c r="S1845">
        <v>59.546500000000002</v>
      </c>
      <c r="U1845" s="1">
        <v>46196</v>
      </c>
      <c r="V1845">
        <v>164.02369999999999</v>
      </c>
    </row>
    <row r="1846" spans="15:22">
      <c r="O1846" s="1">
        <v>46197</v>
      </c>
      <c r="P1846">
        <v>35.502899999999997</v>
      </c>
      <c r="R1846" s="1">
        <v>46197</v>
      </c>
      <c r="S1846">
        <v>58.564500000000002</v>
      </c>
      <c r="U1846" s="1">
        <v>46197</v>
      </c>
      <c r="V1846">
        <v>160.92910000000001</v>
      </c>
    </row>
    <row r="1847" spans="15:22">
      <c r="O1847" s="1">
        <v>46198</v>
      </c>
      <c r="P1847">
        <v>39.796399999999998</v>
      </c>
      <c r="R1847" s="1">
        <v>46198</v>
      </c>
      <c r="S1847">
        <v>60.195399999999999</v>
      </c>
      <c r="U1847" s="1">
        <v>46198</v>
      </c>
      <c r="V1847">
        <v>159.27279999999999</v>
      </c>
    </row>
    <row r="1848" spans="15:22">
      <c r="O1848" s="1">
        <v>46199</v>
      </c>
      <c r="P1848">
        <v>37.134500000000003</v>
      </c>
      <c r="R1848" s="1">
        <v>46199</v>
      </c>
      <c r="S1848">
        <v>58.121400000000001</v>
      </c>
      <c r="U1848" s="1">
        <v>46199</v>
      </c>
      <c r="V1848">
        <v>147.94030000000001</v>
      </c>
    </row>
    <row r="1849" spans="15:22">
      <c r="O1849" s="1">
        <v>46200</v>
      </c>
      <c r="P1849">
        <v>37.134500000000003</v>
      </c>
      <c r="R1849" s="1">
        <v>46200</v>
      </c>
      <c r="S1849">
        <v>58.121400000000001</v>
      </c>
      <c r="U1849" s="1">
        <v>46200</v>
      </c>
      <c r="V1849">
        <v>147.94030000000001</v>
      </c>
    </row>
    <row r="1850" spans="15:22">
      <c r="O1850" s="1">
        <v>46201</v>
      </c>
      <c r="P1850">
        <v>37.134500000000003</v>
      </c>
      <c r="R1850" s="1">
        <v>46201</v>
      </c>
      <c r="S1850">
        <v>58.121400000000001</v>
      </c>
      <c r="U1850" s="1">
        <v>46201</v>
      </c>
      <c r="V1850">
        <v>147.94030000000001</v>
      </c>
    </row>
    <row r="1851" spans="15:22">
      <c r="O1851" s="1">
        <v>46202</v>
      </c>
      <c r="P1851">
        <v>36.876899999999999</v>
      </c>
      <c r="R1851" s="1">
        <v>46202</v>
      </c>
      <c r="S1851">
        <v>57.837299999999999</v>
      </c>
      <c r="U1851" s="1">
        <v>46202</v>
      </c>
      <c r="V1851">
        <v>156.505</v>
      </c>
    </row>
    <row r="1852" spans="15:22">
      <c r="O1852" s="1">
        <v>46203</v>
      </c>
      <c r="P1852">
        <v>42.458399999999997</v>
      </c>
      <c r="R1852" s="1">
        <v>46203</v>
      </c>
      <c r="S1852">
        <v>60.201700000000002</v>
      </c>
      <c r="U1852" s="1">
        <v>46203</v>
      </c>
      <c r="V1852">
        <v>155.982</v>
      </c>
    </row>
    <row r="1853" spans="15:22">
      <c r="O1853" s="1">
        <v>46204</v>
      </c>
      <c r="P1853">
        <v>43.231299999999997</v>
      </c>
      <c r="R1853" s="1">
        <v>46204</v>
      </c>
      <c r="S1853">
        <v>60.486699999999999</v>
      </c>
      <c r="U1853" s="1">
        <v>46204</v>
      </c>
      <c r="V1853">
        <v>155.00129999999999</v>
      </c>
    </row>
    <row r="1854" spans="15:22">
      <c r="O1854" s="1">
        <v>46205</v>
      </c>
      <c r="P1854">
        <v>43.832299999999996</v>
      </c>
      <c r="R1854" s="1">
        <v>46205</v>
      </c>
      <c r="S1854">
        <v>60.960700000000003</v>
      </c>
      <c r="U1854" s="1">
        <v>46205</v>
      </c>
      <c r="V1854">
        <v>155.00129999999999</v>
      </c>
    </row>
    <row r="1855" spans="15:22">
      <c r="O1855" s="1"/>
      <c r="R1855" s="1"/>
      <c r="U1855" s="1"/>
    </row>
    <row r="1856" spans="15:22">
      <c r="O1856" s="1"/>
      <c r="R1856" s="1"/>
      <c r="U1856" s="1"/>
    </row>
    <row r="1857" spans="15:21">
      <c r="O1857" s="1"/>
      <c r="R1857" s="1"/>
      <c r="U1857" s="1"/>
    </row>
    <row r="1858" spans="15:21">
      <c r="O1858" s="1"/>
      <c r="R1858" s="1"/>
      <c r="U1858" s="1"/>
    </row>
    <row r="1859" spans="15:21">
      <c r="O1859" s="1"/>
      <c r="R1859" s="1"/>
      <c r="U1859" s="1"/>
    </row>
    <row r="1860" spans="15:21">
      <c r="O1860" s="1"/>
      <c r="R1860" s="1"/>
      <c r="U1860" s="1"/>
    </row>
    <row r="1861" spans="15:21">
      <c r="O1861" s="1"/>
      <c r="R1861" s="1"/>
      <c r="U1861" s="1"/>
    </row>
    <row r="1862" spans="15:21">
      <c r="O1862" s="1"/>
      <c r="R1862" s="1"/>
      <c r="U1862" s="1"/>
    </row>
    <row r="1863" spans="15:21">
      <c r="O1863" s="1"/>
      <c r="R1863" s="1"/>
      <c r="U1863" s="1"/>
    </row>
    <row r="1864" spans="15:21">
      <c r="O1864" s="1"/>
      <c r="R1864" s="1"/>
      <c r="U1864" s="1"/>
    </row>
    <row r="1865" spans="15:21">
      <c r="O1865" s="1"/>
      <c r="R1865" s="1"/>
      <c r="U1865" s="1"/>
    </row>
    <row r="1866" spans="15:21">
      <c r="O1866" s="1"/>
      <c r="R1866" s="1"/>
      <c r="U1866" s="1"/>
    </row>
    <row r="1867" spans="15:21">
      <c r="O1867" s="1"/>
      <c r="R1867" s="1"/>
      <c r="U1867" s="1"/>
    </row>
    <row r="1868" spans="15:21">
      <c r="O1868" s="1"/>
      <c r="R1868" s="1"/>
      <c r="U1868" s="1"/>
    </row>
    <row r="1869" spans="15:21">
      <c r="O1869" s="1"/>
      <c r="R1869" s="1"/>
      <c r="U1869" s="1"/>
    </row>
    <row r="1870" spans="15:21">
      <c r="O1870" s="1"/>
      <c r="R1870" s="1"/>
      <c r="U1870" s="1"/>
    </row>
    <row r="1871" spans="15:21">
      <c r="O1871" s="1"/>
      <c r="R1871" s="1"/>
      <c r="U1871" s="1"/>
    </row>
    <row r="1872" spans="15:21">
      <c r="O1872" s="1"/>
      <c r="R1872" s="1"/>
      <c r="U1872" s="1"/>
    </row>
    <row r="1873" spans="15:21">
      <c r="O1873" s="1"/>
      <c r="R1873" s="1"/>
      <c r="U1873" s="1"/>
    </row>
    <row r="1874" spans="15:21">
      <c r="O1874" s="1"/>
      <c r="R1874" s="1"/>
      <c r="U1874" s="1"/>
    </row>
    <row r="1875" spans="15:21">
      <c r="O1875" s="1"/>
      <c r="R1875" s="1"/>
      <c r="U1875" s="1"/>
    </row>
    <row r="1876" spans="15:21">
      <c r="O1876" s="1"/>
      <c r="R1876" s="1"/>
      <c r="U1876" s="1"/>
    </row>
    <row r="1877" spans="15:21">
      <c r="O1877" s="1"/>
      <c r="R1877" s="1"/>
      <c r="U1877" s="1"/>
    </row>
    <row r="1878" spans="15:21">
      <c r="O1878" s="1"/>
      <c r="R1878" s="1"/>
      <c r="U1878" s="1"/>
    </row>
    <row r="1879" spans="15:21">
      <c r="O1879" s="1"/>
      <c r="R1879" s="1"/>
      <c r="U1879" s="1"/>
    </row>
    <row r="1880" spans="15:21">
      <c r="O1880" s="1"/>
      <c r="R1880" s="1"/>
      <c r="U1880" s="1"/>
    </row>
    <row r="1881" spans="15:21">
      <c r="O1881" s="1"/>
      <c r="R1881" s="1"/>
      <c r="U1881" s="1"/>
    </row>
    <row r="1882" spans="15:21">
      <c r="O1882" s="1"/>
      <c r="R1882" s="1"/>
      <c r="U1882" s="1"/>
    </row>
    <row r="1883" spans="15:21">
      <c r="O1883" s="1"/>
      <c r="R1883" s="1"/>
      <c r="U1883" s="1"/>
    </row>
    <row r="1884" spans="15:21">
      <c r="O1884" s="1"/>
      <c r="R1884" s="1"/>
      <c r="U1884" s="1"/>
    </row>
    <row r="1885" spans="15:21">
      <c r="O1885" s="1"/>
      <c r="R1885" s="1"/>
      <c r="U1885" s="1"/>
    </row>
    <row r="1886" spans="15:21">
      <c r="O1886" s="1"/>
      <c r="R1886" s="1"/>
      <c r="U1886" s="1"/>
    </row>
    <row r="1887" spans="15:21">
      <c r="O1887" s="1"/>
      <c r="R1887" s="1"/>
      <c r="U1887" s="1"/>
    </row>
    <row r="1888" spans="15:21">
      <c r="O1888" s="1"/>
      <c r="R1888" s="1"/>
      <c r="U1888" s="1"/>
    </row>
    <row r="1889" spans="15:21">
      <c r="O1889" s="1"/>
      <c r="R1889" s="1"/>
      <c r="U1889" s="1"/>
    </row>
    <row r="1890" spans="15:21">
      <c r="O1890" s="1"/>
      <c r="R1890" s="1"/>
      <c r="U1890" s="1"/>
    </row>
    <row r="1891" spans="15:21">
      <c r="O1891" s="1"/>
      <c r="R1891" s="1"/>
      <c r="U1891" s="1"/>
    </row>
    <row r="1892" spans="15:21">
      <c r="O1892" s="1"/>
      <c r="R1892" s="1"/>
      <c r="U1892" s="1"/>
    </row>
    <row r="1893" spans="15:21">
      <c r="O1893" s="1"/>
      <c r="R1893" s="1"/>
      <c r="U1893" s="1"/>
    </row>
    <row r="1894" spans="15:21">
      <c r="O1894" s="1"/>
      <c r="R1894" s="1"/>
      <c r="U1894" s="1"/>
    </row>
    <row r="1895" spans="15:21">
      <c r="O1895" s="1"/>
      <c r="R1895" s="1"/>
      <c r="U1895" s="1"/>
    </row>
    <row r="1896" spans="15:21">
      <c r="O1896" s="1"/>
      <c r="R1896" s="1"/>
      <c r="U1896" s="1"/>
    </row>
    <row r="1897" spans="15:21">
      <c r="O1897" s="1"/>
      <c r="R1897" s="1"/>
      <c r="U1897" s="1"/>
    </row>
    <row r="1898" spans="15:21">
      <c r="O1898" s="1"/>
      <c r="R1898" s="1"/>
      <c r="U1898" s="1"/>
    </row>
    <row r="1899" spans="15:21">
      <c r="O1899" s="1"/>
      <c r="R1899" s="1"/>
      <c r="U1899" s="1"/>
    </row>
    <row r="1900" spans="15:21">
      <c r="O1900" s="1"/>
      <c r="R1900" s="1"/>
      <c r="U1900" s="1"/>
    </row>
    <row r="1901" spans="15:21">
      <c r="O1901" s="1"/>
      <c r="R1901" s="1"/>
      <c r="U1901" s="1"/>
    </row>
    <row r="1902" spans="15:21">
      <c r="O1902" s="1"/>
      <c r="R1902" s="1"/>
      <c r="U1902" s="1"/>
    </row>
    <row r="1903" spans="15:21">
      <c r="O1903" s="1"/>
      <c r="R1903" s="1"/>
      <c r="U1903" s="1"/>
    </row>
    <row r="1904" spans="15:21">
      <c r="O1904" s="1"/>
      <c r="R1904" s="1"/>
      <c r="U1904" s="1"/>
    </row>
    <row r="1905" spans="15:21">
      <c r="O1905" s="1"/>
      <c r="R1905" s="1"/>
      <c r="U1905" s="1"/>
    </row>
    <row r="1906" spans="15:21">
      <c r="O1906" s="1"/>
      <c r="R1906" s="1"/>
      <c r="U1906" s="1"/>
    </row>
    <row r="1907" spans="15:21">
      <c r="O1907" s="1"/>
      <c r="R1907" s="1"/>
      <c r="U1907" s="1"/>
    </row>
    <row r="1908" spans="15:21">
      <c r="O1908" s="1"/>
      <c r="R1908" s="1"/>
      <c r="U1908" s="1"/>
    </row>
    <row r="1909" spans="15:21">
      <c r="O1909" s="1"/>
      <c r="R1909" s="1"/>
      <c r="U1909" s="1"/>
    </row>
    <row r="1910" spans="15:21">
      <c r="O1910" s="1"/>
      <c r="R1910" s="1"/>
      <c r="U1910" s="1"/>
    </row>
    <row r="1911" spans="15:21">
      <c r="O1911" s="1"/>
      <c r="R1911" s="1"/>
      <c r="U1911" s="1"/>
    </row>
    <row r="1912" spans="15:21">
      <c r="O1912" s="1"/>
      <c r="R1912" s="1"/>
      <c r="U1912" s="1"/>
    </row>
    <row r="1913" spans="15:21">
      <c r="O1913" s="1"/>
      <c r="R1913" s="1"/>
      <c r="U1913" s="1"/>
    </row>
    <row r="1914" spans="15:21">
      <c r="O1914" s="1"/>
      <c r="R1914" s="1"/>
      <c r="U1914" s="1"/>
    </row>
    <row r="1915" spans="15:21">
      <c r="O1915" s="1"/>
      <c r="R1915" s="1"/>
      <c r="U1915" s="1"/>
    </row>
    <row r="1916" spans="15:21">
      <c r="O1916" s="1"/>
      <c r="R1916" s="1"/>
      <c r="U1916" s="1"/>
    </row>
    <row r="1917" spans="15:21">
      <c r="O1917" s="1"/>
      <c r="R1917" s="1"/>
      <c r="U1917" s="1"/>
    </row>
    <row r="1918" spans="15:21">
      <c r="O1918" s="1"/>
      <c r="R1918" s="1"/>
      <c r="U1918" s="1"/>
    </row>
    <row r="1919" spans="15:21">
      <c r="O1919" s="1"/>
      <c r="R1919" s="1"/>
      <c r="U1919" s="1"/>
    </row>
    <row r="1920" spans="15:21">
      <c r="O1920" s="1"/>
      <c r="R1920" s="1"/>
      <c r="U1920" s="1"/>
    </row>
    <row r="1921" spans="15:21">
      <c r="O1921" s="1"/>
      <c r="R1921" s="1"/>
      <c r="U1921" s="1"/>
    </row>
    <row r="1922" spans="15:21">
      <c r="O1922" s="1"/>
      <c r="R1922" s="1"/>
      <c r="U1922" s="1"/>
    </row>
    <row r="1923" spans="15:21">
      <c r="O1923" s="1"/>
      <c r="R1923" s="1"/>
      <c r="U1923" s="1"/>
    </row>
    <row r="1924" spans="15:21">
      <c r="O1924" s="1"/>
      <c r="R1924" s="1"/>
      <c r="U1924" s="1"/>
    </row>
    <row r="1925" spans="15:21">
      <c r="O1925" s="1"/>
      <c r="R1925" s="1"/>
      <c r="U1925" s="1"/>
    </row>
    <row r="1926" spans="15:21">
      <c r="O1926" s="1"/>
      <c r="R1926" s="1"/>
      <c r="U1926" s="1"/>
    </row>
    <row r="1927" spans="15:21">
      <c r="O1927" s="1"/>
      <c r="R1927" s="1"/>
      <c r="U1927" s="1"/>
    </row>
    <row r="1928" spans="15:21">
      <c r="O1928" s="1"/>
      <c r="R1928" s="1"/>
      <c r="U1928" s="1"/>
    </row>
    <row r="1929" spans="15:21">
      <c r="O1929" s="1"/>
      <c r="R1929" s="1"/>
      <c r="U1929" s="1"/>
    </row>
    <row r="1930" spans="15:21">
      <c r="O1930" s="1"/>
      <c r="R1930" s="1"/>
      <c r="U1930" s="1"/>
    </row>
    <row r="1931" spans="15:21">
      <c r="O1931" s="1"/>
      <c r="R1931" s="1"/>
      <c r="U1931" s="1"/>
    </row>
    <row r="1932" spans="15:21">
      <c r="O1932" s="1"/>
      <c r="R1932" s="1"/>
      <c r="U1932" s="1"/>
    </row>
    <row r="1933" spans="15:21">
      <c r="O1933" s="1"/>
      <c r="R1933" s="1"/>
      <c r="U1933" s="1"/>
    </row>
    <row r="1934" spans="15:21">
      <c r="O1934" s="1"/>
      <c r="R1934" s="1"/>
      <c r="U1934" s="1"/>
    </row>
    <row r="1935" spans="15:21">
      <c r="O1935" s="1"/>
      <c r="R1935" s="1"/>
      <c r="U1935" s="1"/>
    </row>
    <row r="1936" spans="15:21">
      <c r="O1936" s="1"/>
      <c r="R1936" s="1"/>
      <c r="U1936" s="1"/>
    </row>
    <row r="1937" spans="15:21">
      <c r="O1937" s="1"/>
      <c r="R1937" s="1"/>
      <c r="U1937" s="1"/>
    </row>
    <row r="1938" spans="15:21">
      <c r="O1938" s="1"/>
      <c r="R1938" s="1"/>
      <c r="U1938" s="1"/>
    </row>
    <row r="1939" spans="15:21">
      <c r="O1939" s="1"/>
      <c r="R1939" s="1"/>
      <c r="U1939" s="1"/>
    </row>
    <row r="1940" spans="15:21">
      <c r="O1940" s="1"/>
      <c r="R1940" s="1"/>
      <c r="U1940" s="1"/>
    </row>
    <row r="1941" spans="15:21">
      <c r="O1941" s="1"/>
      <c r="R1941" s="1"/>
      <c r="U1941" s="1"/>
    </row>
    <row r="1942" spans="15:21">
      <c r="O1942" s="1"/>
      <c r="R1942" s="1"/>
      <c r="U1942" s="1"/>
    </row>
    <row r="1943" spans="15:21">
      <c r="O1943" s="1"/>
      <c r="R1943" s="1"/>
      <c r="U1943" s="1"/>
    </row>
    <row r="1944" spans="15:21">
      <c r="O1944" s="1"/>
      <c r="R1944" s="1"/>
      <c r="U1944" s="1"/>
    </row>
    <row r="1945" spans="15:21">
      <c r="O1945" s="1"/>
      <c r="R1945" s="1"/>
      <c r="U1945" s="1"/>
    </row>
    <row r="1946" spans="15:21">
      <c r="O1946" s="1"/>
      <c r="R1946" s="1"/>
      <c r="U1946" s="1"/>
    </row>
    <row r="1947" spans="15:21">
      <c r="O1947" s="1"/>
      <c r="R1947" s="1"/>
      <c r="U1947" s="1"/>
    </row>
    <row r="1948" spans="15:21">
      <c r="O1948" s="1"/>
      <c r="R1948" s="1"/>
      <c r="U1948" s="1"/>
    </row>
    <row r="1949" spans="15:21">
      <c r="O1949" s="1"/>
      <c r="R1949" s="1"/>
      <c r="U1949" s="1"/>
    </row>
    <row r="1950" spans="15:21">
      <c r="O1950" s="1"/>
      <c r="R1950" s="1"/>
      <c r="U1950" s="1"/>
    </row>
    <row r="1951" spans="15:21">
      <c r="O1951" s="1"/>
      <c r="R1951" s="1"/>
      <c r="U1951" s="1"/>
    </row>
    <row r="1952" spans="15:21">
      <c r="O1952" s="1"/>
      <c r="R1952" s="1"/>
      <c r="U1952" s="1"/>
    </row>
    <row r="1953" spans="15:21">
      <c r="O1953" s="1"/>
      <c r="R1953" s="1"/>
      <c r="U1953" s="1"/>
    </row>
    <row r="1954" spans="15:21">
      <c r="O1954" s="1"/>
      <c r="R1954" s="1"/>
      <c r="U1954" s="1"/>
    </row>
    <row r="1955" spans="15:21">
      <c r="O1955" s="1"/>
      <c r="R1955" s="1"/>
      <c r="U1955" s="1"/>
    </row>
    <row r="1956" spans="15:21">
      <c r="O1956" s="1"/>
      <c r="R1956" s="1"/>
      <c r="U1956" s="1"/>
    </row>
    <row r="1957" spans="15:21">
      <c r="O1957" s="1"/>
      <c r="R1957" s="1"/>
      <c r="U1957" s="1"/>
    </row>
    <row r="1958" spans="15:21">
      <c r="O1958" s="1"/>
      <c r="R1958" s="1"/>
      <c r="U1958" s="1"/>
    </row>
    <row r="1959" spans="15:21">
      <c r="O1959" s="1"/>
      <c r="R1959" s="1"/>
      <c r="U1959" s="1"/>
    </row>
    <row r="1960" spans="15:21">
      <c r="O1960" s="1"/>
      <c r="R1960" s="1"/>
      <c r="U1960" s="1"/>
    </row>
    <row r="1961" spans="15:21">
      <c r="O1961" s="1"/>
      <c r="R1961" s="1"/>
      <c r="U1961" s="1"/>
    </row>
    <row r="1962" spans="15:21">
      <c r="O1962" s="1"/>
      <c r="R1962" s="1"/>
      <c r="U1962" s="1"/>
    </row>
    <row r="1963" spans="15:21">
      <c r="O1963" s="1"/>
      <c r="R1963" s="1"/>
      <c r="U1963" s="1"/>
    </row>
    <row r="1964" spans="15:21">
      <c r="O1964" s="1"/>
      <c r="R1964" s="1"/>
      <c r="U1964" s="1"/>
    </row>
    <row r="1965" spans="15:21">
      <c r="O1965" s="1"/>
      <c r="R1965" s="1"/>
      <c r="U1965" s="1"/>
    </row>
    <row r="1966" spans="15:21">
      <c r="O1966" s="1"/>
      <c r="R1966" s="1"/>
      <c r="U1966" s="1"/>
    </row>
    <row r="1967" spans="15:21">
      <c r="O1967" s="1"/>
      <c r="R1967" s="1"/>
      <c r="U1967" s="1"/>
    </row>
    <row r="1968" spans="15:21">
      <c r="O1968" s="1"/>
      <c r="R1968" s="1"/>
      <c r="U1968" s="1"/>
    </row>
    <row r="1969" spans="15:21">
      <c r="O1969" s="1"/>
      <c r="R1969" s="1"/>
      <c r="U1969" s="1"/>
    </row>
    <row r="1970" spans="15:21">
      <c r="O1970" s="1"/>
      <c r="R1970" s="1"/>
      <c r="U1970" s="1"/>
    </row>
    <row r="1971" spans="15:21">
      <c r="O1971" s="1"/>
      <c r="R1971" s="1"/>
      <c r="U1971" s="1"/>
    </row>
    <row r="1972" spans="15:21">
      <c r="O1972" s="1"/>
      <c r="R1972" s="1"/>
      <c r="U1972" s="1"/>
    </row>
    <row r="1973" spans="15:21">
      <c r="O1973" s="1"/>
      <c r="R1973" s="1"/>
      <c r="U1973" s="1"/>
    </row>
    <row r="1974" spans="15:21">
      <c r="O1974" s="1"/>
      <c r="R1974" s="1"/>
      <c r="U1974" s="1"/>
    </row>
    <row r="1975" spans="15:21">
      <c r="O1975" s="1"/>
      <c r="R1975" s="1"/>
      <c r="U1975" s="1"/>
    </row>
    <row r="1976" spans="15:21">
      <c r="O1976" s="1"/>
      <c r="R1976" s="1"/>
      <c r="U1976" s="1"/>
    </row>
    <row r="1977" spans="15:21">
      <c r="O1977" s="1"/>
      <c r="R1977" s="1"/>
      <c r="U1977" s="1"/>
    </row>
    <row r="1978" spans="15:21">
      <c r="O1978" s="1"/>
      <c r="R1978" s="1"/>
      <c r="U1978" s="1"/>
    </row>
    <row r="1979" spans="15:21">
      <c r="O1979" s="1"/>
      <c r="R1979" s="1"/>
      <c r="U1979" s="1"/>
    </row>
    <row r="1980" spans="15:21">
      <c r="O1980" s="1"/>
      <c r="R1980" s="1"/>
      <c r="U1980" s="1"/>
    </row>
    <row r="1981" spans="15:21">
      <c r="O1981" s="1"/>
      <c r="R1981" s="1"/>
      <c r="U1981" s="1"/>
    </row>
    <row r="1982" spans="15:21">
      <c r="O1982" s="1"/>
      <c r="R1982" s="1"/>
      <c r="U1982" s="1"/>
    </row>
    <row r="1983" spans="15:21">
      <c r="O1983" s="1"/>
      <c r="R1983" s="1"/>
      <c r="U1983" s="1"/>
    </row>
    <row r="1984" spans="15:21">
      <c r="O1984" s="1"/>
      <c r="R1984" s="1"/>
      <c r="U1984" s="1"/>
    </row>
    <row r="1985" spans="15:21">
      <c r="O1985" s="1"/>
      <c r="R1985" s="1"/>
      <c r="U1985" s="1"/>
    </row>
    <row r="1986" spans="15:21">
      <c r="O1986" s="1"/>
      <c r="R1986" s="1"/>
      <c r="U1986" s="1"/>
    </row>
    <row r="1987" spans="15:21">
      <c r="O1987" s="1"/>
      <c r="R1987" s="1"/>
      <c r="U1987" s="1"/>
    </row>
    <row r="1988" spans="15:21">
      <c r="O1988" s="1"/>
      <c r="R1988" s="1"/>
      <c r="U1988" s="1"/>
    </row>
    <row r="1989" spans="15:21">
      <c r="O1989" s="1"/>
      <c r="R1989" s="1"/>
      <c r="U1989" s="1"/>
    </row>
    <row r="1990" spans="15:21">
      <c r="O1990" s="1"/>
      <c r="R1990" s="1"/>
      <c r="U1990" s="1"/>
    </row>
    <row r="1991" spans="15:21">
      <c r="O1991" s="1"/>
      <c r="R1991" s="1"/>
      <c r="U1991" s="1"/>
    </row>
    <row r="1992" spans="15:21">
      <c r="O1992" s="1"/>
      <c r="R1992" s="1"/>
      <c r="U1992" s="1"/>
    </row>
    <row r="1993" spans="15:21">
      <c r="O1993" s="1"/>
      <c r="R1993" s="1"/>
      <c r="U1993" s="1"/>
    </row>
    <row r="1994" spans="15:21">
      <c r="O1994" s="1"/>
      <c r="R1994" s="1"/>
      <c r="U1994" s="1"/>
    </row>
    <row r="1995" spans="15:21">
      <c r="O1995" s="1"/>
      <c r="R1995" s="1"/>
      <c r="U1995" s="1"/>
    </row>
    <row r="1996" spans="15:21">
      <c r="O1996" s="1"/>
      <c r="R1996" s="1"/>
      <c r="U1996" s="1"/>
    </row>
    <row r="1997" spans="15:21">
      <c r="O1997" s="1"/>
      <c r="R1997" s="1"/>
      <c r="U1997" s="1"/>
    </row>
    <row r="1998" spans="15:21">
      <c r="O1998" s="1"/>
      <c r="R1998" s="1"/>
      <c r="U1998" s="1"/>
    </row>
    <row r="1999" spans="15:21">
      <c r="O1999" s="1"/>
      <c r="R1999" s="1"/>
      <c r="U1999" s="1"/>
    </row>
    <row r="2000" spans="15:21">
      <c r="O2000" s="1"/>
      <c r="R2000" s="1"/>
      <c r="U2000" s="1"/>
    </row>
    <row r="2001" spans="15:21">
      <c r="O2001" s="1"/>
      <c r="R2001" s="1"/>
      <c r="U2001" s="1"/>
    </row>
    <row r="2002" spans="15:21">
      <c r="O2002" s="1"/>
      <c r="R2002" s="1"/>
      <c r="U2002" s="1"/>
    </row>
    <row r="2003" spans="15:21">
      <c r="O2003" s="1"/>
      <c r="R2003" s="1"/>
      <c r="U2003" s="1"/>
    </row>
    <row r="2004" spans="15:21">
      <c r="O2004" s="1"/>
      <c r="R2004" s="1"/>
      <c r="U2004" s="1"/>
    </row>
    <row r="2005" spans="15:21">
      <c r="O2005" s="1"/>
      <c r="R2005" s="1"/>
      <c r="U2005" s="1"/>
    </row>
    <row r="2006" spans="15:21">
      <c r="O2006" s="1"/>
      <c r="R2006" s="1"/>
      <c r="U2006" s="1"/>
    </row>
    <row r="2007" spans="15:21">
      <c r="O2007" s="1"/>
      <c r="R2007" s="1"/>
      <c r="U2007" s="1"/>
    </row>
    <row r="2008" spans="15:21">
      <c r="O2008" s="1"/>
      <c r="R2008" s="1"/>
      <c r="U2008" s="1"/>
    </row>
    <row r="2009" spans="15:21">
      <c r="O2009" s="1"/>
      <c r="R2009" s="1"/>
      <c r="U2009" s="1"/>
    </row>
    <row r="2010" spans="15:21">
      <c r="O2010" s="1"/>
      <c r="R2010" s="1"/>
      <c r="U2010" s="1"/>
    </row>
    <row r="2011" spans="15:21">
      <c r="O2011" s="1"/>
      <c r="R2011" s="1"/>
      <c r="U2011" s="1"/>
    </row>
    <row r="2012" spans="15:21">
      <c r="O2012" s="1"/>
      <c r="R2012" s="1"/>
      <c r="U2012" s="1"/>
    </row>
    <row r="2013" spans="15:21">
      <c r="O2013" s="1"/>
      <c r="R2013" s="1"/>
      <c r="U2013" s="1"/>
    </row>
    <row r="2014" spans="15:21">
      <c r="O2014" s="1"/>
      <c r="R2014" s="1"/>
      <c r="U2014" s="1"/>
    </row>
    <row r="2015" spans="15:21">
      <c r="O2015" s="1"/>
      <c r="R2015" s="1"/>
      <c r="U2015" s="1"/>
    </row>
    <row r="2016" spans="15:21">
      <c r="O2016" s="1"/>
      <c r="R2016" s="1"/>
      <c r="U2016" s="1"/>
    </row>
    <row r="2017" spans="15:21">
      <c r="O2017" s="1"/>
      <c r="R2017" s="1"/>
      <c r="U2017" s="1"/>
    </row>
    <row r="2018" spans="15:21">
      <c r="O2018" s="1"/>
      <c r="R2018" s="1"/>
      <c r="U2018" s="1"/>
    </row>
    <row r="2019" spans="15:21">
      <c r="O2019" s="1"/>
      <c r="R2019" s="1"/>
      <c r="U2019" s="1"/>
    </row>
    <row r="2020" spans="15:21">
      <c r="O2020" s="1"/>
      <c r="R2020" s="1"/>
      <c r="U2020" s="1"/>
    </row>
    <row r="2021" spans="15:21">
      <c r="O2021" s="1"/>
      <c r="R2021" s="1"/>
      <c r="U2021" s="1"/>
    </row>
    <row r="2022" spans="15:21">
      <c r="O2022" s="1"/>
      <c r="R2022" s="1"/>
      <c r="U2022" s="1"/>
    </row>
    <row r="2023" spans="15:21">
      <c r="O2023" s="1"/>
      <c r="R2023" s="1"/>
      <c r="U2023" s="1"/>
    </row>
    <row r="2024" spans="15:21">
      <c r="O2024" s="1"/>
      <c r="R2024" s="1"/>
      <c r="U2024" s="1"/>
    </row>
    <row r="2025" spans="15:21">
      <c r="O2025" s="1"/>
      <c r="R2025" s="1"/>
      <c r="U2025" s="1"/>
    </row>
    <row r="2026" spans="15:21">
      <c r="O2026" s="1"/>
      <c r="R2026" s="1"/>
      <c r="U2026" s="1"/>
    </row>
    <row r="2027" spans="15:21">
      <c r="O2027" s="1"/>
      <c r="R2027" s="1"/>
      <c r="U2027" s="1"/>
    </row>
    <row r="2028" spans="15:21">
      <c r="O2028" s="1"/>
      <c r="R2028" s="1"/>
      <c r="U2028" s="1"/>
    </row>
    <row r="2029" spans="15:21">
      <c r="O2029" s="1"/>
      <c r="R2029" s="1"/>
      <c r="U2029" s="1"/>
    </row>
    <row r="2030" spans="15:21">
      <c r="O2030" s="1"/>
      <c r="R2030" s="1"/>
      <c r="U2030" s="1"/>
    </row>
    <row r="2031" spans="15:21">
      <c r="O2031" s="1"/>
      <c r="R2031" s="1"/>
      <c r="U2031" s="1"/>
    </row>
    <row r="2032" spans="15:21">
      <c r="O2032" s="1"/>
      <c r="R2032" s="1"/>
      <c r="U2032" s="1"/>
    </row>
    <row r="2033" spans="15:21">
      <c r="O2033" s="1"/>
      <c r="R2033" s="1"/>
      <c r="U2033" s="1"/>
    </row>
    <row r="2034" spans="15:21">
      <c r="O2034" s="1"/>
      <c r="R2034" s="1"/>
      <c r="U2034" s="1"/>
    </row>
    <row r="2035" spans="15:21">
      <c r="O2035" s="1"/>
      <c r="R2035" s="1"/>
      <c r="U2035" s="1"/>
    </row>
    <row r="2036" spans="15:21">
      <c r="O2036" s="1"/>
      <c r="R2036" s="1"/>
      <c r="U2036" s="1"/>
    </row>
    <row r="2037" spans="15:21">
      <c r="O2037" s="1"/>
      <c r="R2037" s="1"/>
      <c r="U2037" s="1"/>
    </row>
    <row r="2038" spans="15:21">
      <c r="O2038" s="1"/>
      <c r="R2038" s="1"/>
      <c r="U2038" s="1"/>
    </row>
    <row r="2039" spans="15:21">
      <c r="O2039" s="1"/>
      <c r="R2039" s="1"/>
      <c r="U2039" s="1"/>
    </row>
    <row r="2040" spans="15:21">
      <c r="O2040" s="1"/>
      <c r="R2040" s="1"/>
      <c r="U2040" s="1"/>
    </row>
    <row r="2041" spans="15:21">
      <c r="O2041" s="1"/>
      <c r="R2041" s="1"/>
      <c r="U2041" s="1"/>
    </row>
    <row r="2042" spans="15:21">
      <c r="O2042" s="1"/>
      <c r="R2042" s="1"/>
      <c r="U2042" s="1"/>
    </row>
    <row r="2043" spans="15:21">
      <c r="O2043" s="1"/>
      <c r="R2043" s="1"/>
      <c r="U2043" s="1"/>
    </row>
    <row r="2044" spans="15:21">
      <c r="O2044" s="1"/>
      <c r="R2044" s="1"/>
      <c r="U2044" s="1"/>
    </row>
    <row r="2045" spans="15:21">
      <c r="O2045" s="1"/>
      <c r="R2045" s="1"/>
      <c r="U2045" s="1"/>
    </row>
    <row r="2046" spans="15:21">
      <c r="O2046" s="1"/>
      <c r="R2046" s="1"/>
      <c r="U2046" s="1"/>
    </row>
    <row r="2047" spans="15:21">
      <c r="O2047" s="1"/>
      <c r="R2047" s="1"/>
      <c r="U2047" s="1"/>
    </row>
    <row r="2048" spans="15:21">
      <c r="O2048" s="1"/>
      <c r="R2048" s="1"/>
      <c r="U2048" s="1"/>
    </row>
    <row r="2049" spans="15:21">
      <c r="O2049" s="1"/>
      <c r="R2049" s="1"/>
      <c r="U2049" s="1"/>
    </row>
    <row r="2050" spans="15:21">
      <c r="O2050" s="1"/>
      <c r="R2050" s="1"/>
      <c r="U2050" s="1"/>
    </row>
    <row r="2051" spans="15:21">
      <c r="O2051" s="1"/>
      <c r="R2051" s="1"/>
      <c r="U2051" s="1"/>
    </row>
    <row r="2052" spans="15:21">
      <c r="O2052" s="1"/>
      <c r="R2052" s="1"/>
      <c r="U2052" s="1"/>
    </row>
    <row r="2053" spans="15:21">
      <c r="O2053" s="1"/>
      <c r="R2053" s="1"/>
      <c r="U2053" s="1"/>
    </row>
    <row r="2054" spans="15:21">
      <c r="O2054" s="1"/>
      <c r="R2054" s="1"/>
      <c r="U2054" s="1"/>
    </row>
    <row r="2055" spans="15:21">
      <c r="O2055" s="1"/>
      <c r="R2055" s="1"/>
      <c r="U2055" s="1"/>
    </row>
    <row r="2056" spans="15:21">
      <c r="O2056" s="1"/>
      <c r="R2056" s="1"/>
      <c r="U2056" s="1"/>
    </row>
    <row r="2057" spans="15:21">
      <c r="O2057" s="1"/>
      <c r="R2057" s="1"/>
      <c r="U2057" s="1"/>
    </row>
    <row r="2058" spans="15:21">
      <c r="O2058" s="1"/>
      <c r="R2058" s="1"/>
      <c r="U2058" s="1"/>
    </row>
    <row r="2059" spans="15:21">
      <c r="O2059" s="1"/>
      <c r="R2059" s="1"/>
      <c r="U2059" s="1"/>
    </row>
    <row r="2060" spans="15:21">
      <c r="O2060" s="1"/>
      <c r="R2060" s="1"/>
      <c r="U2060" s="1"/>
    </row>
    <row r="2061" spans="15:21">
      <c r="O2061" s="1"/>
      <c r="R2061" s="1"/>
      <c r="U2061" s="1"/>
    </row>
    <row r="2062" spans="15:21">
      <c r="O2062" s="1"/>
      <c r="R2062" s="1"/>
      <c r="U2062" s="1"/>
    </row>
    <row r="2063" spans="15:21">
      <c r="O2063" s="1"/>
      <c r="R2063" s="1"/>
      <c r="U2063" s="1"/>
    </row>
    <row r="2064" spans="15:21">
      <c r="O2064" s="1"/>
      <c r="R2064" s="1"/>
      <c r="U2064" s="1"/>
    </row>
    <row r="2065" spans="15:21">
      <c r="O2065" s="1"/>
      <c r="R2065" s="1"/>
      <c r="U2065" s="1"/>
    </row>
    <row r="2066" spans="15:21">
      <c r="O2066" s="1"/>
      <c r="R2066" s="1"/>
      <c r="U2066" s="1"/>
    </row>
    <row r="2067" spans="15:21">
      <c r="O2067" s="1"/>
      <c r="R2067" s="1"/>
      <c r="U2067" s="1"/>
    </row>
    <row r="2068" spans="15:21">
      <c r="O2068" s="1"/>
      <c r="R2068" s="1"/>
      <c r="U2068" s="1"/>
    </row>
    <row r="2069" spans="15:21">
      <c r="O2069" s="1"/>
      <c r="R2069" s="1"/>
      <c r="U2069" s="1"/>
    </row>
    <row r="2070" spans="15:21">
      <c r="O2070" s="1"/>
      <c r="R2070" s="1"/>
      <c r="U2070" s="1"/>
    </row>
    <row r="2071" spans="15:21">
      <c r="O2071" s="1"/>
      <c r="R2071" s="1"/>
      <c r="U2071" s="1"/>
    </row>
    <row r="2072" spans="15:21">
      <c r="O2072" s="1"/>
      <c r="R2072" s="1"/>
      <c r="U2072" s="1"/>
    </row>
    <row r="2073" spans="15:21">
      <c r="O2073" s="1"/>
      <c r="R2073" s="1"/>
      <c r="U2073" s="1"/>
    </row>
    <row r="2074" spans="15:21">
      <c r="O2074" s="1"/>
      <c r="R2074" s="1"/>
      <c r="U2074" s="1"/>
    </row>
    <row r="2075" spans="15:21">
      <c r="O2075" s="1"/>
      <c r="R2075" s="1"/>
      <c r="U2075" s="1"/>
    </row>
    <row r="2076" spans="15:21">
      <c r="O2076" s="1"/>
      <c r="R2076" s="1"/>
      <c r="U2076" s="1"/>
    </row>
    <row r="2077" spans="15:21">
      <c r="O2077" s="1"/>
      <c r="R2077" s="1"/>
      <c r="U2077" s="1"/>
    </row>
    <row r="2078" spans="15:21">
      <c r="O2078" s="1"/>
      <c r="R2078" s="1"/>
      <c r="U2078" s="1"/>
    </row>
    <row r="2079" spans="15:21">
      <c r="O2079" s="1"/>
      <c r="R2079" s="1"/>
      <c r="U2079" s="1"/>
    </row>
    <row r="2080" spans="15:21">
      <c r="O2080" s="1"/>
      <c r="R2080" s="1"/>
      <c r="U2080" s="1"/>
    </row>
    <row r="2081" spans="15:21">
      <c r="O2081" s="1"/>
      <c r="R2081" s="1"/>
      <c r="U2081" s="1"/>
    </row>
    <row r="2082" spans="15:21">
      <c r="O2082" s="1"/>
      <c r="R2082" s="1"/>
      <c r="U2082" s="1"/>
    </row>
    <row r="2083" spans="15:21">
      <c r="O2083" s="1"/>
      <c r="R2083" s="1"/>
      <c r="U2083" s="1"/>
    </row>
    <row r="2084" spans="15:21">
      <c r="O2084" s="1"/>
      <c r="R2084" s="1"/>
      <c r="U2084" s="1"/>
    </row>
    <row r="2085" spans="15:21">
      <c r="O2085" s="1"/>
      <c r="R2085" s="1"/>
      <c r="U2085" s="1"/>
    </row>
    <row r="2086" spans="15:21">
      <c r="O2086" s="1"/>
      <c r="R2086" s="1"/>
      <c r="U2086" s="1"/>
    </row>
    <row r="2087" spans="15:21">
      <c r="O2087" s="1"/>
      <c r="R2087" s="1"/>
      <c r="U2087" s="1"/>
    </row>
    <row r="2088" spans="15:21">
      <c r="O2088" s="1"/>
      <c r="R2088" s="1"/>
      <c r="U2088" s="1"/>
    </row>
    <row r="2089" spans="15:21">
      <c r="O2089" s="1"/>
      <c r="R2089" s="1"/>
      <c r="U2089" s="1"/>
    </row>
    <row r="2090" spans="15:21">
      <c r="O2090" s="1"/>
      <c r="R2090" s="1"/>
      <c r="U2090" s="1"/>
    </row>
    <row r="2091" spans="15:21">
      <c r="O2091" s="1"/>
      <c r="R2091" s="1"/>
      <c r="U2091" s="1"/>
    </row>
    <row r="2092" spans="15:21">
      <c r="O2092" s="1"/>
      <c r="R2092" s="1"/>
      <c r="U2092" s="1"/>
    </row>
    <row r="2093" spans="15:21">
      <c r="O2093" s="1"/>
      <c r="R2093" s="1"/>
      <c r="U2093" s="1"/>
    </row>
    <row r="2094" spans="15:21">
      <c r="O2094" s="1"/>
      <c r="R2094" s="1"/>
      <c r="U2094" s="1"/>
    </row>
    <row r="2095" spans="15:21">
      <c r="O2095" s="1"/>
      <c r="R2095" s="1"/>
      <c r="U2095" s="1"/>
    </row>
    <row r="2096" spans="15:21">
      <c r="O2096" s="1"/>
      <c r="R2096" s="1"/>
      <c r="U2096" s="1"/>
    </row>
    <row r="2097" spans="15:21">
      <c r="O2097" s="1"/>
      <c r="R2097" s="1"/>
      <c r="U2097" s="1"/>
    </row>
    <row r="2098" spans="15:21">
      <c r="O2098" s="1"/>
      <c r="R2098" s="1"/>
      <c r="U2098" s="1"/>
    </row>
    <row r="2099" spans="15:21">
      <c r="O2099" s="1"/>
      <c r="R2099" s="1"/>
      <c r="U2099" s="1"/>
    </row>
    <row r="2100" spans="15:21">
      <c r="O2100" s="1"/>
      <c r="R2100" s="1"/>
      <c r="U2100" s="1"/>
    </row>
    <row r="2101" spans="15:21">
      <c r="O2101" s="1"/>
      <c r="R2101" s="1"/>
      <c r="U2101" s="1"/>
    </row>
    <row r="2102" spans="15:21">
      <c r="O2102" s="1"/>
      <c r="R2102" s="1"/>
      <c r="U2102" s="1"/>
    </row>
    <row r="2103" spans="15:21">
      <c r="O2103" s="1"/>
      <c r="R2103" s="1"/>
      <c r="U2103" s="1"/>
    </row>
    <row r="2104" spans="15:21">
      <c r="O2104" s="1"/>
      <c r="R2104" s="1"/>
      <c r="U2104" s="1"/>
    </row>
    <row r="2105" spans="15:21">
      <c r="O2105" s="1"/>
      <c r="R2105" s="1"/>
      <c r="U2105" s="1"/>
    </row>
    <row r="2106" spans="15:21">
      <c r="O2106" s="1"/>
      <c r="R2106" s="1"/>
      <c r="U2106" s="1"/>
    </row>
    <row r="2107" spans="15:21">
      <c r="O2107" s="1"/>
      <c r="R2107" s="1"/>
      <c r="U2107" s="1"/>
    </row>
    <row r="2108" spans="15:21">
      <c r="O2108" s="1"/>
      <c r="R2108" s="1"/>
      <c r="U2108" s="1"/>
    </row>
    <row r="2109" spans="15:21">
      <c r="O2109" s="1"/>
      <c r="R2109" s="1"/>
      <c r="U2109" s="1"/>
    </row>
    <row r="2110" spans="15:21">
      <c r="O2110" s="1"/>
      <c r="R2110" s="1"/>
      <c r="U2110" s="1"/>
    </row>
    <row r="2111" spans="15:21">
      <c r="O2111" s="1"/>
      <c r="R2111" s="1"/>
      <c r="U2111" s="1"/>
    </row>
    <row r="2112" spans="15:21">
      <c r="O2112" s="1"/>
      <c r="R2112" s="1"/>
      <c r="U2112" s="1"/>
    </row>
    <row r="2113" spans="15:21">
      <c r="O2113" s="1"/>
      <c r="R2113" s="1"/>
      <c r="U2113" s="1"/>
    </row>
    <row r="2114" spans="15:21">
      <c r="O2114" s="1"/>
      <c r="R2114" s="1"/>
      <c r="U2114" s="1"/>
    </row>
    <row r="2115" spans="15:21">
      <c r="O2115" s="1"/>
      <c r="R2115" s="1"/>
      <c r="U2115" s="1"/>
    </row>
    <row r="2116" spans="15:21">
      <c r="O2116" s="1"/>
      <c r="R2116" s="1"/>
      <c r="U2116" s="1"/>
    </row>
    <row r="2117" spans="15:21">
      <c r="O2117" s="1"/>
      <c r="R2117" s="1"/>
      <c r="U2117" s="1"/>
    </row>
    <row r="2118" spans="15:21">
      <c r="O2118" s="1"/>
      <c r="R2118" s="1"/>
      <c r="U2118" s="1"/>
    </row>
    <row r="2119" spans="15:21">
      <c r="O2119" s="1"/>
      <c r="R2119" s="1"/>
      <c r="U2119" s="1"/>
    </row>
    <row r="2120" spans="15:21">
      <c r="O2120" s="1"/>
      <c r="R2120" s="1"/>
      <c r="U2120" s="1"/>
    </row>
    <row r="2121" spans="15:21">
      <c r="O2121" s="1"/>
      <c r="R2121" s="1"/>
      <c r="U2121" s="1"/>
    </row>
    <row r="2122" spans="15:21">
      <c r="O2122" s="1"/>
      <c r="R2122" s="1"/>
      <c r="U2122" s="1"/>
    </row>
    <row r="2123" spans="15:21">
      <c r="O2123" s="1"/>
      <c r="R2123" s="1"/>
      <c r="U2123" s="1"/>
    </row>
    <row r="2124" spans="15:21">
      <c r="O2124" s="1"/>
      <c r="R2124" s="1"/>
      <c r="U2124" s="1"/>
    </row>
    <row r="2125" spans="15:21">
      <c r="O2125" s="1"/>
      <c r="R2125" s="1"/>
      <c r="U2125" s="1"/>
    </row>
    <row r="2126" spans="15:21">
      <c r="O2126" s="1"/>
      <c r="R2126" s="1"/>
      <c r="U2126" s="1"/>
    </row>
    <row r="2127" spans="15:21">
      <c r="O2127" s="1"/>
      <c r="R2127" s="1"/>
      <c r="U2127" s="1"/>
    </row>
    <row r="2128" spans="15:21">
      <c r="O2128" s="1"/>
      <c r="R2128" s="1"/>
      <c r="U2128" s="1"/>
    </row>
    <row r="2129" spans="15:21">
      <c r="O2129" s="1"/>
      <c r="R2129" s="1"/>
      <c r="U2129" s="1"/>
    </row>
    <row r="2130" spans="15:21">
      <c r="O2130" s="1"/>
      <c r="R2130" s="1"/>
      <c r="U2130" s="1"/>
    </row>
    <row r="2131" spans="15:21">
      <c r="O2131" s="1"/>
      <c r="R2131" s="1"/>
      <c r="U2131" s="1"/>
    </row>
    <row r="2132" spans="15:21">
      <c r="O2132" s="1"/>
      <c r="R2132" s="1"/>
      <c r="U2132" s="1"/>
    </row>
    <row r="2133" spans="15:21">
      <c r="O2133" s="1"/>
      <c r="R2133" s="1"/>
      <c r="U2133" s="1"/>
    </row>
    <row r="2134" spans="15:21">
      <c r="O2134" s="1"/>
      <c r="R2134" s="1"/>
      <c r="U2134" s="1"/>
    </row>
    <row r="2135" spans="15:21">
      <c r="O2135" s="1"/>
      <c r="R2135" s="1"/>
      <c r="U2135" s="1"/>
    </row>
    <row r="2136" spans="15:21">
      <c r="O2136" s="1"/>
      <c r="R2136" s="1"/>
      <c r="U2136" s="1"/>
    </row>
    <row r="2137" spans="15:21">
      <c r="O2137" s="1"/>
      <c r="R2137" s="1"/>
      <c r="U2137" s="1"/>
    </row>
    <row r="2138" spans="15:21">
      <c r="O2138" s="1"/>
      <c r="R2138" s="1"/>
      <c r="U2138" s="1"/>
    </row>
    <row r="2139" spans="15:21">
      <c r="O2139" s="1"/>
      <c r="R2139" s="1"/>
      <c r="U2139" s="1"/>
    </row>
    <row r="2140" spans="15:21">
      <c r="O2140" s="1"/>
      <c r="R2140" s="1"/>
      <c r="U2140" s="1"/>
    </row>
    <row r="2141" spans="15:21">
      <c r="O2141" s="1"/>
      <c r="R2141" s="1"/>
      <c r="U2141" s="1"/>
    </row>
    <row r="2142" spans="15:21">
      <c r="O2142" s="1"/>
      <c r="R2142" s="1"/>
      <c r="U2142" s="1"/>
    </row>
    <row r="2143" spans="15:21">
      <c r="O2143" s="1"/>
      <c r="R2143" s="1"/>
      <c r="U2143" s="1"/>
    </row>
    <row r="2144" spans="15:21">
      <c r="O2144" s="1"/>
      <c r="R2144" s="1"/>
      <c r="U2144" s="1"/>
    </row>
    <row r="2145" spans="15:21">
      <c r="O2145" s="1"/>
      <c r="R2145" s="1"/>
      <c r="U2145" s="1"/>
    </row>
    <row r="2146" spans="15:21">
      <c r="O2146" s="1"/>
      <c r="R2146" s="1"/>
      <c r="U2146" s="1"/>
    </row>
    <row r="2147" spans="15:21">
      <c r="O2147" s="1"/>
      <c r="R2147" s="1"/>
      <c r="U2147" s="1"/>
    </row>
    <row r="2148" spans="15:21">
      <c r="O2148" s="1"/>
      <c r="R2148" s="1"/>
      <c r="U2148" s="1"/>
    </row>
    <row r="2149" spans="15:21">
      <c r="O2149" s="1"/>
      <c r="R2149" s="1"/>
      <c r="U2149" s="1"/>
    </row>
    <row r="2150" spans="15:21">
      <c r="O2150" s="1"/>
      <c r="R2150" s="1"/>
      <c r="U2150" s="1"/>
    </row>
    <row r="2151" spans="15:21">
      <c r="O2151" s="1"/>
      <c r="R2151" s="1"/>
      <c r="U2151" s="1"/>
    </row>
    <row r="2152" spans="15:21">
      <c r="O2152" s="1"/>
      <c r="R2152" s="1"/>
      <c r="U2152" s="1"/>
    </row>
    <row r="2153" spans="15:21">
      <c r="O2153" s="1"/>
      <c r="R2153" s="1"/>
      <c r="U2153" s="1"/>
    </row>
    <row r="2154" spans="15:21">
      <c r="O2154" s="1"/>
      <c r="R2154" s="1"/>
      <c r="U2154" s="1"/>
    </row>
    <row r="2155" spans="15:21">
      <c r="O2155" s="1"/>
      <c r="R2155" s="1"/>
      <c r="U2155" s="1"/>
    </row>
    <row r="2156" spans="15:21">
      <c r="O2156" s="1"/>
      <c r="R2156" s="1"/>
      <c r="U2156" s="1"/>
    </row>
    <row r="2157" spans="15:21">
      <c r="O2157" s="1"/>
      <c r="R2157" s="1"/>
      <c r="U2157" s="1"/>
    </row>
    <row r="2158" spans="15:21">
      <c r="O2158" s="1"/>
      <c r="R2158" s="1"/>
      <c r="U2158" s="1"/>
    </row>
    <row r="2159" spans="15:21">
      <c r="O2159" s="1"/>
      <c r="R2159" s="1"/>
      <c r="U2159" s="1"/>
    </row>
    <row r="2160" spans="15:21">
      <c r="O2160" s="1"/>
      <c r="R2160" s="1"/>
      <c r="U2160" s="1"/>
    </row>
    <row r="2161" spans="15:21">
      <c r="O2161" s="1"/>
      <c r="R2161" s="1"/>
      <c r="U2161" s="1"/>
    </row>
    <row r="2162" spans="15:21">
      <c r="O2162" s="1"/>
      <c r="R2162" s="1"/>
      <c r="U2162" s="1"/>
    </row>
    <row r="2163" spans="15:21">
      <c r="O2163" s="1"/>
      <c r="R2163" s="1"/>
      <c r="U2163" s="1"/>
    </row>
    <row r="2164" spans="15:21">
      <c r="O2164" s="1"/>
      <c r="R2164" s="1"/>
      <c r="U2164" s="1"/>
    </row>
    <row r="2165" spans="15:21">
      <c r="O2165" s="1"/>
      <c r="R2165" s="1"/>
      <c r="U2165" s="1"/>
    </row>
    <row r="2166" spans="15:21">
      <c r="O2166" s="1"/>
      <c r="R2166" s="1"/>
      <c r="U2166" s="1"/>
    </row>
    <row r="2167" spans="15:21">
      <c r="O2167" s="1"/>
      <c r="R2167" s="1"/>
      <c r="U2167" s="1"/>
    </row>
    <row r="2168" spans="15:21">
      <c r="O2168" s="1"/>
      <c r="R2168" s="1"/>
      <c r="U2168" s="1"/>
    </row>
    <row r="2169" spans="15:21">
      <c r="O2169" s="1"/>
      <c r="R2169" s="1"/>
      <c r="U2169" s="1"/>
    </row>
    <row r="2170" spans="15:21">
      <c r="O2170" s="1"/>
      <c r="R2170" s="1"/>
      <c r="U2170" s="1"/>
    </row>
    <row r="2171" spans="15:21">
      <c r="O2171" s="1"/>
      <c r="R2171" s="1"/>
      <c r="U2171" s="1"/>
    </row>
    <row r="2172" spans="15:21">
      <c r="O2172" s="1"/>
      <c r="R2172" s="1"/>
      <c r="U2172" s="1"/>
    </row>
    <row r="2173" spans="15:21">
      <c r="O2173" s="1"/>
      <c r="R2173" s="1"/>
      <c r="U2173" s="1"/>
    </row>
    <row r="2174" spans="15:21">
      <c r="O2174" s="1"/>
      <c r="R2174" s="1"/>
      <c r="U2174" s="1"/>
    </row>
    <row r="2175" spans="15:21">
      <c r="O2175" s="1"/>
      <c r="R2175" s="1"/>
      <c r="U2175" s="1"/>
    </row>
    <row r="2176" spans="15:21">
      <c r="O2176" s="1"/>
      <c r="R2176" s="1"/>
      <c r="U2176" s="1"/>
    </row>
    <row r="2177" spans="15:21">
      <c r="O2177" s="1"/>
      <c r="R2177" s="1"/>
      <c r="U2177" s="1"/>
    </row>
    <row r="2178" spans="15:21">
      <c r="O2178" s="1"/>
      <c r="R2178" s="1"/>
      <c r="U2178" s="1"/>
    </row>
    <row r="2179" spans="15:21">
      <c r="O2179" s="1"/>
      <c r="R2179" s="1"/>
      <c r="U2179" s="1"/>
    </row>
    <row r="2180" spans="15:21">
      <c r="O2180" s="1"/>
      <c r="R2180" s="1"/>
      <c r="U2180" s="1"/>
    </row>
    <row r="2181" spans="15:21">
      <c r="O2181" s="1"/>
      <c r="R2181" s="1"/>
      <c r="U2181" s="1"/>
    </row>
    <row r="2182" spans="15:21">
      <c r="O2182" s="1"/>
      <c r="R2182" s="1"/>
      <c r="U2182" s="1"/>
    </row>
    <row r="2183" spans="15:21">
      <c r="O2183" s="1"/>
      <c r="R2183" s="1"/>
      <c r="U2183" s="1"/>
    </row>
    <row r="2184" spans="15:21">
      <c r="O2184" s="1"/>
      <c r="R2184" s="1"/>
      <c r="U2184" s="1"/>
    </row>
    <row r="2185" spans="15:21">
      <c r="O2185" s="1"/>
      <c r="R2185" s="1"/>
      <c r="U2185" s="1"/>
    </row>
    <row r="2186" spans="15:21">
      <c r="O2186" s="1"/>
      <c r="R2186" s="1"/>
      <c r="U2186" s="1"/>
    </row>
    <row r="2187" spans="15:21">
      <c r="O2187" s="1"/>
      <c r="R2187" s="1"/>
      <c r="U2187" s="1"/>
    </row>
    <row r="2188" spans="15:21">
      <c r="O2188" s="1"/>
      <c r="R2188" s="1"/>
      <c r="U2188" s="1"/>
    </row>
    <row r="2189" spans="15:21">
      <c r="O2189" s="1"/>
      <c r="R2189" s="1"/>
      <c r="U2189" s="1"/>
    </row>
    <row r="2190" spans="15:21">
      <c r="O2190" s="1"/>
      <c r="R2190" s="1"/>
      <c r="U2190" s="1"/>
    </row>
    <row r="2191" spans="15:21">
      <c r="O2191" s="1"/>
      <c r="R2191" s="1"/>
      <c r="U2191" s="1"/>
    </row>
    <row r="2192" spans="15:21">
      <c r="O2192" s="1"/>
      <c r="R2192" s="1"/>
      <c r="U2192" s="1"/>
    </row>
    <row r="2193" spans="15:21">
      <c r="O2193" s="1"/>
      <c r="R2193" s="1"/>
      <c r="U2193" s="1"/>
    </row>
    <row r="2194" spans="15:21">
      <c r="O2194" s="1"/>
      <c r="R2194" s="1"/>
      <c r="U2194" s="1"/>
    </row>
    <row r="2195" spans="15:21">
      <c r="O2195" s="1"/>
      <c r="R2195" s="1"/>
      <c r="U2195" s="1"/>
    </row>
    <row r="2196" spans="15:21">
      <c r="O2196" s="1"/>
      <c r="R2196" s="1"/>
      <c r="U2196" s="1"/>
    </row>
    <row r="2197" spans="15:21">
      <c r="O2197" s="1"/>
      <c r="R2197" s="1"/>
      <c r="U2197" s="1"/>
    </row>
    <row r="2198" spans="15:21">
      <c r="O2198" s="1"/>
      <c r="R2198" s="1"/>
      <c r="U2198" s="1"/>
    </row>
    <row r="2199" spans="15:21">
      <c r="O2199" s="1"/>
      <c r="R2199" s="1"/>
      <c r="U2199" s="1"/>
    </row>
    <row r="2200" spans="15:21">
      <c r="O2200" s="1"/>
      <c r="R2200" s="1"/>
      <c r="U2200" s="1"/>
    </row>
    <row r="2201" spans="15:21">
      <c r="O2201" s="1"/>
      <c r="R2201" s="1"/>
      <c r="U2201" s="1"/>
    </row>
    <row r="2202" spans="15:21">
      <c r="O2202" s="1"/>
      <c r="R2202" s="1"/>
      <c r="U2202" s="1"/>
    </row>
    <row r="2203" spans="15:21">
      <c r="O2203" s="1"/>
      <c r="R2203" s="1"/>
      <c r="U2203" s="1"/>
    </row>
    <row r="2204" spans="15:21">
      <c r="O2204" s="1"/>
      <c r="R2204" s="1"/>
      <c r="U2204" s="1"/>
    </row>
    <row r="2205" spans="15:21">
      <c r="O2205" s="1"/>
      <c r="R2205" s="1"/>
      <c r="U2205" s="1"/>
    </row>
    <row r="2206" spans="15:21">
      <c r="O2206" s="1"/>
      <c r="R2206" s="1"/>
      <c r="U2206" s="1"/>
    </row>
    <row r="2207" spans="15:21">
      <c r="O2207" s="1"/>
      <c r="R2207" s="1"/>
      <c r="U2207" s="1"/>
    </row>
    <row r="2208" spans="15:21">
      <c r="O2208" s="1"/>
      <c r="R2208" s="1"/>
      <c r="U2208" s="1"/>
    </row>
    <row r="2209" spans="15:21">
      <c r="O2209" s="1"/>
      <c r="R2209" s="1"/>
      <c r="U2209" s="1"/>
    </row>
    <row r="2210" spans="15:21">
      <c r="O2210" s="1"/>
      <c r="R2210" s="1"/>
      <c r="U2210" s="1"/>
    </row>
    <row r="2211" spans="15:21">
      <c r="O2211" s="1"/>
      <c r="R2211" s="1"/>
      <c r="U2211" s="1"/>
    </row>
    <row r="2212" spans="15:21">
      <c r="O2212" s="1"/>
      <c r="R2212" s="1"/>
      <c r="U2212" s="1"/>
    </row>
    <row r="2213" spans="15:21">
      <c r="O2213" s="1"/>
      <c r="R2213" s="1"/>
      <c r="U2213" s="1"/>
    </row>
    <row r="2214" spans="15:21">
      <c r="O2214" s="1"/>
      <c r="R2214" s="1"/>
      <c r="U2214" s="1"/>
    </row>
    <row r="2215" spans="15:21">
      <c r="O2215" s="1"/>
      <c r="R2215" s="1"/>
      <c r="U2215" s="1"/>
    </row>
    <row r="2216" spans="15:21">
      <c r="O2216" s="1"/>
      <c r="R2216" s="1"/>
      <c r="U2216" s="1"/>
    </row>
    <row r="2217" spans="15:21">
      <c r="O2217" s="1"/>
      <c r="R2217" s="1"/>
      <c r="U2217" s="1"/>
    </row>
    <row r="2218" spans="15:21">
      <c r="O2218" s="1"/>
      <c r="R2218" s="1"/>
      <c r="U2218" s="1"/>
    </row>
    <row r="2219" spans="15:21">
      <c r="O2219" s="1"/>
      <c r="R2219" s="1"/>
      <c r="U2219" s="1"/>
    </row>
    <row r="2220" spans="15:21">
      <c r="O2220" s="1"/>
      <c r="R2220" s="1"/>
      <c r="U2220" s="1"/>
    </row>
    <row r="2221" spans="15:21">
      <c r="O2221" s="1"/>
      <c r="R2221" s="1"/>
      <c r="U2221" s="1"/>
    </row>
    <row r="2222" spans="15:21">
      <c r="O2222" s="1"/>
      <c r="R2222" s="1"/>
      <c r="U2222" s="1"/>
    </row>
    <row r="2223" spans="15:21">
      <c r="O2223" s="1"/>
      <c r="R2223" s="1"/>
      <c r="U2223" s="1"/>
    </row>
    <row r="2224" spans="15:21">
      <c r="O2224" s="1"/>
      <c r="R2224" s="1"/>
      <c r="U2224" s="1"/>
    </row>
    <row r="2225" spans="15:21">
      <c r="O2225" s="1"/>
      <c r="R2225" s="1"/>
      <c r="U2225" s="1"/>
    </row>
    <row r="2226" spans="15:21">
      <c r="O2226" s="1"/>
      <c r="R2226" s="1"/>
      <c r="U2226" s="1"/>
    </row>
    <row r="2227" spans="15:21">
      <c r="O2227" s="1"/>
      <c r="R2227" s="1"/>
      <c r="U2227" s="1"/>
    </row>
    <row r="2228" spans="15:21">
      <c r="O2228" s="1"/>
      <c r="R2228" s="1"/>
      <c r="U2228" s="1"/>
    </row>
    <row r="2229" spans="15:21">
      <c r="O2229" s="1"/>
      <c r="R2229" s="1"/>
      <c r="U2229" s="1"/>
    </row>
    <row r="2230" spans="15:21">
      <c r="O2230" s="1"/>
      <c r="R2230" s="1"/>
      <c r="U2230" s="1"/>
    </row>
    <row r="2231" spans="15:21">
      <c r="O2231" s="1"/>
      <c r="R2231" s="1"/>
      <c r="U2231" s="1"/>
    </row>
    <row r="2232" spans="15:21">
      <c r="O2232" s="1"/>
      <c r="R2232" s="1"/>
      <c r="U2232" s="1"/>
    </row>
    <row r="2233" spans="15:21">
      <c r="O2233" s="1"/>
      <c r="R2233" s="1"/>
      <c r="U2233" s="1"/>
    </row>
    <row r="2234" spans="15:21">
      <c r="O2234" s="1"/>
      <c r="R2234" s="1"/>
      <c r="U2234" s="1"/>
    </row>
    <row r="2235" spans="15:21">
      <c r="O2235" s="1"/>
      <c r="R2235" s="1"/>
      <c r="U2235" s="1"/>
    </row>
    <row r="2236" spans="15:21">
      <c r="O2236" s="1"/>
      <c r="R2236" s="1"/>
      <c r="U2236" s="1"/>
    </row>
    <row r="2237" spans="15:21">
      <c r="O2237" s="1"/>
      <c r="R2237" s="1"/>
      <c r="U2237" s="1"/>
    </row>
    <row r="2238" spans="15:21">
      <c r="O2238" s="1"/>
      <c r="R2238" s="1"/>
      <c r="U2238" s="1"/>
    </row>
    <row r="2239" spans="15:21">
      <c r="O2239" s="1"/>
      <c r="R2239" s="1"/>
      <c r="U2239" s="1"/>
    </row>
    <row r="2240" spans="15:21">
      <c r="O2240" s="1"/>
      <c r="R2240" s="1"/>
      <c r="U2240" s="1"/>
    </row>
    <row r="2241" spans="15:21">
      <c r="O2241" s="1"/>
      <c r="R2241" s="1"/>
      <c r="U2241" s="1"/>
    </row>
    <row r="2242" spans="15:21">
      <c r="O2242" s="1"/>
      <c r="R2242" s="1"/>
      <c r="U2242" s="1"/>
    </row>
    <row r="2243" spans="15:21">
      <c r="O2243" s="1"/>
      <c r="R2243" s="1"/>
      <c r="U2243" s="1"/>
    </row>
    <row r="2244" spans="15:21">
      <c r="O2244" s="1"/>
      <c r="R2244" s="1"/>
      <c r="U2244" s="1"/>
    </row>
    <row r="2245" spans="15:21">
      <c r="O2245" s="1"/>
      <c r="R2245" s="1"/>
      <c r="U2245" s="1"/>
    </row>
    <row r="2246" spans="15:21">
      <c r="O2246" s="1"/>
      <c r="R2246" s="1"/>
      <c r="U2246" s="1"/>
    </row>
    <row r="2247" spans="15:21">
      <c r="O2247" s="1"/>
      <c r="R2247" s="1"/>
      <c r="U2247" s="1"/>
    </row>
    <row r="2248" spans="15:21">
      <c r="O2248" s="1"/>
      <c r="R2248" s="1"/>
      <c r="U2248" s="1"/>
    </row>
    <row r="2249" spans="15:21">
      <c r="O2249" s="1"/>
      <c r="R2249" s="1"/>
      <c r="U2249" s="1"/>
    </row>
    <row r="2250" spans="15:21">
      <c r="O2250" s="1"/>
      <c r="R2250" s="1"/>
      <c r="U2250" s="1"/>
    </row>
    <row r="2251" spans="15:21">
      <c r="O2251" s="1"/>
      <c r="R2251" s="1"/>
      <c r="U2251" s="1"/>
    </row>
    <row r="2252" spans="15:21">
      <c r="O2252" s="1"/>
      <c r="R2252" s="1"/>
      <c r="U2252" s="1"/>
    </row>
    <row r="2253" spans="15:21">
      <c r="O2253" s="1"/>
      <c r="R2253" s="1"/>
      <c r="U2253" s="1"/>
    </row>
    <row r="2254" spans="15:21">
      <c r="O2254" s="1"/>
      <c r="R2254" s="1"/>
      <c r="U2254" s="1"/>
    </row>
    <row r="2255" spans="15:21">
      <c r="O2255" s="1"/>
      <c r="R2255" s="1"/>
      <c r="U2255" s="1"/>
    </row>
    <row r="2256" spans="15:21">
      <c r="O2256" s="1"/>
      <c r="R2256" s="1"/>
      <c r="U2256" s="1"/>
    </row>
    <row r="2257" spans="15:21">
      <c r="O2257" s="1"/>
      <c r="R2257" s="1"/>
      <c r="U2257" s="1"/>
    </row>
    <row r="2258" spans="15:21">
      <c r="O2258" s="1"/>
      <c r="R2258" s="1"/>
      <c r="U2258" s="1"/>
    </row>
    <row r="2259" spans="15:21">
      <c r="O2259" s="1"/>
      <c r="R2259" s="1"/>
      <c r="U2259" s="1"/>
    </row>
    <row r="2260" spans="15:21">
      <c r="O2260" s="1"/>
      <c r="R2260" s="1"/>
      <c r="U2260" s="1"/>
    </row>
    <row r="2261" spans="15:21">
      <c r="O2261" s="1"/>
      <c r="R2261" s="1"/>
      <c r="U2261" s="1"/>
    </row>
    <row r="2262" spans="15:21">
      <c r="O2262" s="1"/>
      <c r="R2262" s="1"/>
      <c r="U2262" s="1"/>
    </row>
    <row r="2263" spans="15:21">
      <c r="O2263" s="1"/>
      <c r="R2263" s="1"/>
      <c r="U2263" s="1"/>
    </row>
    <row r="2264" spans="15:21">
      <c r="O2264" s="1"/>
      <c r="R2264" s="1"/>
      <c r="U2264" s="1"/>
    </row>
    <row r="2265" spans="15:21">
      <c r="O2265" s="1"/>
      <c r="R2265" s="1"/>
      <c r="U2265" s="1"/>
    </row>
    <row r="2266" spans="15:21">
      <c r="O2266" s="1"/>
      <c r="R2266" s="1"/>
      <c r="U2266" s="1"/>
    </row>
    <row r="2267" spans="15:21">
      <c r="O2267" s="1"/>
      <c r="R2267" s="1"/>
      <c r="U2267" s="1"/>
    </row>
    <row r="2268" spans="15:21">
      <c r="O2268" s="1"/>
      <c r="R2268" s="1"/>
      <c r="U2268" s="1"/>
    </row>
    <row r="2269" spans="15:21">
      <c r="O2269" s="1"/>
      <c r="R2269" s="1"/>
      <c r="U2269" s="1"/>
    </row>
    <row r="2270" spans="15:21">
      <c r="O2270" s="1"/>
      <c r="R2270" s="1"/>
      <c r="U2270" s="1"/>
    </row>
    <row r="2271" spans="15:21">
      <c r="O2271" s="1"/>
      <c r="R2271" s="1"/>
      <c r="U2271" s="1"/>
    </row>
    <row r="2272" spans="15:21">
      <c r="O2272" s="1"/>
      <c r="R2272" s="1"/>
      <c r="U2272" s="1"/>
    </row>
    <row r="2273" spans="15:21">
      <c r="O2273" s="1"/>
      <c r="R2273" s="1"/>
      <c r="U2273" s="1"/>
    </row>
    <row r="2274" spans="15:21">
      <c r="O2274" s="1"/>
      <c r="R2274" s="1"/>
      <c r="U2274" s="1"/>
    </row>
    <row r="2275" spans="15:21">
      <c r="O2275" s="1"/>
      <c r="R2275" s="1"/>
      <c r="U2275" s="1"/>
    </row>
    <row r="2276" spans="15:21">
      <c r="O2276" s="1"/>
      <c r="R2276" s="1"/>
      <c r="U2276" s="1"/>
    </row>
    <row r="2277" spans="15:21">
      <c r="O2277" s="1"/>
      <c r="R2277" s="1"/>
      <c r="U2277" s="1"/>
    </row>
    <row r="2278" spans="15:21">
      <c r="O2278" s="1"/>
      <c r="R2278" s="1"/>
      <c r="U2278" s="1"/>
    </row>
    <row r="2279" spans="15:21">
      <c r="O2279" s="1"/>
      <c r="R2279" s="1"/>
      <c r="U2279" s="1"/>
    </row>
    <row r="2280" spans="15:21">
      <c r="O2280" s="1"/>
      <c r="R2280" s="1"/>
      <c r="U2280" s="1"/>
    </row>
    <row r="2281" spans="15:21">
      <c r="O2281" s="1"/>
      <c r="R2281" s="1"/>
      <c r="U2281" s="1"/>
    </row>
    <row r="2282" spans="15:21">
      <c r="O2282" s="1"/>
      <c r="R2282" s="1"/>
      <c r="U2282" s="1"/>
    </row>
    <row r="2283" spans="15:21">
      <c r="O2283" s="1"/>
      <c r="R2283" s="1"/>
      <c r="U2283" s="1"/>
    </row>
    <row r="2284" spans="15:21">
      <c r="O2284" s="1"/>
      <c r="R2284" s="1"/>
      <c r="U2284" s="1"/>
    </row>
    <row r="2285" spans="15:21">
      <c r="O2285" s="1"/>
      <c r="R2285" s="1"/>
      <c r="U2285" s="1"/>
    </row>
    <row r="2286" spans="15:21">
      <c r="O2286" s="1"/>
      <c r="R2286" s="1"/>
      <c r="U2286" s="1"/>
    </row>
    <row r="2287" spans="15:21">
      <c r="O2287" s="1"/>
      <c r="R2287" s="1"/>
      <c r="U2287" s="1"/>
    </row>
    <row r="2288" spans="15:21">
      <c r="O2288" s="1"/>
      <c r="R2288" s="1"/>
      <c r="U2288" s="1"/>
    </row>
    <row r="2289" spans="15:21">
      <c r="O2289" s="1"/>
      <c r="R2289" s="1"/>
      <c r="U2289" s="1"/>
    </row>
    <row r="2290" spans="15:21">
      <c r="O2290" s="1"/>
      <c r="R2290" s="1"/>
      <c r="U2290" s="1"/>
    </row>
    <row r="2291" spans="15:21">
      <c r="O2291" s="1"/>
      <c r="R2291" s="1"/>
      <c r="U2291" s="1"/>
    </row>
    <row r="2292" spans="15:21">
      <c r="O2292" s="1"/>
      <c r="R2292" s="1"/>
      <c r="U2292" s="1"/>
    </row>
    <row r="2293" spans="15:21">
      <c r="O2293" s="1"/>
      <c r="R2293" s="1"/>
      <c r="U2293" s="1"/>
    </row>
    <row r="2294" spans="15:21">
      <c r="O2294" s="1"/>
      <c r="R2294" s="1"/>
      <c r="U2294" s="1"/>
    </row>
    <row r="2295" spans="15:21">
      <c r="O2295" s="1"/>
      <c r="R2295" s="1"/>
      <c r="U2295" s="1"/>
    </row>
    <row r="2296" spans="15:21">
      <c r="O2296" s="1"/>
      <c r="R2296" s="1"/>
      <c r="U2296" s="1"/>
    </row>
    <row r="2297" spans="15:21">
      <c r="O2297" s="1"/>
      <c r="R2297" s="1"/>
      <c r="U2297" s="1"/>
    </row>
    <row r="2298" spans="15:21">
      <c r="O2298" s="1"/>
      <c r="R2298" s="1"/>
      <c r="U2298" s="1"/>
    </row>
    <row r="2299" spans="15:21">
      <c r="O2299" s="1"/>
      <c r="R2299" s="1"/>
      <c r="U2299" s="1"/>
    </row>
    <row r="2300" spans="15:21">
      <c r="O2300" s="1"/>
      <c r="R2300" s="1"/>
      <c r="U2300" s="1"/>
    </row>
    <row r="2301" spans="15:21">
      <c r="O2301" s="1"/>
      <c r="R2301" s="1"/>
      <c r="U2301" s="1"/>
    </row>
    <row r="2302" spans="15:21">
      <c r="O2302" s="1"/>
      <c r="R2302" s="1"/>
      <c r="U2302" s="1"/>
    </row>
    <row r="2303" spans="15:21">
      <c r="O2303" s="1"/>
      <c r="R2303" s="1"/>
      <c r="U2303" s="1"/>
    </row>
    <row r="2304" spans="15:21">
      <c r="O2304" s="1"/>
      <c r="R2304" s="1"/>
      <c r="U2304" s="1"/>
    </row>
    <row r="2305" spans="15:21">
      <c r="O2305" s="1"/>
      <c r="R2305" s="1"/>
      <c r="U2305" s="1"/>
    </row>
    <row r="2306" spans="15:21">
      <c r="O2306" s="1"/>
      <c r="R2306" s="1"/>
      <c r="U2306" s="1"/>
    </row>
    <row r="2307" spans="15:21">
      <c r="O2307" s="1"/>
      <c r="R2307" s="1"/>
      <c r="U2307" s="1"/>
    </row>
    <row r="2308" spans="15:21">
      <c r="O2308" s="1"/>
      <c r="R2308" s="1"/>
      <c r="U2308" s="1"/>
    </row>
    <row r="2309" spans="15:21">
      <c r="O2309" s="1"/>
      <c r="R2309" s="1"/>
      <c r="U2309" s="1"/>
    </row>
    <row r="2310" spans="15:21">
      <c r="O2310" s="1"/>
      <c r="R2310" s="1"/>
      <c r="U2310" s="1"/>
    </row>
    <row r="2311" spans="15:21">
      <c r="O2311" s="1"/>
      <c r="R2311" s="1"/>
      <c r="U2311" s="1"/>
    </row>
    <row r="2312" spans="15:21">
      <c r="O2312" s="1"/>
      <c r="R2312" s="1"/>
      <c r="U2312" s="1"/>
    </row>
    <row r="2313" spans="15:21">
      <c r="O2313" s="1"/>
      <c r="R2313" s="1"/>
      <c r="U2313" s="1"/>
    </row>
    <row r="2314" spans="15:21">
      <c r="O2314" s="1"/>
      <c r="R2314" s="1"/>
      <c r="U2314" s="1"/>
    </row>
    <row r="2315" spans="15:21">
      <c r="O2315" s="1"/>
      <c r="R2315" s="1"/>
      <c r="U2315" s="1"/>
    </row>
    <row r="2316" spans="15:21">
      <c r="O2316" s="1"/>
      <c r="R2316" s="1"/>
      <c r="U2316" s="1"/>
    </row>
    <row r="2317" spans="15:21">
      <c r="O2317" s="1"/>
      <c r="R2317" s="1"/>
      <c r="U2317" s="1"/>
    </row>
    <row r="2318" spans="15:21">
      <c r="O2318" s="1"/>
      <c r="R2318" s="1"/>
      <c r="U2318" s="1"/>
    </row>
    <row r="2319" spans="15:21">
      <c r="O2319" s="1"/>
      <c r="R2319" s="1"/>
      <c r="U2319" s="1"/>
    </row>
    <row r="2320" spans="15:21">
      <c r="O2320" s="1"/>
      <c r="R2320" s="1"/>
      <c r="U2320" s="1"/>
    </row>
    <row r="2321" spans="15:21">
      <c r="O2321" s="1"/>
      <c r="R2321" s="1"/>
      <c r="U2321" s="1"/>
    </row>
    <row r="2322" spans="15:21">
      <c r="O2322" s="1"/>
      <c r="R2322" s="1"/>
      <c r="U2322" s="1"/>
    </row>
    <row r="2323" spans="15:21">
      <c r="O2323" s="1"/>
      <c r="R2323" s="1"/>
      <c r="U2323" s="1"/>
    </row>
    <row r="2324" spans="15:21">
      <c r="O2324" s="1"/>
      <c r="R2324" s="1"/>
      <c r="U2324" s="1"/>
    </row>
    <row r="2325" spans="15:21">
      <c r="O2325" s="1"/>
      <c r="R2325" s="1"/>
      <c r="U2325" s="1"/>
    </row>
    <row r="2326" spans="15:21">
      <c r="O2326" s="1"/>
      <c r="R2326" s="1"/>
      <c r="U2326" s="1"/>
    </row>
    <row r="2327" spans="15:21">
      <c r="O2327" s="1"/>
      <c r="R2327" s="1"/>
      <c r="U2327" s="1"/>
    </row>
    <row r="2328" spans="15:21">
      <c r="O2328" s="1"/>
      <c r="R2328" s="1"/>
      <c r="U2328" s="1"/>
    </row>
    <row r="2329" spans="15:21">
      <c r="O2329" s="1"/>
      <c r="R2329" s="1"/>
      <c r="U2329" s="1"/>
    </row>
    <row r="2330" spans="15:21">
      <c r="O2330" s="1"/>
      <c r="R2330" s="1"/>
      <c r="U2330" s="1"/>
    </row>
    <row r="2331" spans="15:21">
      <c r="O2331" s="1"/>
      <c r="R2331" s="1"/>
      <c r="U2331" s="1"/>
    </row>
    <row r="2332" spans="15:21">
      <c r="O2332" s="1"/>
      <c r="R2332" s="1"/>
      <c r="U2332" s="1"/>
    </row>
    <row r="2333" spans="15:21">
      <c r="O2333" s="1"/>
      <c r="R2333" s="1"/>
      <c r="U2333" s="1"/>
    </row>
    <row r="2334" spans="15:21">
      <c r="O2334" s="1"/>
      <c r="R2334" s="1"/>
      <c r="U2334" s="1"/>
    </row>
    <row r="2335" spans="15:21">
      <c r="O2335" s="1"/>
      <c r="R2335" s="1"/>
      <c r="U2335" s="1"/>
    </row>
    <row r="2336" spans="15:21">
      <c r="O2336" s="1"/>
      <c r="R2336" s="1"/>
      <c r="U2336" s="1"/>
    </row>
    <row r="2337" spans="15:21">
      <c r="O2337" s="1"/>
      <c r="R2337" s="1"/>
      <c r="U2337" s="1"/>
    </row>
    <row r="2338" spans="15:21">
      <c r="O2338" s="1"/>
      <c r="R2338" s="1"/>
      <c r="U2338" s="1"/>
    </row>
    <row r="2339" spans="15:21">
      <c r="O2339" s="1"/>
      <c r="R2339" s="1"/>
      <c r="U2339" s="1"/>
    </row>
    <row r="2340" spans="15:21">
      <c r="O2340" s="1"/>
      <c r="R2340" s="1"/>
      <c r="U2340" s="1"/>
    </row>
    <row r="2341" spans="15:21">
      <c r="O2341" s="1"/>
      <c r="R2341" s="1"/>
      <c r="U2341" s="1"/>
    </row>
    <row r="2342" spans="15:21">
      <c r="O2342" s="1"/>
      <c r="R2342" s="1"/>
      <c r="U2342" s="1"/>
    </row>
    <row r="2343" spans="15:21">
      <c r="O2343" s="1"/>
      <c r="R2343" s="1"/>
      <c r="U2343" s="1"/>
    </row>
    <row r="2344" spans="15:21">
      <c r="O2344" s="1"/>
      <c r="R2344" s="1"/>
      <c r="U2344" s="1"/>
    </row>
    <row r="2345" spans="15:21">
      <c r="O2345" s="1"/>
      <c r="R2345" s="1"/>
      <c r="U2345" s="1"/>
    </row>
    <row r="2346" spans="15:21">
      <c r="O2346" s="1"/>
      <c r="R2346" s="1"/>
      <c r="U2346" s="1"/>
    </row>
    <row r="2347" spans="15:21">
      <c r="O2347" s="1"/>
      <c r="R2347" s="1"/>
      <c r="U2347" s="1"/>
    </row>
    <row r="2348" spans="15:21">
      <c r="O2348" s="1"/>
      <c r="R2348" s="1"/>
      <c r="U2348" s="1"/>
    </row>
    <row r="2349" spans="15:21">
      <c r="O2349" s="1"/>
      <c r="R2349" s="1"/>
      <c r="U2349" s="1"/>
    </row>
    <row r="2350" spans="15:21">
      <c r="O2350" s="1"/>
      <c r="R2350" s="1"/>
      <c r="U2350" s="1"/>
    </row>
    <row r="2351" spans="15:21">
      <c r="O2351" s="1"/>
      <c r="R2351" s="1"/>
      <c r="U2351" s="1"/>
    </row>
    <row r="2352" spans="15:21">
      <c r="O2352" s="1"/>
      <c r="R2352" s="1"/>
      <c r="U2352" s="1"/>
    </row>
    <row r="2353" spans="15:21">
      <c r="O2353" s="1"/>
      <c r="R2353" s="1"/>
      <c r="U2353" s="1"/>
    </row>
    <row r="2354" spans="15:21">
      <c r="O2354" s="1"/>
      <c r="R2354" s="1"/>
      <c r="U2354" s="1"/>
    </row>
    <row r="2355" spans="15:21">
      <c r="O2355" s="1"/>
      <c r="R2355" s="1"/>
      <c r="U2355" s="1"/>
    </row>
    <row r="2356" spans="15:21">
      <c r="O2356" s="1"/>
      <c r="R2356" s="1"/>
      <c r="U2356" s="1"/>
    </row>
    <row r="2357" spans="15:21">
      <c r="O2357" s="1"/>
      <c r="R2357" s="1"/>
      <c r="U2357" s="1"/>
    </row>
    <row r="2358" spans="15:21">
      <c r="O2358" s="1"/>
      <c r="R2358" s="1"/>
      <c r="U2358" s="1"/>
    </row>
    <row r="2359" spans="15:21">
      <c r="O2359" s="1"/>
      <c r="R2359" s="1"/>
      <c r="U2359" s="1"/>
    </row>
    <row r="2360" spans="15:21">
      <c r="O2360" s="1"/>
      <c r="R2360" s="1"/>
      <c r="U2360" s="1"/>
    </row>
    <row r="2361" spans="15:21">
      <c r="O2361" s="1"/>
      <c r="R2361" s="1"/>
      <c r="U2361" s="1"/>
    </row>
    <row r="2362" spans="15:21">
      <c r="O2362" s="1"/>
      <c r="R2362" s="1"/>
      <c r="U2362" s="1"/>
    </row>
    <row r="2363" spans="15:21">
      <c r="O2363" s="1"/>
      <c r="R2363" s="1"/>
      <c r="U2363" s="1"/>
    </row>
    <row r="2364" spans="15:21">
      <c r="O2364" s="1"/>
      <c r="R2364" s="1"/>
      <c r="U2364" s="1"/>
    </row>
    <row r="2365" spans="15:21">
      <c r="O2365" s="1"/>
      <c r="R2365" s="1"/>
      <c r="U2365" s="1"/>
    </row>
    <row r="2366" spans="15:21">
      <c r="O2366" s="1"/>
      <c r="R2366" s="1"/>
      <c r="U2366" s="1"/>
    </row>
    <row r="2367" spans="15:21">
      <c r="O2367" s="1"/>
      <c r="R2367" s="1"/>
      <c r="U2367" s="1"/>
    </row>
    <row r="2368" spans="15:21">
      <c r="O2368" s="1"/>
      <c r="R2368" s="1"/>
      <c r="U2368" s="1"/>
    </row>
    <row r="2369" spans="15:21">
      <c r="O2369" s="1"/>
      <c r="R2369" s="1"/>
      <c r="U2369" s="1"/>
    </row>
    <row r="2370" spans="15:21">
      <c r="O2370" s="1"/>
      <c r="R2370" s="1"/>
      <c r="U2370" s="1"/>
    </row>
    <row r="2371" spans="15:21">
      <c r="O2371" s="1"/>
      <c r="R2371" s="1"/>
      <c r="U2371" s="1"/>
    </row>
    <row r="2372" spans="15:21">
      <c r="O2372" s="1"/>
      <c r="R2372" s="1"/>
      <c r="U2372" s="1"/>
    </row>
    <row r="2373" spans="15:21">
      <c r="O2373" s="1"/>
      <c r="R2373" s="1"/>
      <c r="U2373" s="1"/>
    </row>
    <row r="2374" spans="15:21">
      <c r="O2374" s="1"/>
      <c r="R2374" s="1"/>
      <c r="U2374" s="1"/>
    </row>
    <row r="2375" spans="15:21">
      <c r="O2375" s="1"/>
      <c r="R2375" s="1"/>
      <c r="U2375" s="1"/>
    </row>
    <row r="2376" spans="15:21">
      <c r="O2376" s="1"/>
      <c r="R2376" s="1"/>
      <c r="U2376" s="1"/>
    </row>
    <row r="2377" spans="15:21">
      <c r="O2377" s="1"/>
      <c r="R2377" s="1"/>
      <c r="U2377" s="1"/>
    </row>
    <row r="2378" spans="15:21">
      <c r="O2378" s="1"/>
      <c r="R2378" s="1"/>
      <c r="U2378" s="1"/>
    </row>
    <row r="2379" spans="15:21">
      <c r="O2379" s="1"/>
      <c r="R2379" s="1"/>
      <c r="U2379" s="1"/>
    </row>
    <row r="2380" spans="15:21">
      <c r="O2380" s="1"/>
      <c r="R2380" s="1"/>
      <c r="U2380" s="1"/>
    </row>
    <row r="2381" spans="15:21">
      <c r="O2381" s="1"/>
      <c r="R2381" s="1"/>
      <c r="U2381" s="1"/>
    </row>
    <row r="2382" spans="15:21">
      <c r="O2382" s="1"/>
      <c r="R2382" s="1"/>
      <c r="U2382" s="1"/>
    </row>
    <row r="2383" spans="15:21">
      <c r="O2383" s="1"/>
      <c r="R2383" s="1"/>
      <c r="U2383" s="1"/>
    </row>
    <row r="2384" spans="15:21">
      <c r="O2384" s="1"/>
      <c r="R2384" s="1"/>
      <c r="U2384" s="1"/>
    </row>
    <row r="2385" spans="15:21">
      <c r="O2385" s="1"/>
      <c r="R2385" s="1"/>
      <c r="U2385" s="1"/>
    </row>
    <row r="2386" spans="15:21">
      <c r="O2386" s="1"/>
      <c r="R2386" s="1"/>
      <c r="U2386" s="1"/>
    </row>
    <row r="2387" spans="15:21">
      <c r="O2387" s="1"/>
      <c r="R2387" s="1"/>
      <c r="U2387" s="1"/>
    </row>
    <row r="2388" spans="15:21">
      <c r="O2388" s="1"/>
      <c r="R2388" s="1"/>
      <c r="U2388" s="1"/>
    </row>
    <row r="2389" spans="15:21">
      <c r="O2389" s="1"/>
      <c r="R2389" s="1"/>
      <c r="U2389" s="1"/>
    </row>
    <row r="2390" spans="15:21">
      <c r="O2390" s="1"/>
      <c r="R2390" s="1"/>
      <c r="U2390" s="1"/>
    </row>
    <row r="2391" spans="15:21">
      <c r="O2391" s="1"/>
      <c r="R2391" s="1"/>
      <c r="U2391" s="1"/>
    </row>
    <row r="2392" spans="15:21">
      <c r="O2392" s="1"/>
      <c r="R2392" s="1"/>
      <c r="U2392" s="1"/>
    </row>
    <row r="2393" spans="15:21">
      <c r="O2393" s="1"/>
      <c r="R2393" s="1"/>
      <c r="U2393" s="1"/>
    </row>
    <row r="2394" spans="15:21">
      <c r="O2394" s="1"/>
      <c r="R2394" s="1"/>
      <c r="U2394" s="1"/>
    </row>
    <row r="2395" spans="15:21">
      <c r="O2395" s="1"/>
      <c r="R2395" s="1"/>
      <c r="U2395" s="1"/>
    </row>
    <row r="2396" spans="15:21">
      <c r="O2396" s="1"/>
      <c r="R2396" s="1"/>
      <c r="U2396" s="1"/>
    </row>
    <row r="2397" spans="15:21">
      <c r="O2397" s="1"/>
      <c r="R2397" s="1"/>
      <c r="U2397" s="1"/>
    </row>
    <row r="2398" spans="15:21">
      <c r="O2398" s="1"/>
      <c r="R2398" s="1"/>
      <c r="U2398" s="1"/>
    </row>
    <row r="2399" spans="15:21">
      <c r="O2399" s="1"/>
      <c r="R2399" s="1"/>
      <c r="U2399" s="1"/>
    </row>
    <row r="2400" spans="15:21">
      <c r="O2400" s="1"/>
      <c r="R2400" s="1"/>
      <c r="U2400" s="1"/>
    </row>
    <row r="2401" spans="15:21">
      <c r="O2401" s="1"/>
      <c r="R2401" s="1"/>
      <c r="U2401" s="1"/>
    </row>
    <row r="2402" spans="15:21">
      <c r="O2402" s="1"/>
      <c r="R2402" s="1"/>
      <c r="U2402" s="1"/>
    </row>
    <row r="2403" spans="15:21">
      <c r="O2403" s="1"/>
      <c r="R2403" s="1"/>
      <c r="U2403" s="1"/>
    </row>
    <row r="2404" spans="15:21">
      <c r="O2404" s="1"/>
      <c r="R2404" s="1"/>
      <c r="U2404" s="1"/>
    </row>
    <row r="2405" spans="15:21">
      <c r="O2405" s="1"/>
      <c r="R2405" s="1"/>
      <c r="U2405" s="1"/>
    </row>
    <row r="2406" spans="15:21">
      <c r="O2406" s="1"/>
      <c r="R2406" s="1"/>
      <c r="U2406" s="1"/>
    </row>
    <row r="2407" spans="15:21">
      <c r="O2407" s="1"/>
      <c r="R2407" s="1"/>
      <c r="U2407" s="1"/>
    </row>
    <row r="2408" spans="15:21">
      <c r="O2408" s="1"/>
      <c r="R2408" s="1"/>
      <c r="U2408" s="1"/>
    </row>
    <row r="2409" spans="15:21">
      <c r="O2409" s="1"/>
      <c r="R2409" s="1"/>
      <c r="U2409" s="1"/>
    </row>
    <row r="2410" spans="15:21">
      <c r="O2410" s="1"/>
      <c r="R2410" s="1"/>
      <c r="U2410" s="1"/>
    </row>
    <row r="2411" spans="15:21">
      <c r="O2411" s="1"/>
      <c r="R2411" s="1"/>
      <c r="U2411" s="1"/>
    </row>
    <row r="2412" spans="15:21">
      <c r="O2412" s="1"/>
      <c r="R2412" s="1"/>
      <c r="U2412" s="1"/>
    </row>
    <row r="2413" spans="15:21">
      <c r="O2413" s="1"/>
      <c r="R2413" s="1"/>
      <c r="U2413" s="1"/>
    </row>
    <row r="2414" spans="15:21">
      <c r="O2414" s="1"/>
      <c r="R2414" s="1"/>
      <c r="U2414" s="1"/>
    </row>
    <row r="2415" spans="15:21">
      <c r="O2415" s="1"/>
      <c r="R2415" s="1"/>
      <c r="U2415" s="1"/>
    </row>
    <row r="2416" spans="15:21">
      <c r="O2416" s="1"/>
      <c r="R2416" s="1"/>
      <c r="U2416" s="1"/>
    </row>
    <row r="2417" spans="15:21">
      <c r="O2417" s="1"/>
      <c r="R2417" s="1"/>
      <c r="U2417" s="1"/>
    </row>
    <row r="2418" spans="15:21">
      <c r="O2418" s="1"/>
      <c r="R2418" s="1"/>
      <c r="U2418" s="1"/>
    </row>
    <row r="2419" spans="15:21">
      <c r="O2419" s="1"/>
      <c r="R2419" s="1"/>
      <c r="U2419" s="1"/>
    </row>
    <row r="2420" spans="15:21">
      <c r="O2420" s="1"/>
      <c r="R2420" s="1"/>
      <c r="U2420" s="1"/>
    </row>
    <row r="2421" spans="15:21">
      <c r="O2421" s="1"/>
      <c r="R2421" s="1"/>
      <c r="U2421" s="1"/>
    </row>
    <row r="2422" spans="15:21">
      <c r="O2422" s="1"/>
      <c r="R2422" s="1"/>
      <c r="U2422" s="1"/>
    </row>
    <row r="2423" spans="15:21">
      <c r="O2423" s="1"/>
      <c r="R2423" s="1"/>
      <c r="U2423" s="1"/>
    </row>
    <row r="2424" spans="15:21">
      <c r="O2424" s="1"/>
      <c r="R2424" s="1"/>
      <c r="U2424" s="1"/>
    </row>
    <row r="2425" spans="15:21">
      <c r="O2425" s="1"/>
      <c r="R2425" s="1"/>
      <c r="U2425" s="1"/>
    </row>
    <row r="2426" spans="15:21">
      <c r="O2426" s="1"/>
      <c r="R2426" s="1"/>
      <c r="U2426" s="1"/>
    </row>
    <row r="2427" spans="15:21">
      <c r="O2427" s="1"/>
      <c r="R2427" s="1"/>
      <c r="U2427" s="1"/>
    </row>
    <row r="2428" spans="15:21">
      <c r="O2428" s="1"/>
      <c r="R2428" s="1"/>
      <c r="U2428" s="1"/>
    </row>
    <row r="2429" spans="15:21">
      <c r="O2429" s="1"/>
      <c r="R2429" s="1"/>
      <c r="U2429" s="1"/>
    </row>
    <row r="2430" spans="15:21">
      <c r="O2430" s="1"/>
      <c r="R2430" s="1"/>
      <c r="U2430" s="1"/>
    </row>
    <row r="2431" spans="15:21">
      <c r="O2431" s="1"/>
      <c r="R2431" s="1"/>
      <c r="U2431" s="1"/>
    </row>
    <row r="2432" spans="15:21">
      <c r="O2432" s="1"/>
      <c r="R2432" s="1"/>
      <c r="U2432" s="1"/>
    </row>
    <row r="2433" spans="15:21">
      <c r="O2433" s="1"/>
      <c r="R2433" s="1"/>
      <c r="U2433" s="1"/>
    </row>
    <row r="2434" spans="15:21">
      <c r="O2434" s="1"/>
      <c r="R2434" s="1"/>
      <c r="U2434" s="1"/>
    </row>
    <row r="2435" spans="15:21">
      <c r="O2435" s="1"/>
      <c r="R2435" s="1"/>
      <c r="U2435" s="1"/>
    </row>
    <row r="2436" spans="15:21">
      <c r="O2436" s="1"/>
      <c r="R2436" s="1"/>
      <c r="U2436" s="1"/>
    </row>
    <row r="2437" spans="15:21">
      <c r="O2437" s="1"/>
      <c r="R2437" s="1"/>
      <c r="U2437" s="1"/>
    </row>
    <row r="2438" spans="15:21">
      <c r="O2438" s="1"/>
      <c r="R2438" s="1"/>
      <c r="U2438" s="1"/>
    </row>
    <row r="2439" spans="15:21">
      <c r="O2439" s="1"/>
      <c r="R2439" s="1"/>
      <c r="U2439" s="1"/>
    </row>
    <row r="2440" spans="15:21">
      <c r="O2440" s="1"/>
      <c r="R2440" s="1"/>
      <c r="U2440" s="1"/>
    </row>
    <row r="2441" spans="15:21">
      <c r="O2441" s="1"/>
      <c r="R2441" s="1"/>
      <c r="U2441" s="1"/>
    </row>
    <row r="2442" spans="15:21">
      <c r="O2442" s="1"/>
      <c r="R2442" s="1"/>
      <c r="U2442" s="1"/>
    </row>
    <row r="2443" spans="15:21">
      <c r="O2443" s="1"/>
      <c r="R2443" s="1"/>
      <c r="U2443" s="1"/>
    </row>
    <row r="2444" spans="15:21">
      <c r="O2444" s="1"/>
      <c r="R2444" s="1"/>
      <c r="U2444" s="1"/>
    </row>
    <row r="2445" spans="15:21">
      <c r="O2445" s="1"/>
      <c r="R2445" s="1"/>
      <c r="U2445" s="1"/>
    </row>
    <row r="2446" spans="15:21">
      <c r="O2446" s="1"/>
      <c r="R2446" s="1"/>
      <c r="U2446" s="1"/>
    </row>
    <row r="2447" spans="15:21">
      <c r="O2447" s="1"/>
      <c r="R2447" s="1"/>
      <c r="U2447" s="1"/>
    </row>
    <row r="2448" spans="15:21">
      <c r="O2448" s="1"/>
      <c r="R2448" s="1"/>
      <c r="U2448" s="1"/>
    </row>
    <row r="2449" spans="15:21">
      <c r="O2449" s="1"/>
      <c r="R2449" s="1"/>
      <c r="U2449" s="1"/>
    </row>
    <row r="2450" spans="15:21">
      <c r="O2450" s="1"/>
      <c r="R2450" s="1"/>
      <c r="U2450" s="1"/>
    </row>
    <row r="2451" spans="15:21">
      <c r="O2451" s="1"/>
      <c r="R2451" s="1"/>
      <c r="U2451" s="1"/>
    </row>
    <row r="2452" spans="15:21">
      <c r="O2452" s="1"/>
      <c r="R2452" s="1"/>
      <c r="U2452" s="1"/>
    </row>
    <row r="2453" spans="15:21">
      <c r="O2453" s="1"/>
      <c r="R2453" s="1"/>
      <c r="U2453" s="1"/>
    </row>
    <row r="2454" spans="15:21">
      <c r="O2454" s="1"/>
      <c r="R2454" s="1"/>
      <c r="U2454" s="1"/>
    </row>
    <row r="2455" spans="15:21">
      <c r="O2455" s="1"/>
      <c r="R2455" s="1"/>
      <c r="U2455" s="1"/>
    </row>
    <row r="2456" spans="15:21">
      <c r="O2456" s="1"/>
      <c r="R2456" s="1"/>
      <c r="U2456" s="1"/>
    </row>
    <row r="2457" spans="15:21">
      <c r="O2457" s="1"/>
      <c r="R2457" s="1"/>
      <c r="U2457" s="1"/>
    </row>
    <row r="2458" spans="15:21">
      <c r="O2458" s="1"/>
      <c r="R2458" s="1"/>
      <c r="U2458" s="1"/>
    </row>
    <row r="2459" spans="15:21">
      <c r="O2459" s="1"/>
      <c r="R2459" s="1"/>
      <c r="U2459" s="1"/>
    </row>
    <row r="2460" spans="15:21">
      <c r="O2460" s="1"/>
      <c r="R2460" s="1"/>
      <c r="U2460" s="1"/>
    </row>
    <row r="2461" spans="15:21">
      <c r="O2461" s="1"/>
      <c r="R2461" s="1"/>
      <c r="U2461" s="1"/>
    </row>
    <row r="2462" spans="15:21">
      <c r="O2462" s="1"/>
      <c r="R2462" s="1"/>
      <c r="U2462" s="1"/>
    </row>
    <row r="2463" spans="15:21">
      <c r="O2463" s="1"/>
      <c r="R2463" s="1"/>
      <c r="U2463" s="1"/>
    </row>
    <row r="2464" spans="15:21">
      <c r="O2464" s="1"/>
      <c r="R2464" s="1"/>
      <c r="U2464" s="1"/>
    </row>
    <row r="2465" spans="15:21">
      <c r="O2465" s="1"/>
      <c r="R2465" s="1"/>
      <c r="U2465" s="1"/>
    </row>
    <row r="2466" spans="15:21">
      <c r="O2466" s="1"/>
      <c r="R2466" s="1"/>
      <c r="U2466" s="1"/>
    </row>
    <row r="2467" spans="15:21">
      <c r="O2467" s="1"/>
      <c r="R2467" s="1"/>
      <c r="U2467" s="1"/>
    </row>
    <row r="2468" spans="15:21">
      <c r="O2468" s="1"/>
      <c r="R2468" s="1"/>
      <c r="U2468" s="1"/>
    </row>
    <row r="2469" spans="15:21">
      <c r="O2469" s="1"/>
      <c r="R2469" s="1"/>
      <c r="U2469" s="1"/>
    </row>
    <row r="2470" spans="15:21">
      <c r="O2470" s="1"/>
      <c r="R2470" s="1"/>
      <c r="U2470" s="1"/>
    </row>
    <row r="2471" spans="15:21">
      <c r="O2471" s="1"/>
      <c r="R2471" s="1"/>
      <c r="U2471" s="1"/>
    </row>
    <row r="2472" spans="15:21">
      <c r="O2472" s="1"/>
      <c r="R2472" s="1"/>
      <c r="U2472" s="1"/>
    </row>
    <row r="2473" spans="15:21">
      <c r="O2473" s="1"/>
      <c r="R2473" s="1"/>
      <c r="U2473" s="1"/>
    </row>
    <row r="2474" spans="15:21">
      <c r="O2474" s="1"/>
      <c r="R2474" s="1"/>
      <c r="U2474" s="1"/>
    </row>
    <row r="2475" spans="15:21">
      <c r="O2475" s="1"/>
      <c r="R2475" s="1"/>
      <c r="U2475" s="1"/>
    </row>
    <row r="2476" spans="15:21">
      <c r="O2476" s="1"/>
      <c r="R2476" s="1"/>
      <c r="U2476" s="1"/>
    </row>
    <row r="2477" spans="15:21">
      <c r="O2477" s="1"/>
      <c r="R2477" s="1"/>
      <c r="U2477" s="1"/>
    </row>
    <row r="2478" spans="15:21">
      <c r="O2478" s="1"/>
      <c r="R2478" s="1"/>
      <c r="U2478" s="1"/>
    </row>
    <row r="2479" spans="15:21">
      <c r="O2479" s="1"/>
      <c r="R2479" s="1"/>
      <c r="U2479" s="1"/>
    </row>
    <row r="2480" spans="15:21">
      <c r="O2480" s="1"/>
      <c r="R2480" s="1"/>
      <c r="U2480" s="1"/>
    </row>
    <row r="2481" spans="15:21">
      <c r="O2481" s="1"/>
      <c r="R2481" s="1"/>
      <c r="U2481" s="1"/>
    </row>
    <row r="2482" spans="15:21">
      <c r="O2482" s="1"/>
      <c r="R2482" s="1"/>
      <c r="U2482" s="1"/>
    </row>
    <row r="2483" spans="15:21">
      <c r="O2483" s="1"/>
      <c r="R2483" s="1"/>
      <c r="U2483" s="1"/>
    </row>
    <row r="2484" spans="15:21">
      <c r="O2484" s="1"/>
      <c r="R2484" s="1"/>
      <c r="U2484" s="1"/>
    </row>
    <row r="2485" spans="15:21">
      <c r="O2485" s="1"/>
      <c r="R2485" s="1"/>
      <c r="U2485" s="1"/>
    </row>
    <row r="2486" spans="15:21">
      <c r="O2486" s="1"/>
      <c r="R2486" s="1"/>
      <c r="U2486" s="1"/>
    </row>
    <row r="2487" spans="15:21">
      <c r="O2487" s="1"/>
      <c r="R2487" s="1"/>
      <c r="U2487" s="1"/>
    </row>
    <row r="2488" spans="15:21">
      <c r="O2488" s="1"/>
      <c r="R2488" s="1"/>
      <c r="U2488" s="1"/>
    </row>
    <row r="2489" spans="15:21">
      <c r="O2489" s="1"/>
      <c r="R2489" s="1"/>
      <c r="U2489" s="1"/>
    </row>
    <row r="2490" spans="15:21">
      <c r="O2490" s="1"/>
      <c r="R2490" s="1"/>
      <c r="U2490" s="1"/>
    </row>
    <row r="2491" spans="15:21">
      <c r="O2491" s="1"/>
      <c r="R2491" s="1"/>
      <c r="U2491" s="1"/>
    </row>
    <row r="2492" spans="15:21">
      <c r="O2492" s="1"/>
      <c r="R2492" s="1"/>
      <c r="U2492" s="1"/>
    </row>
    <row r="2493" spans="15:21">
      <c r="O2493" s="1"/>
      <c r="R2493" s="1"/>
      <c r="U2493" s="1"/>
    </row>
    <row r="2494" spans="15:21">
      <c r="O2494" s="1"/>
      <c r="R2494" s="1"/>
      <c r="U2494" s="1"/>
    </row>
    <row r="2495" spans="15:21">
      <c r="O2495" s="1"/>
      <c r="R2495" s="1"/>
      <c r="U2495" s="1"/>
    </row>
    <row r="2496" spans="15:21">
      <c r="O2496" s="1"/>
      <c r="R2496" s="1"/>
      <c r="U2496" s="1"/>
    </row>
    <row r="2497" spans="15:21">
      <c r="O2497" s="1"/>
      <c r="R2497" s="1"/>
      <c r="U2497" s="1"/>
    </row>
    <row r="2498" spans="15:21">
      <c r="O2498" s="1"/>
      <c r="R2498" s="1"/>
      <c r="U2498" s="1"/>
    </row>
    <row r="2499" spans="15:21">
      <c r="O2499" s="1"/>
      <c r="R2499" s="1"/>
      <c r="U2499" s="1"/>
    </row>
    <row r="2500" spans="15:21">
      <c r="O2500" s="1"/>
      <c r="R2500" s="1"/>
      <c r="U2500" s="1"/>
    </row>
    <row r="2501" spans="15:21">
      <c r="O2501" s="1"/>
      <c r="R2501" s="1"/>
      <c r="U2501" s="1"/>
    </row>
    <row r="2502" spans="15:21">
      <c r="O2502" s="1"/>
      <c r="R2502" s="1"/>
      <c r="U2502" s="1"/>
    </row>
    <row r="2503" spans="15:21">
      <c r="O2503" s="1"/>
      <c r="R2503" s="1"/>
      <c r="U2503" s="1"/>
    </row>
    <row r="2504" spans="15:21">
      <c r="O2504" s="1"/>
      <c r="R2504" s="1"/>
      <c r="U2504" s="1"/>
    </row>
    <row r="2505" spans="15:21">
      <c r="O2505" s="1"/>
      <c r="R2505" s="1"/>
      <c r="U2505" s="1"/>
    </row>
    <row r="2506" spans="15:21">
      <c r="O2506" s="1"/>
      <c r="R2506" s="1"/>
      <c r="U2506" s="1"/>
    </row>
    <row r="2507" spans="15:21">
      <c r="O2507" s="1"/>
      <c r="R2507" s="1"/>
      <c r="U2507" s="1"/>
    </row>
    <row r="2508" spans="15:21">
      <c r="O2508" s="1"/>
      <c r="R2508" s="1"/>
      <c r="U2508" s="1"/>
    </row>
    <row r="2509" spans="15:21">
      <c r="O2509" s="1"/>
      <c r="R2509" s="1"/>
      <c r="U2509" s="1"/>
    </row>
    <row r="2510" spans="15:21">
      <c r="O2510" s="1"/>
      <c r="R2510" s="1"/>
      <c r="U2510" s="1"/>
    </row>
    <row r="2511" spans="15:21">
      <c r="O2511" s="1"/>
      <c r="R2511" s="1"/>
      <c r="U2511" s="1"/>
    </row>
    <row r="2512" spans="15:21">
      <c r="O2512" s="1"/>
      <c r="R2512" s="1"/>
      <c r="U2512" s="1"/>
    </row>
    <row r="2513" spans="15:21">
      <c r="O2513" s="1"/>
      <c r="R2513" s="1"/>
      <c r="U2513" s="1"/>
    </row>
    <row r="2514" spans="15:21">
      <c r="O2514" s="1"/>
      <c r="R2514" s="1"/>
      <c r="U2514" s="1"/>
    </row>
    <row r="2515" spans="15:21">
      <c r="O2515" s="1"/>
      <c r="R2515" s="1"/>
      <c r="U2515" s="1"/>
    </row>
    <row r="2516" spans="15:21">
      <c r="O2516" s="1"/>
      <c r="R2516" s="1"/>
      <c r="U2516" s="1"/>
    </row>
    <row r="2517" spans="15:21">
      <c r="O2517" s="1"/>
      <c r="R2517" s="1"/>
      <c r="U2517" s="1"/>
    </row>
    <row r="2518" spans="15:21">
      <c r="O2518" s="1"/>
      <c r="R2518" s="1"/>
      <c r="U2518" s="1"/>
    </row>
    <row r="2519" spans="15:21">
      <c r="O2519" s="1"/>
      <c r="R2519" s="1"/>
      <c r="U2519" s="1"/>
    </row>
    <row r="2520" spans="15:21">
      <c r="O2520" s="1"/>
      <c r="R2520" s="1"/>
      <c r="U2520" s="1"/>
    </row>
    <row r="2521" spans="15:21">
      <c r="O2521" s="1"/>
      <c r="R2521" s="1"/>
      <c r="U2521" s="1"/>
    </row>
    <row r="2522" spans="15:21">
      <c r="O2522" s="1"/>
      <c r="R2522" s="1"/>
      <c r="U2522" s="1"/>
    </row>
    <row r="2523" spans="15:21">
      <c r="O2523" s="1"/>
      <c r="R2523" s="1"/>
      <c r="U2523" s="1"/>
    </row>
    <row r="2524" spans="15:21">
      <c r="O2524" s="1"/>
      <c r="R2524" s="1"/>
      <c r="U2524" s="1"/>
    </row>
    <row r="2525" spans="15:21">
      <c r="O2525" s="1"/>
      <c r="R2525" s="1"/>
      <c r="U2525" s="1"/>
    </row>
    <row r="2526" spans="15:21">
      <c r="O2526" s="1"/>
      <c r="R2526" s="1"/>
      <c r="U2526" s="1"/>
    </row>
    <row r="2527" spans="15:21">
      <c r="O2527" s="1"/>
      <c r="R2527" s="1"/>
      <c r="U2527" s="1"/>
    </row>
    <row r="2528" spans="15:21">
      <c r="O2528" s="1"/>
      <c r="R2528" s="1"/>
      <c r="U2528" s="1"/>
    </row>
    <row r="2529" spans="15:21">
      <c r="O2529" s="1"/>
      <c r="R2529" s="1"/>
      <c r="U2529" s="1"/>
    </row>
    <row r="2530" spans="15:21">
      <c r="O2530" s="1"/>
      <c r="R2530" s="1"/>
      <c r="U2530" s="1"/>
    </row>
    <row r="2531" spans="15:21">
      <c r="O2531" s="1"/>
      <c r="R2531" s="1"/>
      <c r="U2531" s="1"/>
    </row>
    <row r="2532" spans="15:21">
      <c r="O2532" s="1"/>
      <c r="R2532" s="1"/>
      <c r="U2532" s="1"/>
    </row>
    <row r="2533" spans="15:21">
      <c r="O2533" s="1"/>
      <c r="R2533" s="1"/>
      <c r="U2533" s="1"/>
    </row>
    <row r="2534" spans="15:21">
      <c r="O2534" s="1"/>
      <c r="R2534" s="1"/>
      <c r="U2534" s="1"/>
    </row>
    <row r="2535" spans="15:21">
      <c r="O2535" s="1"/>
      <c r="R2535" s="1"/>
      <c r="U2535" s="1"/>
    </row>
    <row r="2536" spans="15:21">
      <c r="O2536" s="1"/>
      <c r="R2536" s="1"/>
      <c r="U2536" s="1"/>
    </row>
    <row r="2537" spans="15:21">
      <c r="O2537" s="1"/>
      <c r="R2537" s="1"/>
      <c r="U2537" s="1"/>
    </row>
    <row r="2538" spans="15:21">
      <c r="O2538" s="1"/>
      <c r="R2538" s="1"/>
      <c r="U2538" s="1"/>
    </row>
    <row r="2539" spans="15:21">
      <c r="O2539" s="1"/>
      <c r="R2539" s="1"/>
      <c r="U2539" s="1"/>
    </row>
    <row r="2540" spans="15:21">
      <c r="O2540" s="1"/>
      <c r="R2540" s="1"/>
      <c r="U2540" s="1"/>
    </row>
    <row r="2541" spans="15:21">
      <c r="O2541" s="1"/>
      <c r="R2541" s="1"/>
      <c r="U2541" s="1"/>
    </row>
    <row r="2542" spans="15:21">
      <c r="O2542" s="1"/>
      <c r="R2542" s="1"/>
      <c r="U2542" s="1"/>
    </row>
    <row r="2543" spans="15:21">
      <c r="O2543" s="1"/>
      <c r="R2543" s="1"/>
      <c r="U2543" s="1"/>
    </row>
    <row r="2544" spans="15:21">
      <c r="O2544" s="1"/>
      <c r="R2544" s="1"/>
      <c r="U2544" s="1"/>
    </row>
    <row r="2545" spans="15:21">
      <c r="O2545" s="1"/>
      <c r="R2545" s="1"/>
      <c r="U2545" s="1"/>
    </row>
    <row r="2546" spans="15:21">
      <c r="O2546" s="1"/>
      <c r="R2546" s="1"/>
      <c r="U2546" s="1"/>
    </row>
    <row r="2547" spans="15:21">
      <c r="O2547" s="1"/>
      <c r="R2547" s="1"/>
      <c r="U2547" s="1"/>
    </row>
    <row r="2548" spans="15:21">
      <c r="O2548" s="1"/>
      <c r="R2548" s="1"/>
      <c r="U2548" s="1"/>
    </row>
    <row r="2549" spans="15:21">
      <c r="O2549" s="1"/>
      <c r="R2549" s="1"/>
      <c r="U2549" s="1"/>
    </row>
    <row r="2550" spans="15:21">
      <c r="O2550" s="1"/>
      <c r="R2550" s="1"/>
      <c r="U2550" s="1"/>
    </row>
    <row r="2551" spans="15:21">
      <c r="O2551" s="1"/>
      <c r="R2551" s="1"/>
      <c r="U2551" s="1"/>
    </row>
    <row r="2552" spans="15:21">
      <c r="O2552" s="1"/>
      <c r="R2552" s="1"/>
      <c r="U2552" s="1"/>
    </row>
    <row r="2553" spans="15:21">
      <c r="O2553" s="1"/>
      <c r="R2553" s="1"/>
      <c r="U2553" s="1"/>
    </row>
    <row r="2554" spans="15:21">
      <c r="O2554" s="1"/>
      <c r="R2554" s="1"/>
      <c r="U2554" s="1"/>
    </row>
    <row r="2555" spans="15:21">
      <c r="O2555" s="1"/>
      <c r="R2555" s="1"/>
      <c r="U2555" s="1"/>
    </row>
    <row r="2556" spans="15:21">
      <c r="O2556" s="1"/>
      <c r="R2556" s="1"/>
      <c r="U2556" s="1"/>
    </row>
    <row r="2557" spans="15:21">
      <c r="O2557" s="1"/>
      <c r="R2557" s="1"/>
      <c r="U2557" s="1"/>
    </row>
    <row r="2558" spans="15:21">
      <c r="O2558" s="1"/>
      <c r="R2558" s="1"/>
      <c r="U2558" s="1"/>
    </row>
    <row r="2559" spans="15:21">
      <c r="O2559" s="1"/>
      <c r="R2559" s="1"/>
      <c r="U2559" s="1"/>
    </row>
    <row r="2560" spans="15:21">
      <c r="O2560" s="1"/>
      <c r="R2560" s="1"/>
      <c r="U2560" s="1"/>
    </row>
    <row r="2561" spans="15:21">
      <c r="O2561" s="1"/>
      <c r="R2561" s="1"/>
      <c r="U2561" s="1"/>
    </row>
    <row r="2562" spans="15:21">
      <c r="O2562" s="1"/>
      <c r="R2562" s="1"/>
      <c r="U2562" s="1"/>
    </row>
    <row r="2563" spans="15:21">
      <c r="O2563" s="1"/>
      <c r="R2563" s="1"/>
      <c r="U2563" s="1"/>
    </row>
    <row r="2564" spans="15:21">
      <c r="O2564" s="1"/>
      <c r="R2564" s="1"/>
      <c r="U2564" s="1"/>
    </row>
    <row r="2565" spans="15:21">
      <c r="O2565" s="1"/>
      <c r="R2565" s="1"/>
      <c r="U2565" s="1"/>
    </row>
    <row r="2566" spans="15:21">
      <c r="O2566" s="1"/>
      <c r="R2566" s="1"/>
      <c r="U2566" s="1"/>
    </row>
    <row r="2567" spans="15:21">
      <c r="O2567" s="1"/>
      <c r="R2567" s="1"/>
      <c r="U2567" s="1"/>
    </row>
    <row r="2568" spans="15:21">
      <c r="O2568" s="1"/>
      <c r="R2568" s="1"/>
      <c r="U2568" s="1"/>
    </row>
    <row r="2569" spans="15:21">
      <c r="O2569" s="1"/>
      <c r="R2569" s="1"/>
      <c r="U2569" s="1"/>
    </row>
    <row r="2570" spans="15:21">
      <c r="O2570" s="1"/>
      <c r="R2570" s="1"/>
      <c r="U2570" s="1"/>
    </row>
    <row r="2571" spans="15:21">
      <c r="O2571" s="1"/>
      <c r="R2571" s="1"/>
      <c r="U2571" s="1"/>
    </row>
    <row r="2572" spans="15:21">
      <c r="O2572" s="1"/>
      <c r="R2572" s="1"/>
      <c r="U2572" s="1"/>
    </row>
    <row r="2573" spans="15:21">
      <c r="O2573" s="1"/>
      <c r="R2573" s="1"/>
      <c r="U2573" s="1"/>
    </row>
    <row r="2574" spans="15:21">
      <c r="O2574" s="1"/>
      <c r="R2574" s="1"/>
      <c r="U2574" s="1"/>
    </row>
    <row r="2575" spans="15:21">
      <c r="O2575" s="1"/>
      <c r="R2575" s="1"/>
      <c r="U2575" s="1"/>
    </row>
    <row r="2576" spans="15:21">
      <c r="O2576" s="1"/>
      <c r="R2576" s="1"/>
      <c r="U2576" s="1"/>
    </row>
    <row r="2577" spans="15:21">
      <c r="O2577" s="1"/>
      <c r="R2577" s="1"/>
      <c r="U2577" s="1"/>
    </row>
    <row r="2578" spans="15:21">
      <c r="O2578" s="1"/>
      <c r="R2578" s="1"/>
      <c r="U2578" s="1"/>
    </row>
    <row r="2579" spans="15:21">
      <c r="O2579" s="1"/>
      <c r="R2579" s="1"/>
      <c r="U2579" s="1"/>
    </row>
    <row r="2580" spans="15:21">
      <c r="O2580" s="1"/>
      <c r="R2580" s="1"/>
      <c r="U2580" s="1"/>
    </row>
    <row r="2581" spans="15:21">
      <c r="O2581" s="1"/>
      <c r="R2581" s="1"/>
      <c r="U2581" s="1"/>
    </row>
    <row r="2582" spans="15:21">
      <c r="O2582" s="1"/>
      <c r="R2582" s="1"/>
      <c r="U2582" s="1"/>
    </row>
    <row r="2583" spans="15:21">
      <c r="O2583" s="1"/>
      <c r="R2583" s="1"/>
      <c r="U2583" s="1"/>
    </row>
    <row r="2584" spans="15:21">
      <c r="O2584" s="1"/>
      <c r="R2584" s="1"/>
      <c r="U2584" s="1"/>
    </row>
    <row r="2585" spans="15:21">
      <c r="O2585" s="1"/>
      <c r="R2585" s="1"/>
      <c r="U2585" s="1"/>
    </row>
    <row r="2586" spans="15:21">
      <c r="O2586" s="1"/>
      <c r="R2586" s="1"/>
      <c r="U2586" s="1"/>
    </row>
    <row r="2587" spans="15:21">
      <c r="O2587" s="1"/>
      <c r="R2587" s="1"/>
      <c r="U2587" s="1"/>
    </row>
    <row r="2588" spans="15:21">
      <c r="O2588" s="1"/>
      <c r="R2588" s="1"/>
      <c r="U2588" s="1"/>
    </row>
    <row r="2589" spans="15:21">
      <c r="O2589" s="1"/>
      <c r="R2589" s="1"/>
      <c r="U2589" s="1"/>
    </row>
    <row r="2590" spans="15:21">
      <c r="O2590" s="1"/>
      <c r="R2590" s="1"/>
      <c r="U2590" s="1"/>
    </row>
    <row r="2591" spans="15:21">
      <c r="O2591" s="1"/>
      <c r="R2591" s="1"/>
      <c r="U2591" s="1"/>
    </row>
    <row r="2592" spans="15:21">
      <c r="O2592" s="1"/>
      <c r="R2592" s="1"/>
      <c r="U2592" s="1"/>
    </row>
    <row r="2593" spans="15:21">
      <c r="O2593" s="1"/>
      <c r="R2593" s="1"/>
      <c r="U2593" s="1"/>
    </row>
    <row r="2594" spans="15:21">
      <c r="O2594" s="1"/>
      <c r="R2594" s="1"/>
      <c r="U2594" s="1"/>
    </row>
    <row r="2595" spans="15:21">
      <c r="O2595" s="1"/>
      <c r="R2595" s="1"/>
      <c r="U2595" s="1"/>
    </row>
    <row r="2596" spans="15:21">
      <c r="O2596" s="1"/>
      <c r="R2596" s="1"/>
      <c r="U2596" s="1"/>
    </row>
    <row r="2597" spans="15:21">
      <c r="O2597" s="1"/>
      <c r="R2597" s="1"/>
      <c r="U2597" s="1"/>
    </row>
    <row r="2598" spans="15:21">
      <c r="O2598" s="1"/>
      <c r="R2598" s="1"/>
      <c r="U2598" s="1"/>
    </row>
    <row r="2599" spans="15:21">
      <c r="O2599" s="1"/>
      <c r="R2599" s="1"/>
      <c r="U2599" s="1"/>
    </row>
    <row r="2600" spans="15:21">
      <c r="O2600" s="1"/>
      <c r="R2600" s="1"/>
      <c r="U2600" s="1"/>
    </row>
    <row r="2601" spans="15:21">
      <c r="O2601" s="1"/>
      <c r="R2601" s="1"/>
      <c r="U2601" s="1"/>
    </row>
    <row r="2602" spans="15:21">
      <c r="O2602" s="1"/>
      <c r="R2602" s="1"/>
      <c r="U2602" s="1"/>
    </row>
    <row r="2603" spans="15:21">
      <c r="O2603" s="1"/>
      <c r="R2603" s="1"/>
      <c r="U2603" s="1"/>
    </row>
    <row r="2604" spans="15:21">
      <c r="O2604" s="1"/>
      <c r="R2604" s="1"/>
      <c r="U2604" s="1"/>
    </row>
    <row r="2605" spans="15:21">
      <c r="O2605" s="1"/>
      <c r="R2605" s="1"/>
      <c r="U2605" s="1"/>
    </row>
    <row r="2606" spans="15:21">
      <c r="O2606" s="1"/>
      <c r="R2606" s="1"/>
      <c r="U2606" s="1"/>
    </row>
    <row r="2607" spans="15:21">
      <c r="O2607" s="1"/>
      <c r="R2607" s="1"/>
      <c r="U2607" s="1"/>
    </row>
    <row r="2608" spans="15:21">
      <c r="O2608" s="1"/>
      <c r="R2608" s="1"/>
      <c r="U2608" s="1"/>
    </row>
    <row r="2609" spans="15:21">
      <c r="O2609" s="1"/>
      <c r="R2609" s="1"/>
      <c r="U2609" s="1"/>
    </row>
    <row r="2610" spans="15:21">
      <c r="O2610" s="1"/>
      <c r="R2610" s="1"/>
      <c r="U2610" s="1"/>
    </row>
    <row r="2611" spans="15:21">
      <c r="O2611" s="1"/>
      <c r="R2611" s="1"/>
      <c r="U2611" s="1"/>
    </row>
    <row r="2612" spans="15:21">
      <c r="O2612" s="1"/>
      <c r="R2612" s="1"/>
      <c r="U2612" s="1"/>
    </row>
    <row r="2613" spans="15:21">
      <c r="O2613" s="1"/>
      <c r="R2613" s="1"/>
      <c r="U2613" s="1"/>
    </row>
    <row r="2614" spans="15:21">
      <c r="O2614" s="1"/>
      <c r="R2614" s="1"/>
      <c r="U2614" s="1"/>
    </row>
    <row r="2615" spans="15:21">
      <c r="O2615" s="1"/>
      <c r="R2615" s="1"/>
      <c r="U2615" s="1"/>
    </row>
    <row r="2616" spans="15:21">
      <c r="O2616" s="1"/>
      <c r="R2616" s="1"/>
      <c r="U2616" s="1"/>
    </row>
    <row r="2617" spans="15:21">
      <c r="O2617" s="1"/>
      <c r="R2617" s="1"/>
      <c r="U2617" s="1"/>
    </row>
    <row r="2618" spans="15:21">
      <c r="O2618" s="1"/>
      <c r="R2618" s="1"/>
      <c r="U2618" s="1"/>
    </row>
    <row r="2619" spans="15:21">
      <c r="O2619" s="1"/>
      <c r="R2619" s="1"/>
      <c r="U2619" s="1"/>
    </row>
    <row r="2620" spans="15:21">
      <c r="O2620" s="1"/>
      <c r="R2620" s="1"/>
      <c r="U2620" s="1"/>
    </row>
    <row r="2621" spans="15:21">
      <c r="O2621" s="1"/>
      <c r="R2621" s="1"/>
      <c r="U2621" s="1"/>
    </row>
    <row r="2622" spans="15:21">
      <c r="O2622" s="1"/>
      <c r="R2622" s="1"/>
      <c r="U2622" s="1"/>
    </row>
    <row r="2623" spans="15:21">
      <c r="O2623" s="1"/>
      <c r="R2623" s="1"/>
      <c r="U2623" s="1"/>
    </row>
    <row r="2624" spans="15:21">
      <c r="O2624" s="1"/>
      <c r="R2624" s="1"/>
      <c r="U2624" s="1"/>
    </row>
    <row r="2625" spans="15:21">
      <c r="O2625" s="1"/>
      <c r="R2625" s="1"/>
      <c r="U2625" s="1"/>
    </row>
    <row r="2626" spans="15:21">
      <c r="O2626" s="1"/>
      <c r="R2626" s="1"/>
      <c r="U2626" s="1"/>
    </row>
    <row r="2627" spans="15:21">
      <c r="O2627" s="1"/>
      <c r="R2627" s="1"/>
      <c r="U2627" s="1"/>
    </row>
    <row r="2628" spans="15:21">
      <c r="O2628" s="1"/>
      <c r="R2628" s="1"/>
      <c r="U2628" s="1"/>
    </row>
    <row r="2629" spans="15:21">
      <c r="O2629" s="1"/>
      <c r="R2629" s="1"/>
      <c r="U2629" s="1"/>
    </row>
    <row r="2630" spans="15:21">
      <c r="O2630" s="1"/>
      <c r="R2630" s="1"/>
      <c r="U2630" s="1"/>
    </row>
    <row r="2631" spans="15:21">
      <c r="O2631" s="1"/>
      <c r="R2631" s="1"/>
      <c r="U2631" s="1"/>
    </row>
    <row r="2632" spans="15:21">
      <c r="O2632" s="1"/>
      <c r="R2632" s="1"/>
      <c r="U2632" s="1"/>
    </row>
    <row r="2633" spans="15:21">
      <c r="O2633" s="1"/>
      <c r="R2633" s="1"/>
      <c r="U2633" s="1"/>
    </row>
    <row r="2634" spans="15:21">
      <c r="O2634" s="1"/>
      <c r="R2634" s="1"/>
      <c r="U2634" s="1"/>
    </row>
    <row r="2635" spans="15:21">
      <c r="O2635" s="1"/>
      <c r="R2635" s="1"/>
      <c r="U2635" s="1"/>
    </row>
    <row r="2636" spans="15:21">
      <c r="O2636" s="1"/>
      <c r="R2636" s="1"/>
      <c r="U2636" s="1"/>
    </row>
    <row r="2637" spans="15:21">
      <c r="O2637" s="1"/>
      <c r="R2637" s="1"/>
      <c r="U2637" s="1"/>
    </row>
    <row r="2638" spans="15:21">
      <c r="O2638" s="1"/>
      <c r="R2638" s="1"/>
      <c r="U2638" s="1"/>
    </row>
    <row r="2639" spans="15:21">
      <c r="O2639" s="1"/>
      <c r="R2639" s="1"/>
      <c r="U2639" s="1"/>
    </row>
    <row r="2640" spans="15:21">
      <c r="O2640" s="1"/>
      <c r="R2640" s="1"/>
      <c r="U2640" s="1"/>
    </row>
    <row r="2641" spans="15:21">
      <c r="O2641" s="1"/>
      <c r="R2641" s="1"/>
      <c r="U2641" s="1"/>
    </row>
    <row r="2642" spans="15:21">
      <c r="O2642" s="1"/>
      <c r="R2642" s="1"/>
      <c r="U2642" s="1"/>
    </row>
    <row r="2643" spans="15:21">
      <c r="O2643" s="1"/>
      <c r="R2643" s="1"/>
      <c r="U2643" s="1"/>
    </row>
    <row r="2644" spans="15:21">
      <c r="O2644" s="1"/>
      <c r="R2644" s="1"/>
      <c r="U2644" s="1"/>
    </row>
    <row r="2645" spans="15:21">
      <c r="O2645" s="1"/>
      <c r="R2645" s="1"/>
      <c r="U2645" s="1"/>
    </row>
    <row r="2646" spans="15:21">
      <c r="O2646" s="1"/>
      <c r="R2646" s="1"/>
      <c r="U2646" s="1"/>
    </row>
    <row r="2647" spans="15:21">
      <c r="O2647" s="1"/>
      <c r="R2647" s="1"/>
      <c r="U2647" s="1"/>
    </row>
    <row r="2648" spans="15:21">
      <c r="O2648" s="1"/>
      <c r="R2648" s="1"/>
      <c r="U2648" s="1"/>
    </row>
    <row r="2649" spans="15:21">
      <c r="O2649" s="1"/>
      <c r="R2649" s="1"/>
      <c r="U2649" s="1"/>
    </row>
    <row r="2650" spans="15:21">
      <c r="O2650" s="1"/>
      <c r="R2650" s="1"/>
      <c r="U2650" s="1"/>
    </row>
    <row r="2651" spans="15:21">
      <c r="O2651" s="1"/>
      <c r="R2651" s="1"/>
      <c r="U2651" s="1"/>
    </row>
    <row r="2652" spans="15:21">
      <c r="O2652" s="1"/>
      <c r="R2652" s="1"/>
      <c r="U2652" s="1"/>
    </row>
    <row r="2653" spans="15:21">
      <c r="O2653" s="1"/>
      <c r="R2653" s="1"/>
      <c r="U2653" s="1"/>
    </row>
    <row r="2654" spans="15:21">
      <c r="O2654" s="1"/>
      <c r="R2654" s="1"/>
      <c r="U2654" s="1"/>
    </row>
    <row r="2655" spans="15:21">
      <c r="O2655" s="1"/>
      <c r="R2655" s="1"/>
      <c r="U2655" s="1"/>
    </row>
    <row r="2656" spans="15:21">
      <c r="O2656" s="1"/>
      <c r="R2656" s="1"/>
      <c r="U2656" s="1"/>
    </row>
    <row r="2657" spans="15:21">
      <c r="O2657" s="1"/>
      <c r="R2657" s="1"/>
      <c r="U2657" s="1"/>
    </row>
    <row r="2658" spans="15:21">
      <c r="O2658" s="1"/>
      <c r="R2658" s="1"/>
      <c r="U2658" s="1"/>
    </row>
    <row r="2659" spans="15:21">
      <c r="O2659" s="1"/>
      <c r="R2659" s="1"/>
      <c r="U2659" s="1"/>
    </row>
    <row r="2660" spans="15:21">
      <c r="O2660" s="1"/>
      <c r="R2660" s="1"/>
      <c r="U2660" s="1"/>
    </row>
    <row r="2661" spans="15:21">
      <c r="O2661" s="1"/>
      <c r="R2661" s="1"/>
      <c r="U2661" s="1"/>
    </row>
    <row r="2662" spans="15:21">
      <c r="O2662" s="1"/>
      <c r="R2662" s="1"/>
      <c r="U2662" s="1"/>
    </row>
    <row r="2663" spans="15:21">
      <c r="O2663" s="1"/>
      <c r="R2663" s="1"/>
      <c r="U2663" s="1"/>
    </row>
    <row r="2664" spans="15:21">
      <c r="O2664" s="1"/>
      <c r="R2664" s="1"/>
      <c r="U2664" s="1"/>
    </row>
    <row r="2665" spans="15:21">
      <c r="O2665" s="1"/>
      <c r="R2665" s="1"/>
      <c r="U2665" s="1"/>
    </row>
    <row r="2666" spans="15:21">
      <c r="O2666" s="1"/>
      <c r="R2666" s="1"/>
      <c r="U2666" s="1"/>
    </row>
    <row r="2667" spans="15:21">
      <c r="O2667" s="1"/>
      <c r="R2667" s="1"/>
      <c r="U2667" s="1"/>
    </row>
    <row r="2668" spans="15:21">
      <c r="O2668" s="1"/>
      <c r="R2668" s="1"/>
      <c r="U2668" s="1"/>
    </row>
    <row r="2669" spans="15:21">
      <c r="O2669" s="1"/>
      <c r="R2669" s="1"/>
      <c r="U2669" s="1"/>
    </row>
    <row r="2670" spans="15:21">
      <c r="O2670" s="1"/>
      <c r="R2670" s="1"/>
      <c r="U2670" s="1"/>
    </row>
    <row r="2671" spans="15:21">
      <c r="O2671" s="1"/>
      <c r="R2671" s="1"/>
      <c r="U2671" s="1"/>
    </row>
    <row r="2672" spans="15:21">
      <c r="O2672" s="1"/>
      <c r="R2672" s="1"/>
      <c r="U2672" s="1"/>
    </row>
    <row r="2673" spans="15:21">
      <c r="O2673" s="1"/>
      <c r="R2673" s="1"/>
      <c r="U2673" s="1"/>
    </row>
    <row r="2674" spans="15:21">
      <c r="O2674" s="1"/>
      <c r="R2674" s="1"/>
      <c r="U2674" s="1"/>
    </row>
    <row r="2675" spans="15:21">
      <c r="O2675" s="1"/>
      <c r="R2675" s="1"/>
      <c r="U2675" s="1"/>
    </row>
    <row r="2676" spans="15:21">
      <c r="O2676" s="1"/>
      <c r="R2676" s="1"/>
      <c r="U2676" s="1"/>
    </row>
    <row r="2677" spans="15:21">
      <c r="O2677" s="1"/>
      <c r="R2677" s="1"/>
      <c r="U2677" s="1"/>
    </row>
    <row r="2678" spans="15:21">
      <c r="O2678" s="1"/>
      <c r="R2678" s="1"/>
      <c r="U2678" s="1"/>
    </row>
    <row r="2679" spans="15:21">
      <c r="O2679" s="1"/>
      <c r="R2679" s="1"/>
      <c r="U2679" s="1"/>
    </row>
    <row r="2680" spans="15:21">
      <c r="O2680" s="1"/>
      <c r="R2680" s="1"/>
      <c r="U2680" s="1"/>
    </row>
    <row r="2681" spans="15:21">
      <c r="O2681" s="1"/>
      <c r="R2681" s="1"/>
      <c r="U2681" s="1"/>
    </row>
    <row r="2682" spans="15:21">
      <c r="O2682" s="1"/>
      <c r="R2682" s="1"/>
      <c r="U2682" s="1"/>
    </row>
    <row r="2683" spans="15:21">
      <c r="O2683" s="1"/>
      <c r="R2683" s="1"/>
      <c r="U2683" s="1"/>
    </row>
    <row r="2684" spans="15:21">
      <c r="O2684" s="1"/>
      <c r="R2684" s="1"/>
      <c r="U2684" s="1"/>
    </row>
    <row r="2685" spans="15:21">
      <c r="O2685" s="1"/>
      <c r="R2685" s="1"/>
      <c r="U2685" s="1"/>
    </row>
    <row r="2686" spans="15:21">
      <c r="O2686" s="1"/>
      <c r="R2686" s="1"/>
      <c r="U2686" s="1"/>
    </row>
    <row r="2687" spans="15:21">
      <c r="O2687" s="1"/>
      <c r="R2687" s="1"/>
      <c r="U2687" s="1"/>
    </row>
    <row r="2688" spans="15:21">
      <c r="O2688" s="1"/>
      <c r="R2688" s="1"/>
      <c r="U2688" s="1"/>
    </row>
    <row r="2689" spans="15:21">
      <c r="O2689" s="1"/>
      <c r="R2689" s="1"/>
      <c r="U2689" s="1"/>
    </row>
    <row r="2690" spans="15:21">
      <c r="O2690" s="1"/>
      <c r="R2690" s="1"/>
      <c r="U2690" s="1"/>
    </row>
    <row r="2691" spans="15:21">
      <c r="O2691" s="1"/>
      <c r="R2691" s="1"/>
      <c r="U2691" s="1"/>
    </row>
    <row r="2692" spans="15:21">
      <c r="O2692" s="1"/>
      <c r="R2692" s="1"/>
      <c r="U2692" s="1"/>
    </row>
    <row r="2693" spans="15:21">
      <c r="O2693" s="1"/>
      <c r="R2693" s="1"/>
      <c r="U2693" s="1"/>
    </row>
    <row r="2694" spans="15:21">
      <c r="O2694" s="1"/>
      <c r="R2694" s="1"/>
      <c r="U2694" s="1"/>
    </row>
    <row r="2695" spans="15:21">
      <c r="O2695" s="1"/>
      <c r="R2695" s="1"/>
      <c r="U2695" s="1"/>
    </row>
    <row r="2696" spans="15:21">
      <c r="O2696" s="1"/>
      <c r="R2696" s="1"/>
      <c r="U2696" s="1"/>
    </row>
    <row r="2697" spans="15:21">
      <c r="O2697" s="1"/>
      <c r="R2697" s="1"/>
      <c r="U2697" s="1"/>
    </row>
    <row r="2698" spans="15:21">
      <c r="O2698" s="1"/>
      <c r="R2698" s="1"/>
      <c r="U2698" s="1"/>
    </row>
    <row r="2699" spans="15:21">
      <c r="O2699" s="1"/>
      <c r="R2699" s="1"/>
      <c r="U2699" s="1"/>
    </row>
    <row r="2700" spans="15:21">
      <c r="O2700" s="1"/>
      <c r="R2700" s="1"/>
      <c r="U2700" s="1"/>
    </row>
    <row r="2701" spans="15:21">
      <c r="O2701" s="1"/>
      <c r="R2701" s="1"/>
      <c r="U2701" s="1"/>
    </row>
    <row r="2702" spans="15:21">
      <c r="O2702" s="1"/>
      <c r="R2702" s="1"/>
      <c r="U2702" s="1"/>
    </row>
    <row r="2703" spans="15:21">
      <c r="O2703" s="1"/>
      <c r="R2703" s="1"/>
      <c r="U2703" s="1"/>
    </row>
    <row r="2704" spans="15:21">
      <c r="O2704" s="1"/>
      <c r="R2704" s="1"/>
      <c r="U2704" s="1"/>
    </row>
    <row r="2705" spans="15:21">
      <c r="O2705" s="1"/>
      <c r="R2705" s="1"/>
      <c r="U2705" s="1"/>
    </row>
    <row r="2706" spans="15:21">
      <c r="O2706" s="1"/>
      <c r="R2706" s="1"/>
      <c r="U2706" s="1"/>
    </row>
    <row r="2707" spans="15:21">
      <c r="O2707" s="1"/>
      <c r="R2707" s="1"/>
      <c r="U2707" s="1"/>
    </row>
    <row r="2708" spans="15:21">
      <c r="O2708" s="1"/>
      <c r="R2708" s="1"/>
      <c r="U2708" s="1"/>
    </row>
    <row r="2709" spans="15:21">
      <c r="O2709" s="1"/>
      <c r="R2709" s="1"/>
      <c r="U2709" s="1"/>
    </row>
    <row r="2710" spans="15:21">
      <c r="O2710" s="1"/>
      <c r="R2710" s="1"/>
      <c r="U2710" s="1"/>
    </row>
    <row r="2711" spans="15:21">
      <c r="O2711" s="1"/>
      <c r="R2711" s="1"/>
      <c r="U2711" s="1"/>
    </row>
    <row r="2712" spans="15:21">
      <c r="O2712" s="1"/>
      <c r="R2712" s="1"/>
      <c r="U2712" s="1"/>
    </row>
    <row r="2713" spans="15:21">
      <c r="O2713" s="1"/>
      <c r="R2713" s="1"/>
      <c r="U2713" s="1"/>
    </row>
    <row r="2714" spans="15:21">
      <c r="O2714" s="1"/>
      <c r="R2714" s="1"/>
      <c r="U2714" s="1"/>
    </row>
    <row r="2715" spans="15:21">
      <c r="O2715" s="1"/>
      <c r="R2715" s="1"/>
      <c r="U2715" s="1"/>
    </row>
    <row r="2716" spans="15:21">
      <c r="O2716" s="1"/>
      <c r="R2716" s="1"/>
      <c r="U2716" s="1"/>
    </row>
    <row r="2717" spans="15:21">
      <c r="O2717" s="1"/>
      <c r="R2717" s="1"/>
      <c r="U2717" s="1"/>
    </row>
    <row r="2718" spans="15:21">
      <c r="O2718" s="1"/>
      <c r="R2718" s="1"/>
      <c r="U2718" s="1"/>
    </row>
    <row r="2719" spans="15:21">
      <c r="O2719" s="1"/>
      <c r="R2719" s="1"/>
      <c r="U2719" s="1"/>
    </row>
    <row r="2720" spans="15:21">
      <c r="O2720" s="1"/>
      <c r="R2720" s="1"/>
      <c r="U2720" s="1"/>
    </row>
    <row r="2721" spans="15:21">
      <c r="O2721" s="1"/>
      <c r="R2721" s="1"/>
      <c r="U2721" s="1"/>
    </row>
    <row r="2722" spans="15:21">
      <c r="O2722" s="1"/>
      <c r="R2722" s="1"/>
      <c r="U2722" s="1"/>
    </row>
    <row r="2723" spans="15:21">
      <c r="O2723" s="1"/>
      <c r="R2723" s="1"/>
      <c r="U2723" s="1"/>
    </row>
    <row r="2724" spans="15:21">
      <c r="O2724" s="1"/>
      <c r="R2724" s="1"/>
      <c r="U2724" s="1"/>
    </row>
    <row r="2725" spans="15:21">
      <c r="O2725" s="1"/>
      <c r="R2725" s="1"/>
      <c r="U2725" s="1"/>
    </row>
    <row r="2726" spans="15:21">
      <c r="O2726" s="1"/>
      <c r="R2726" s="1"/>
      <c r="U2726" s="1"/>
    </row>
    <row r="2727" spans="15:21">
      <c r="O2727" s="1"/>
      <c r="R2727" s="1"/>
      <c r="U2727" s="1"/>
    </row>
    <row r="2728" spans="15:21">
      <c r="O2728" s="1"/>
      <c r="R2728" s="1"/>
      <c r="U2728" s="1"/>
    </row>
    <row r="2729" spans="15:21">
      <c r="O2729" s="1"/>
      <c r="R2729" s="1"/>
      <c r="U2729" s="1"/>
    </row>
    <row r="2730" spans="15:21">
      <c r="O2730" s="1"/>
      <c r="R2730" s="1"/>
      <c r="U2730" s="1"/>
    </row>
    <row r="2731" spans="15:21">
      <c r="O2731" s="1"/>
      <c r="R2731" s="1"/>
      <c r="U2731" s="1"/>
    </row>
    <row r="2732" spans="15:21">
      <c r="O2732" s="1"/>
      <c r="R2732" s="1"/>
      <c r="U2732" s="1"/>
    </row>
    <row r="2733" spans="15:21">
      <c r="O2733" s="1"/>
      <c r="R2733" s="1"/>
      <c r="U2733" s="1"/>
    </row>
    <row r="2734" spans="15:21">
      <c r="O2734" s="1"/>
      <c r="R2734" s="1"/>
      <c r="U2734" s="1"/>
    </row>
    <row r="2735" spans="15:21">
      <c r="O2735" s="1"/>
      <c r="R2735" s="1"/>
      <c r="U2735" s="1"/>
    </row>
    <row r="2736" spans="15:21">
      <c r="O2736" s="1"/>
      <c r="R2736" s="1"/>
      <c r="U2736" s="1"/>
    </row>
    <row r="2737" spans="15:21">
      <c r="O2737" s="1"/>
      <c r="R2737" s="1"/>
      <c r="U2737" s="1"/>
    </row>
    <row r="2738" spans="15:21">
      <c r="O2738" s="1"/>
      <c r="R2738" s="1"/>
      <c r="U2738" s="1"/>
    </row>
    <row r="2739" spans="15:21">
      <c r="O2739" s="1"/>
      <c r="R2739" s="1"/>
      <c r="U2739" s="1"/>
    </row>
    <row r="2740" spans="15:21">
      <c r="O2740" s="1"/>
      <c r="R2740" s="1"/>
      <c r="U2740" s="1"/>
    </row>
    <row r="2741" spans="15:21">
      <c r="O2741" s="1"/>
      <c r="R2741" s="1"/>
      <c r="U2741" s="1"/>
    </row>
    <row r="2742" spans="15:21">
      <c r="O2742" s="1"/>
      <c r="R2742" s="1"/>
      <c r="U2742" s="1"/>
    </row>
    <row r="2743" spans="15:21">
      <c r="O2743" s="1"/>
      <c r="R2743" s="1"/>
      <c r="U2743" s="1"/>
    </row>
    <row r="2744" spans="15:21">
      <c r="O2744" s="1"/>
      <c r="R2744" s="1"/>
      <c r="U2744" s="1"/>
    </row>
    <row r="2745" spans="15:21">
      <c r="O2745" s="1"/>
      <c r="R2745" s="1"/>
      <c r="U2745" s="1"/>
    </row>
    <row r="2746" spans="15:21">
      <c r="O2746" s="1"/>
      <c r="R2746" s="1"/>
      <c r="U2746" s="1"/>
    </row>
    <row r="2747" spans="15:21">
      <c r="O2747" s="1"/>
      <c r="R2747" s="1"/>
      <c r="U2747" s="1"/>
    </row>
    <row r="2748" spans="15:21">
      <c r="O2748" s="1"/>
      <c r="R2748" s="1"/>
      <c r="U2748" s="1"/>
    </row>
    <row r="2749" spans="15:21">
      <c r="O2749" s="1"/>
      <c r="R2749" s="1"/>
      <c r="U2749" s="1"/>
    </row>
    <row r="2750" spans="15:21">
      <c r="O2750" s="1"/>
      <c r="R2750" s="1"/>
      <c r="U2750" s="1"/>
    </row>
    <row r="2751" spans="15:21">
      <c r="O2751" s="1"/>
      <c r="R2751" s="1"/>
      <c r="U2751" s="1"/>
    </row>
    <row r="2752" spans="15:21">
      <c r="O2752" s="1"/>
      <c r="R2752" s="1"/>
      <c r="U2752" s="1"/>
    </row>
    <row r="2753" spans="15:21">
      <c r="O2753" s="1"/>
      <c r="R2753" s="1"/>
      <c r="U2753" s="1"/>
    </row>
    <row r="2754" spans="15:21">
      <c r="O2754" s="1"/>
      <c r="R2754" s="1"/>
      <c r="U2754" s="1"/>
    </row>
    <row r="2755" spans="15:21">
      <c r="O2755" s="1"/>
      <c r="R2755" s="1"/>
      <c r="U2755" s="1"/>
    </row>
    <row r="2756" spans="15:21">
      <c r="O2756" s="1"/>
      <c r="R2756" s="1"/>
      <c r="U2756" s="1"/>
    </row>
    <row r="2757" spans="15:21">
      <c r="O2757" s="1"/>
      <c r="R2757" s="1"/>
      <c r="U2757" s="1"/>
    </row>
    <row r="2758" spans="15:21">
      <c r="O2758" s="1"/>
      <c r="R2758" s="1"/>
      <c r="U2758" s="1"/>
    </row>
    <row r="2759" spans="15:21">
      <c r="O2759" s="1"/>
      <c r="R2759" s="1"/>
      <c r="U2759" s="1"/>
    </row>
    <row r="2760" spans="15:21">
      <c r="O2760" s="1"/>
      <c r="R2760" s="1"/>
      <c r="U2760" s="1"/>
    </row>
    <row r="2761" spans="15:21">
      <c r="O2761" s="1"/>
      <c r="R2761" s="1"/>
      <c r="U2761" s="1"/>
    </row>
    <row r="2762" spans="15:21">
      <c r="O2762" s="1"/>
      <c r="R2762" s="1"/>
      <c r="U2762" s="1"/>
    </row>
    <row r="2763" spans="15:21">
      <c r="O2763" s="1"/>
      <c r="R2763" s="1"/>
      <c r="U2763" s="1"/>
    </row>
    <row r="2764" spans="15:21">
      <c r="O2764" s="1"/>
      <c r="R2764" s="1"/>
      <c r="U2764" s="1"/>
    </row>
    <row r="2765" spans="15:21">
      <c r="O2765" s="1"/>
      <c r="R2765" s="1"/>
      <c r="U2765" s="1"/>
    </row>
    <row r="2766" spans="15:21">
      <c r="O2766" s="1"/>
      <c r="R2766" s="1"/>
      <c r="U2766" s="1"/>
    </row>
    <row r="2767" spans="15:21">
      <c r="O2767" s="1"/>
      <c r="R2767" s="1"/>
      <c r="U2767" s="1"/>
    </row>
    <row r="2768" spans="15:21">
      <c r="O2768" s="1"/>
      <c r="R2768" s="1"/>
      <c r="U2768" s="1"/>
    </row>
    <row r="2769" spans="15:21">
      <c r="O2769" s="1"/>
      <c r="R2769" s="1"/>
      <c r="U2769" s="1"/>
    </row>
    <row r="2770" spans="15:21">
      <c r="O2770" s="1"/>
      <c r="R2770" s="1"/>
      <c r="U2770" s="1"/>
    </row>
    <row r="2771" spans="15:21">
      <c r="O2771" s="1"/>
      <c r="R2771" s="1"/>
      <c r="U2771" s="1"/>
    </row>
    <row r="2772" spans="15:21">
      <c r="O2772" s="1"/>
      <c r="R2772" s="1"/>
      <c r="U2772" s="1"/>
    </row>
    <row r="2773" spans="15:21">
      <c r="O2773" s="1"/>
      <c r="R2773" s="1"/>
      <c r="U2773" s="1"/>
    </row>
    <row r="2774" spans="15:21">
      <c r="O2774" s="1"/>
      <c r="R2774" s="1"/>
      <c r="U2774" s="1"/>
    </row>
    <row r="2775" spans="15:21">
      <c r="O2775" s="1"/>
      <c r="R2775" s="1"/>
      <c r="U2775" s="1"/>
    </row>
    <row r="2776" spans="15:21">
      <c r="O2776" s="1"/>
      <c r="R2776" s="1"/>
      <c r="U2776" s="1"/>
    </row>
    <row r="2777" spans="15:21">
      <c r="O2777" s="1"/>
      <c r="R2777" s="1"/>
      <c r="U2777" s="1"/>
    </row>
    <row r="2778" spans="15:21">
      <c r="O2778" s="1"/>
      <c r="R2778" s="1"/>
      <c r="U2778" s="1"/>
    </row>
    <row r="2779" spans="15:21">
      <c r="O2779" s="1"/>
      <c r="R2779" s="1"/>
      <c r="U2779" s="1"/>
    </row>
    <row r="2780" spans="15:21">
      <c r="O2780" s="1"/>
      <c r="R2780" s="1"/>
      <c r="U2780" s="1"/>
    </row>
    <row r="2781" spans="15:21">
      <c r="O2781" s="1"/>
      <c r="R2781" s="1"/>
      <c r="U2781" s="1"/>
    </row>
    <row r="2782" spans="15:21">
      <c r="O2782" s="1"/>
      <c r="R2782" s="1"/>
      <c r="U2782" s="1"/>
    </row>
    <row r="2783" spans="15:21">
      <c r="O2783" s="1"/>
      <c r="R2783" s="1"/>
      <c r="U2783" s="1"/>
    </row>
    <row r="2784" spans="15:21">
      <c r="O2784" s="1"/>
      <c r="R2784" s="1"/>
      <c r="U2784" s="1"/>
    </row>
    <row r="2785" spans="15:21">
      <c r="O2785" s="1"/>
      <c r="R2785" s="1"/>
      <c r="U2785" s="1"/>
    </row>
    <row r="2786" spans="15:21">
      <c r="O2786" s="1"/>
      <c r="R2786" s="1"/>
      <c r="U2786" s="1"/>
    </row>
    <row r="2787" spans="15:21">
      <c r="O2787" s="1"/>
      <c r="R2787" s="1"/>
      <c r="U2787" s="1"/>
    </row>
    <row r="2788" spans="15:21">
      <c r="O2788" s="1"/>
      <c r="R2788" s="1"/>
      <c r="U2788" s="1"/>
    </row>
    <row r="2789" spans="15:21">
      <c r="O2789" s="1"/>
      <c r="R2789" s="1"/>
      <c r="U2789" s="1"/>
    </row>
    <row r="2790" spans="15:21">
      <c r="O2790" s="1"/>
      <c r="R2790" s="1"/>
      <c r="U2790" s="1"/>
    </row>
    <row r="2791" spans="15:21">
      <c r="O2791" s="1"/>
      <c r="R2791" s="1"/>
      <c r="U2791" s="1"/>
    </row>
    <row r="2792" spans="15:21">
      <c r="O2792" s="1"/>
      <c r="R2792" s="1"/>
      <c r="U2792" s="1"/>
    </row>
    <row r="2793" spans="15:21">
      <c r="O2793" s="1"/>
      <c r="R2793" s="1"/>
      <c r="U2793" s="1"/>
    </row>
    <row r="2794" spans="15:21">
      <c r="O2794" s="1"/>
      <c r="R2794" s="1"/>
      <c r="U2794" s="1"/>
    </row>
    <row r="2795" spans="15:21">
      <c r="O2795" s="1"/>
      <c r="R2795" s="1"/>
      <c r="U2795" s="1"/>
    </row>
    <row r="2796" spans="15:21">
      <c r="O2796" s="1"/>
      <c r="R2796" s="1"/>
      <c r="U2796" s="1"/>
    </row>
    <row r="2797" spans="15:21">
      <c r="O2797" s="1"/>
      <c r="R2797" s="1"/>
      <c r="U2797" s="1"/>
    </row>
    <row r="2798" spans="15:21">
      <c r="O2798" s="1"/>
      <c r="R2798" s="1"/>
      <c r="U2798" s="1"/>
    </row>
    <row r="2799" spans="15:21">
      <c r="O2799" s="1"/>
      <c r="R2799" s="1"/>
      <c r="U2799" s="1"/>
    </row>
    <row r="2800" spans="15:21">
      <c r="O2800" s="1"/>
      <c r="R2800" s="1"/>
      <c r="U2800" s="1"/>
    </row>
    <row r="2801" spans="15:21">
      <c r="O2801" s="1"/>
      <c r="R2801" s="1"/>
      <c r="U2801" s="1"/>
    </row>
    <row r="2802" spans="15:21">
      <c r="O2802" s="1"/>
      <c r="R2802" s="1"/>
      <c r="U2802" s="1"/>
    </row>
    <row r="2803" spans="15:21">
      <c r="O2803" s="1"/>
      <c r="R2803" s="1"/>
      <c r="U2803" s="1"/>
    </row>
    <row r="2804" spans="15:21">
      <c r="O2804" s="1"/>
      <c r="R2804" s="1"/>
      <c r="U2804" s="1"/>
    </row>
    <row r="2805" spans="15:21">
      <c r="O2805" s="1"/>
      <c r="R2805" s="1"/>
      <c r="U2805" s="1"/>
    </row>
    <row r="2806" spans="15:21">
      <c r="O2806" s="1"/>
      <c r="R2806" s="1"/>
      <c r="U2806" s="1"/>
    </row>
    <row r="2807" spans="15:21">
      <c r="O2807" s="1"/>
      <c r="R2807" s="1"/>
      <c r="U2807" s="1"/>
    </row>
    <row r="2808" spans="15:21">
      <c r="O2808" s="1"/>
      <c r="R2808" s="1"/>
      <c r="U2808" s="1"/>
    </row>
    <row r="2809" spans="15:21">
      <c r="O2809" s="1"/>
      <c r="R2809" s="1"/>
      <c r="U2809" s="1"/>
    </row>
    <row r="2810" spans="15:21">
      <c r="O2810" s="1"/>
      <c r="R2810" s="1"/>
      <c r="U2810" s="1"/>
    </row>
    <row r="2811" spans="15:21">
      <c r="O2811" s="1"/>
      <c r="R2811" s="1"/>
      <c r="U2811" s="1"/>
    </row>
    <row r="2812" spans="15:21">
      <c r="O2812" s="1"/>
      <c r="R2812" s="1"/>
      <c r="U2812" s="1"/>
    </row>
    <row r="2813" spans="15:21">
      <c r="O2813" s="1"/>
      <c r="R2813" s="1"/>
      <c r="U2813" s="1"/>
    </row>
    <row r="2814" spans="15:21">
      <c r="O2814" s="1"/>
      <c r="R2814" s="1"/>
      <c r="U2814" s="1"/>
    </row>
    <row r="2815" spans="15:21">
      <c r="O2815" s="1"/>
      <c r="R2815" s="1"/>
      <c r="U2815" s="1"/>
    </row>
    <row r="2816" spans="15:21">
      <c r="O2816" s="1"/>
      <c r="R2816" s="1"/>
      <c r="U2816" s="1"/>
    </row>
    <row r="2817" spans="15:21">
      <c r="O2817" s="1"/>
      <c r="R2817" s="1"/>
      <c r="U2817" s="1"/>
    </row>
    <row r="2818" spans="15:21">
      <c r="O2818" s="1"/>
      <c r="R2818" s="1"/>
      <c r="U2818" s="1"/>
    </row>
    <row r="2819" spans="15:21">
      <c r="O2819" s="1"/>
      <c r="R2819" s="1"/>
      <c r="U2819" s="1"/>
    </row>
    <row r="2820" spans="15:21">
      <c r="O2820" s="1"/>
      <c r="R2820" s="1"/>
      <c r="U2820" s="1"/>
    </row>
    <row r="2821" spans="15:21">
      <c r="O2821" s="1"/>
      <c r="R2821" s="1"/>
      <c r="U2821" s="1"/>
    </row>
    <row r="2822" spans="15:21">
      <c r="O2822" s="1"/>
      <c r="R2822" s="1"/>
      <c r="U2822" s="1"/>
    </row>
    <row r="2823" spans="15:21">
      <c r="O2823" s="1"/>
      <c r="R2823" s="1"/>
      <c r="U2823" s="1"/>
    </row>
    <row r="2824" spans="15:21">
      <c r="O2824" s="1"/>
      <c r="R2824" s="1"/>
      <c r="U2824" s="1"/>
    </row>
    <row r="2825" spans="15:21">
      <c r="O2825" s="1"/>
      <c r="R2825" s="1"/>
      <c r="U2825" s="1"/>
    </row>
    <row r="2826" spans="15:21">
      <c r="O2826" s="1"/>
      <c r="R2826" s="1"/>
      <c r="U2826" s="1"/>
    </row>
    <row r="2827" spans="15:21">
      <c r="O2827" s="1"/>
      <c r="R2827" s="1"/>
      <c r="U2827" s="1"/>
    </row>
    <row r="2828" spans="15:21">
      <c r="O2828" s="1"/>
      <c r="R2828" s="1"/>
      <c r="U2828" s="1"/>
    </row>
    <row r="2829" spans="15:21">
      <c r="O2829" s="1"/>
      <c r="R2829" s="1"/>
      <c r="U2829" s="1"/>
    </row>
    <row r="2830" spans="15:21">
      <c r="O2830" s="1"/>
      <c r="R2830" s="1"/>
      <c r="U2830" s="1"/>
    </row>
    <row r="2831" spans="15:21">
      <c r="O2831" s="1"/>
      <c r="R2831" s="1"/>
      <c r="U2831" s="1"/>
    </row>
    <row r="2832" spans="15:21">
      <c r="O2832" s="1"/>
      <c r="R2832" s="1"/>
      <c r="U2832" s="1"/>
    </row>
    <row r="2833" spans="15:21">
      <c r="O2833" s="1"/>
      <c r="R2833" s="1"/>
      <c r="U2833" s="1"/>
    </row>
    <row r="2834" spans="15:21">
      <c r="O2834" s="1"/>
      <c r="R2834" s="1"/>
      <c r="U2834" s="1"/>
    </row>
    <row r="2835" spans="15:21">
      <c r="O2835" s="1"/>
      <c r="R2835" s="1"/>
      <c r="U2835" s="1"/>
    </row>
    <row r="2836" spans="15:21">
      <c r="O2836" s="1"/>
      <c r="R2836" s="1"/>
      <c r="U2836" s="1"/>
    </row>
    <row r="2837" spans="15:21">
      <c r="O2837" s="1"/>
      <c r="R2837" s="1"/>
      <c r="U2837" s="1"/>
    </row>
    <row r="2838" spans="15:21">
      <c r="O2838" s="1"/>
      <c r="R2838" s="1"/>
      <c r="U2838" s="1"/>
    </row>
    <row r="2839" spans="15:21">
      <c r="O2839" s="1"/>
      <c r="R2839" s="1"/>
      <c r="U2839" s="1"/>
    </row>
    <row r="2840" spans="15:21">
      <c r="O2840" s="1"/>
      <c r="R2840" s="1"/>
      <c r="U2840" s="1"/>
    </row>
    <row r="2841" spans="15:21">
      <c r="O2841" s="1"/>
      <c r="R2841" s="1"/>
      <c r="U2841" s="1"/>
    </row>
    <row r="2842" spans="15:21">
      <c r="O2842" s="1"/>
      <c r="R2842" s="1"/>
      <c r="U2842" s="1"/>
    </row>
    <row r="2843" spans="15:21">
      <c r="O2843" s="1"/>
      <c r="R2843" s="1"/>
      <c r="U2843" s="1"/>
    </row>
    <row r="2844" spans="15:21">
      <c r="O2844" s="1"/>
      <c r="R2844" s="1"/>
      <c r="U2844" s="1"/>
    </row>
    <row r="2845" spans="15:21">
      <c r="O2845" s="1"/>
      <c r="R2845" s="1"/>
      <c r="U2845" s="1"/>
    </row>
    <row r="2846" spans="15:21">
      <c r="O2846" s="1"/>
      <c r="R2846" s="1"/>
      <c r="U2846" s="1"/>
    </row>
    <row r="2847" spans="15:21">
      <c r="O2847" s="1"/>
      <c r="R2847" s="1"/>
      <c r="U2847" s="1"/>
    </row>
    <row r="2848" spans="15:21">
      <c r="O2848" s="1"/>
      <c r="R2848" s="1"/>
      <c r="U2848" s="1"/>
    </row>
    <row r="2849" spans="15:21">
      <c r="O2849" s="1"/>
      <c r="R2849" s="1"/>
      <c r="U2849" s="1"/>
    </row>
    <row r="2850" spans="15:21">
      <c r="O2850" s="1"/>
      <c r="R2850" s="1"/>
      <c r="U2850" s="1"/>
    </row>
    <row r="2851" spans="15:21">
      <c r="O2851" s="1"/>
      <c r="R2851" s="1"/>
      <c r="U2851" s="1"/>
    </row>
    <row r="2852" spans="15:21">
      <c r="O2852" s="1"/>
      <c r="R2852" s="1"/>
      <c r="U2852" s="1"/>
    </row>
    <row r="2853" spans="15:21">
      <c r="O2853" s="1"/>
      <c r="R2853" s="1"/>
      <c r="U2853" s="1"/>
    </row>
    <row r="2854" spans="15:21">
      <c r="O2854" s="1"/>
      <c r="R2854" s="1"/>
      <c r="U2854" s="1"/>
    </row>
    <row r="2855" spans="15:21">
      <c r="O2855" s="1"/>
      <c r="R2855" s="1"/>
      <c r="U2855" s="1"/>
    </row>
    <row r="2856" spans="15:21">
      <c r="O2856" s="1"/>
      <c r="R2856" s="1"/>
      <c r="U2856" s="1"/>
    </row>
    <row r="2857" spans="15:21">
      <c r="O2857" s="1"/>
      <c r="R2857" s="1"/>
      <c r="U2857" s="1"/>
    </row>
    <row r="2858" spans="15:21">
      <c r="O2858" s="1"/>
      <c r="R2858" s="1"/>
      <c r="U2858" s="1"/>
    </row>
    <row r="2859" spans="15:21">
      <c r="O2859" s="1"/>
      <c r="R2859" s="1"/>
      <c r="U2859" s="1"/>
    </row>
    <row r="2860" spans="15:21">
      <c r="O2860" s="1"/>
      <c r="R2860" s="1"/>
      <c r="U2860" s="1"/>
    </row>
    <row r="2861" spans="15:21">
      <c r="O2861" s="1"/>
      <c r="R2861" s="1"/>
      <c r="U2861" s="1"/>
    </row>
    <row r="2862" spans="15:21">
      <c r="O2862" s="1"/>
      <c r="R2862" s="1"/>
      <c r="U2862" s="1"/>
    </row>
    <row r="2863" spans="15:21">
      <c r="O2863" s="1"/>
      <c r="R2863" s="1"/>
      <c r="U2863" s="1"/>
    </row>
    <row r="2864" spans="15:21">
      <c r="O2864" s="1"/>
      <c r="R2864" s="1"/>
      <c r="U2864" s="1"/>
    </row>
    <row r="2865" spans="15:21">
      <c r="O2865" s="1"/>
      <c r="R2865" s="1"/>
      <c r="U2865" s="1"/>
    </row>
    <row r="2866" spans="15:21">
      <c r="O2866" s="1"/>
      <c r="R2866" s="1"/>
      <c r="U2866" s="1"/>
    </row>
    <row r="2867" spans="15:21">
      <c r="O2867" s="1"/>
      <c r="R2867" s="1"/>
      <c r="U2867" s="1"/>
    </row>
    <row r="2868" spans="15:21">
      <c r="O2868" s="1"/>
      <c r="R2868" s="1"/>
      <c r="U2868" s="1"/>
    </row>
    <row r="2869" spans="15:21">
      <c r="O2869" s="1"/>
      <c r="R2869" s="1"/>
      <c r="U2869" s="1"/>
    </row>
    <row r="2870" spans="15:21">
      <c r="O2870" s="1"/>
      <c r="R2870" s="1"/>
      <c r="U2870" s="1"/>
    </row>
    <row r="2871" spans="15:21">
      <c r="O2871" s="1"/>
      <c r="R2871" s="1"/>
      <c r="U2871" s="1"/>
    </row>
    <row r="2872" spans="15:21">
      <c r="O2872" s="1"/>
      <c r="R2872" s="1"/>
      <c r="U2872" s="1"/>
    </row>
    <row r="2873" spans="15:21">
      <c r="O2873" s="1"/>
      <c r="R2873" s="1"/>
      <c r="U2873" s="1"/>
    </row>
    <row r="2874" spans="15:21">
      <c r="O2874" s="1"/>
      <c r="R2874" s="1"/>
      <c r="U2874" s="1"/>
    </row>
    <row r="2875" spans="15:21">
      <c r="O2875" s="1"/>
      <c r="R2875" s="1"/>
      <c r="U2875" s="1"/>
    </row>
    <row r="2876" spans="15:21">
      <c r="O2876" s="1"/>
      <c r="R2876" s="1"/>
      <c r="U2876" s="1"/>
    </row>
    <row r="2877" spans="15:21">
      <c r="O2877" s="1"/>
      <c r="R2877" s="1"/>
      <c r="U2877" s="1"/>
    </row>
    <row r="2878" spans="15:21">
      <c r="O2878" s="1"/>
      <c r="R2878" s="1"/>
      <c r="U2878" s="1"/>
    </row>
    <row r="2879" spans="15:21">
      <c r="O2879" s="1"/>
      <c r="R2879" s="1"/>
      <c r="U2879" s="1"/>
    </row>
    <row r="2880" spans="15:21">
      <c r="O2880" s="1"/>
      <c r="R2880" s="1"/>
      <c r="U2880" s="1"/>
    </row>
    <row r="2881" spans="15:21">
      <c r="O2881" s="1"/>
      <c r="R2881" s="1"/>
      <c r="U2881" s="1"/>
    </row>
    <row r="2882" spans="15:21">
      <c r="O2882" s="1"/>
      <c r="R2882" s="1"/>
      <c r="U2882" s="1"/>
    </row>
    <row r="2883" spans="15:21">
      <c r="O2883" s="1"/>
      <c r="R2883" s="1"/>
      <c r="U2883" s="1"/>
    </row>
    <row r="2884" spans="15:21">
      <c r="O2884" s="1"/>
      <c r="R2884" s="1"/>
      <c r="U2884" s="1"/>
    </row>
    <row r="2885" spans="15:21">
      <c r="O2885" s="1"/>
      <c r="R2885" s="1"/>
      <c r="U2885" s="1"/>
    </row>
    <row r="2886" spans="15:21">
      <c r="O2886" s="1"/>
      <c r="R2886" s="1"/>
      <c r="U2886" s="1"/>
    </row>
    <row r="2887" spans="15:21">
      <c r="O2887" s="1"/>
      <c r="R2887" s="1"/>
      <c r="U2887" s="1"/>
    </row>
    <row r="2888" spans="15:21">
      <c r="O2888" s="1"/>
      <c r="R2888" s="1"/>
      <c r="U2888" s="1"/>
    </row>
    <row r="2889" spans="15:21">
      <c r="O2889" s="1"/>
      <c r="R2889" s="1"/>
      <c r="U2889" s="1"/>
    </row>
    <row r="2890" spans="15:21">
      <c r="O2890" s="1"/>
      <c r="R2890" s="1"/>
      <c r="U2890" s="1"/>
    </row>
    <row r="2891" spans="15:21">
      <c r="O2891" s="1"/>
      <c r="R2891" s="1"/>
      <c r="U2891" s="1"/>
    </row>
    <row r="2892" spans="15:21">
      <c r="O2892" s="1"/>
      <c r="R2892" s="1"/>
      <c r="U2892" s="1"/>
    </row>
    <row r="2893" spans="15:21">
      <c r="O2893" s="1"/>
      <c r="R2893" s="1"/>
      <c r="U2893" s="1"/>
    </row>
    <row r="2894" spans="15:21">
      <c r="O2894" s="1"/>
      <c r="R2894" s="1"/>
      <c r="U2894" s="1"/>
    </row>
    <row r="2895" spans="15:21">
      <c r="O2895" s="1"/>
      <c r="R2895" s="1"/>
      <c r="U2895" s="1"/>
    </row>
    <row r="2896" spans="15:21">
      <c r="O2896" s="1"/>
      <c r="R2896" s="1"/>
      <c r="U2896" s="1"/>
    </row>
    <row r="2897" spans="15:21">
      <c r="O2897" s="1"/>
      <c r="R2897" s="1"/>
      <c r="U2897" s="1"/>
    </row>
    <row r="2898" spans="15:21">
      <c r="O2898" s="1"/>
      <c r="R2898" s="1"/>
      <c r="U2898" s="1"/>
    </row>
    <row r="2899" spans="15:21">
      <c r="O2899" s="1"/>
      <c r="R2899" s="1"/>
      <c r="U2899" s="1"/>
    </row>
    <row r="2900" spans="15:21">
      <c r="O2900" s="1"/>
      <c r="R2900" s="1"/>
      <c r="U2900" s="1"/>
    </row>
    <row r="2901" spans="15:21">
      <c r="O2901" s="1"/>
      <c r="R2901" s="1"/>
      <c r="U2901" s="1"/>
    </row>
    <row r="2902" spans="15:21">
      <c r="O2902" s="1"/>
      <c r="R2902" s="1"/>
      <c r="U2902" s="1"/>
    </row>
    <row r="2903" spans="15:21">
      <c r="O2903" s="1"/>
      <c r="R2903" s="1"/>
      <c r="U2903" s="1"/>
    </row>
    <row r="2904" spans="15:21">
      <c r="O2904" s="1"/>
      <c r="R2904" s="1"/>
      <c r="U2904" s="1"/>
    </row>
    <row r="2905" spans="15:21">
      <c r="O2905" s="1"/>
      <c r="R2905" s="1"/>
      <c r="U2905" s="1"/>
    </row>
    <row r="2906" spans="15:21">
      <c r="O2906" s="1"/>
      <c r="R2906" s="1"/>
      <c r="U2906" s="1"/>
    </row>
    <row r="2907" spans="15:21">
      <c r="O2907" s="1"/>
      <c r="R2907" s="1"/>
      <c r="U2907" s="1"/>
    </row>
    <row r="2908" spans="15:21">
      <c r="O2908" s="1"/>
      <c r="R2908" s="1"/>
      <c r="U2908" s="1"/>
    </row>
    <row r="2909" spans="15:21">
      <c r="O2909" s="1"/>
      <c r="R2909" s="1"/>
      <c r="U2909" s="1"/>
    </row>
    <row r="2910" spans="15:21">
      <c r="O2910" s="1"/>
      <c r="R2910" s="1"/>
      <c r="U2910" s="1"/>
    </row>
    <row r="2911" spans="15:21">
      <c r="O2911" s="1"/>
      <c r="R2911" s="1"/>
      <c r="U2911" s="1"/>
    </row>
    <row r="2912" spans="15:21">
      <c r="O2912" s="1"/>
      <c r="R2912" s="1"/>
      <c r="U2912" s="1"/>
    </row>
    <row r="2913" spans="15:21">
      <c r="O2913" s="1"/>
      <c r="R2913" s="1"/>
      <c r="U2913" s="1"/>
    </row>
    <row r="2914" spans="15:21">
      <c r="O2914" s="1"/>
      <c r="R2914" s="1"/>
      <c r="U2914" s="1"/>
    </row>
    <row r="2915" spans="15:21">
      <c r="O2915" s="1"/>
      <c r="R2915" s="1"/>
      <c r="U2915" s="1"/>
    </row>
    <row r="2916" spans="15:21">
      <c r="O2916" s="1"/>
      <c r="R2916" s="1"/>
      <c r="U2916" s="1"/>
    </row>
    <row r="2917" spans="15:21">
      <c r="O2917" s="1"/>
      <c r="R2917" s="1"/>
      <c r="U2917" s="1"/>
    </row>
    <row r="2918" spans="15:21">
      <c r="O2918" s="1"/>
      <c r="R2918" s="1"/>
      <c r="U2918" s="1"/>
    </row>
    <row r="2919" spans="15:21">
      <c r="O2919" s="1"/>
      <c r="R2919" s="1"/>
      <c r="U2919" s="1"/>
    </row>
    <row r="2920" spans="15:21">
      <c r="O2920" s="1"/>
      <c r="R2920" s="1"/>
      <c r="U2920" s="1"/>
    </row>
    <row r="2921" spans="15:21">
      <c r="O2921" s="1"/>
      <c r="R2921" s="1"/>
      <c r="U2921" s="1"/>
    </row>
    <row r="2922" spans="15:21">
      <c r="O2922" s="1"/>
      <c r="R2922" s="1"/>
      <c r="U2922" s="1"/>
    </row>
    <row r="2923" spans="15:21">
      <c r="O2923" s="1"/>
      <c r="R2923" s="1"/>
      <c r="U2923" s="1"/>
    </row>
    <row r="2924" spans="15:21">
      <c r="O2924" s="1"/>
      <c r="R2924" s="1"/>
      <c r="U2924" s="1"/>
    </row>
    <row r="2925" spans="15:21">
      <c r="O2925" s="1"/>
      <c r="R2925" s="1"/>
      <c r="U2925" s="1"/>
    </row>
    <row r="2926" spans="15:21">
      <c r="O2926" s="1"/>
      <c r="R2926" s="1"/>
      <c r="U2926" s="1"/>
    </row>
    <row r="2927" spans="15:21">
      <c r="O2927" s="1"/>
      <c r="R2927" s="1"/>
      <c r="U2927" s="1"/>
    </row>
    <row r="2928" spans="15:21">
      <c r="O2928" s="1"/>
      <c r="R2928" s="1"/>
      <c r="U2928" s="1"/>
    </row>
    <row r="2929" spans="15:21">
      <c r="O2929" s="1"/>
      <c r="R2929" s="1"/>
      <c r="U2929" s="1"/>
    </row>
    <row r="2930" spans="15:21">
      <c r="O2930" s="1"/>
      <c r="R2930" s="1"/>
      <c r="U2930" s="1"/>
    </row>
    <row r="2931" spans="15:21">
      <c r="O2931" s="1"/>
      <c r="R2931" s="1"/>
      <c r="U2931" s="1"/>
    </row>
    <row r="2932" spans="15:21">
      <c r="O2932" s="1"/>
      <c r="R2932" s="1"/>
      <c r="U2932" s="1"/>
    </row>
    <row r="2933" spans="15:21">
      <c r="O2933" s="1"/>
      <c r="R2933" s="1"/>
      <c r="U2933" s="1"/>
    </row>
    <row r="2934" spans="15:21">
      <c r="O2934" s="1"/>
      <c r="R2934" s="1"/>
      <c r="U2934" s="1"/>
    </row>
    <row r="2935" spans="15:21">
      <c r="O2935" s="1"/>
      <c r="R2935" s="1"/>
      <c r="U2935" s="1"/>
    </row>
    <row r="2936" spans="15:21">
      <c r="O2936" s="1"/>
      <c r="R2936" s="1"/>
      <c r="U2936" s="1"/>
    </row>
    <row r="2937" spans="15:21">
      <c r="O2937" s="1"/>
      <c r="R2937" s="1"/>
      <c r="U2937" s="1"/>
    </row>
    <row r="2938" spans="15:21">
      <c r="O2938" s="1"/>
      <c r="R2938" s="1"/>
      <c r="U2938" s="1"/>
    </row>
    <row r="2939" spans="15:21">
      <c r="O2939" s="1"/>
      <c r="R2939" s="1"/>
      <c r="U2939" s="1"/>
    </row>
    <row r="2940" spans="15:21">
      <c r="O2940" s="1"/>
      <c r="R2940" s="1"/>
      <c r="U2940" s="1"/>
    </row>
    <row r="2941" spans="15:21">
      <c r="O2941" s="1"/>
      <c r="R2941" s="1"/>
      <c r="U2941" s="1"/>
    </row>
    <row r="2942" spans="15:21">
      <c r="O2942" s="1"/>
      <c r="R2942" s="1"/>
      <c r="U2942" s="1"/>
    </row>
    <row r="2943" spans="15:21">
      <c r="O2943" s="1"/>
      <c r="R2943" s="1"/>
      <c r="U2943" s="1"/>
    </row>
    <row r="2944" spans="15:21">
      <c r="O2944" s="1"/>
      <c r="R2944" s="1"/>
      <c r="U2944" s="1"/>
    </row>
    <row r="2945" spans="15:21">
      <c r="O2945" s="1"/>
      <c r="R2945" s="1"/>
      <c r="U2945" s="1"/>
    </row>
    <row r="2946" spans="15:21">
      <c r="O2946" s="1"/>
      <c r="R2946" s="1"/>
      <c r="U2946" s="1"/>
    </row>
    <row r="2947" spans="15:21">
      <c r="O2947" s="1"/>
      <c r="R2947" s="1"/>
      <c r="U2947" s="1"/>
    </row>
    <row r="2948" spans="15:21">
      <c r="O2948" s="1"/>
      <c r="R2948" s="1"/>
      <c r="U2948" s="1"/>
    </row>
    <row r="2949" spans="15:21">
      <c r="O2949" s="1"/>
      <c r="R2949" s="1"/>
      <c r="U2949" s="1"/>
    </row>
    <row r="2950" spans="15:21">
      <c r="O2950" s="1"/>
      <c r="R2950" s="1"/>
      <c r="U2950" s="1"/>
    </row>
    <row r="2951" spans="15:21">
      <c r="O2951" s="1"/>
      <c r="R2951" s="1"/>
      <c r="U2951" s="1"/>
    </row>
    <row r="2952" spans="15:21">
      <c r="O2952" s="1"/>
      <c r="R2952" s="1"/>
      <c r="U2952" s="1"/>
    </row>
    <row r="2953" spans="15:21">
      <c r="O2953" s="1"/>
      <c r="R2953" s="1"/>
      <c r="U2953" s="1"/>
    </row>
    <row r="2954" spans="15:21">
      <c r="O2954" s="1"/>
      <c r="R2954" s="1"/>
      <c r="U2954" s="1"/>
    </row>
    <row r="2955" spans="15:21">
      <c r="O2955" s="1"/>
      <c r="R2955" s="1"/>
      <c r="U2955" s="1"/>
    </row>
    <row r="2956" spans="15:21">
      <c r="O2956" s="1"/>
      <c r="R2956" s="1"/>
      <c r="U2956" s="1"/>
    </row>
    <row r="2957" spans="15:21">
      <c r="O2957" s="1"/>
      <c r="R2957" s="1"/>
      <c r="U2957" s="1"/>
    </row>
    <row r="2958" spans="15:21">
      <c r="O2958" s="1"/>
      <c r="R2958" s="1"/>
      <c r="U2958" s="1"/>
    </row>
    <row r="2959" spans="15:21">
      <c r="O2959" s="1"/>
      <c r="R2959" s="1"/>
      <c r="U2959" s="1"/>
    </row>
    <row r="2960" spans="15:21">
      <c r="O2960" s="1"/>
      <c r="R2960" s="1"/>
      <c r="U2960" s="1"/>
    </row>
    <row r="2961" spans="15:21">
      <c r="O2961" s="1"/>
      <c r="R2961" s="1"/>
      <c r="U2961" s="1"/>
    </row>
    <row r="2962" spans="15:21">
      <c r="O2962" s="1"/>
      <c r="R2962" s="1"/>
      <c r="U2962" s="1"/>
    </row>
    <row r="2963" spans="15:21">
      <c r="O2963" s="1"/>
      <c r="R2963" s="1"/>
      <c r="U2963" s="1"/>
    </row>
    <row r="2964" spans="15:21">
      <c r="O2964" s="1"/>
      <c r="R2964" s="1"/>
      <c r="U2964" s="1"/>
    </row>
    <row r="2965" spans="15:21">
      <c r="O2965" s="1"/>
      <c r="R2965" s="1"/>
      <c r="U2965" s="1"/>
    </row>
    <row r="2966" spans="15:21">
      <c r="O2966" s="1"/>
      <c r="R2966" s="1"/>
      <c r="U2966" s="1"/>
    </row>
    <row r="2967" spans="15:21">
      <c r="O2967" s="1"/>
      <c r="R2967" s="1"/>
      <c r="U2967" s="1"/>
    </row>
    <row r="2968" spans="15:21">
      <c r="O2968" s="1"/>
      <c r="R2968" s="1"/>
      <c r="U2968" s="1"/>
    </row>
    <row r="2969" spans="15:21">
      <c r="O2969" s="1"/>
      <c r="R2969" s="1"/>
      <c r="U2969" s="1"/>
    </row>
    <row r="2970" spans="15:21">
      <c r="O2970" s="1"/>
      <c r="R2970" s="1"/>
      <c r="U2970" s="1"/>
    </row>
    <row r="2971" spans="15:21">
      <c r="O2971" s="1"/>
      <c r="R2971" s="1"/>
      <c r="U2971" s="1"/>
    </row>
    <row r="2972" spans="15:21">
      <c r="O2972" s="1"/>
      <c r="R2972" s="1"/>
      <c r="U2972" s="1"/>
    </row>
    <row r="2973" spans="15:21">
      <c r="O2973" s="1"/>
      <c r="R2973" s="1"/>
      <c r="U2973" s="1"/>
    </row>
    <row r="2974" spans="15:21">
      <c r="O2974" s="1"/>
      <c r="R2974" s="1"/>
      <c r="U2974" s="1"/>
    </row>
    <row r="2975" spans="15:21">
      <c r="O2975" s="1"/>
      <c r="R2975" s="1"/>
      <c r="U2975" s="1"/>
    </row>
    <row r="2976" spans="15:21">
      <c r="O2976" s="1"/>
      <c r="R2976" s="1"/>
      <c r="U2976" s="1"/>
    </row>
    <row r="2977" spans="15:21">
      <c r="O2977" s="1"/>
      <c r="R2977" s="1"/>
      <c r="U2977" s="1"/>
    </row>
    <row r="2978" spans="15:21">
      <c r="O2978" s="1"/>
      <c r="R2978" s="1"/>
      <c r="U2978" s="1"/>
    </row>
    <row r="2979" spans="15:21">
      <c r="O2979" s="1"/>
      <c r="R2979" s="1"/>
      <c r="U2979" s="1"/>
    </row>
    <row r="2980" spans="15:21">
      <c r="O2980" s="1"/>
      <c r="R2980" s="1"/>
      <c r="U2980" s="1"/>
    </row>
    <row r="2981" spans="15:21">
      <c r="O2981" s="1"/>
      <c r="R2981" s="1"/>
      <c r="U2981" s="1"/>
    </row>
    <row r="2982" spans="15:21">
      <c r="O2982" s="1"/>
      <c r="R2982" s="1"/>
      <c r="U2982" s="1"/>
    </row>
    <row r="2983" spans="15:21">
      <c r="O2983" s="1"/>
      <c r="R2983" s="1"/>
      <c r="U2983" s="1"/>
    </row>
    <row r="2984" spans="15:21">
      <c r="O2984" s="1"/>
      <c r="R2984" s="1"/>
      <c r="U2984" s="1"/>
    </row>
    <row r="2985" spans="15:21">
      <c r="O2985" s="1"/>
      <c r="R2985" s="1"/>
      <c r="U2985" s="1"/>
    </row>
    <row r="2986" spans="15:21">
      <c r="O2986" s="1"/>
      <c r="R2986" s="1"/>
      <c r="U2986" s="1"/>
    </row>
    <row r="2987" spans="15:21">
      <c r="O2987" s="1"/>
      <c r="R2987" s="1"/>
      <c r="U2987" s="1"/>
    </row>
    <row r="2988" spans="15:21">
      <c r="O2988" s="1"/>
      <c r="R2988" s="1"/>
      <c r="U2988" s="1"/>
    </row>
    <row r="2989" spans="15:21">
      <c r="O2989" s="1"/>
      <c r="R2989" s="1"/>
      <c r="U2989" s="1"/>
    </row>
    <row r="2990" spans="15:21">
      <c r="O2990" s="1"/>
      <c r="R2990" s="1"/>
      <c r="U2990" s="1"/>
    </row>
    <row r="2991" spans="15:21">
      <c r="O2991" s="1"/>
      <c r="R2991" s="1"/>
      <c r="U2991" s="1"/>
    </row>
    <row r="2992" spans="15:21">
      <c r="O2992" s="1"/>
      <c r="R2992" s="1"/>
      <c r="U2992" s="1"/>
    </row>
    <row r="2993" spans="15:21">
      <c r="O2993" s="1"/>
      <c r="R2993" s="1"/>
      <c r="U2993" s="1"/>
    </row>
    <row r="2994" spans="15:21">
      <c r="O2994" s="1"/>
      <c r="R2994" s="1"/>
      <c r="U2994" s="1"/>
    </row>
    <row r="2995" spans="15:21">
      <c r="O2995" s="1"/>
      <c r="R2995" s="1"/>
      <c r="U2995" s="1"/>
    </row>
    <row r="2996" spans="15:21">
      <c r="O2996" s="1"/>
      <c r="R2996" s="1"/>
      <c r="U2996" s="1"/>
    </row>
    <row r="2997" spans="15:21">
      <c r="O2997" s="1"/>
      <c r="R2997" s="1"/>
      <c r="U2997" s="1"/>
    </row>
    <row r="2998" spans="15:21">
      <c r="O2998" s="1"/>
      <c r="R2998" s="1"/>
      <c r="U2998" s="1"/>
    </row>
    <row r="2999" spans="15:21">
      <c r="O2999" s="1"/>
      <c r="R2999" s="1"/>
      <c r="U2999" s="1"/>
    </row>
    <row r="3000" spans="15:21">
      <c r="O3000" s="1"/>
      <c r="R3000" s="1"/>
      <c r="U3000" s="1"/>
    </row>
    <row r="3001" spans="15:21">
      <c r="O3001" s="1"/>
      <c r="R3001" s="1"/>
      <c r="U3001" s="1"/>
    </row>
    <row r="3002" spans="15:21">
      <c r="O3002" s="1"/>
      <c r="R3002" s="1"/>
      <c r="U3002" s="1"/>
    </row>
    <row r="3003" spans="15:21">
      <c r="O3003" s="1"/>
      <c r="R3003" s="1"/>
      <c r="U3003" s="1"/>
    </row>
    <row r="3004" spans="15:21">
      <c r="O3004" s="1"/>
      <c r="R3004" s="1"/>
      <c r="U3004" s="1"/>
    </row>
    <row r="3005" spans="15:21">
      <c r="O3005" s="1"/>
      <c r="R3005" s="1"/>
      <c r="U3005" s="1"/>
    </row>
    <row r="3006" spans="15:21">
      <c r="O3006" s="1"/>
      <c r="R3006" s="1"/>
      <c r="U3006" s="1"/>
    </row>
    <row r="3007" spans="15:21">
      <c r="O3007" s="1"/>
      <c r="R3007" s="1"/>
      <c r="U3007" s="1"/>
    </row>
    <row r="3008" spans="15:21">
      <c r="O3008" s="1"/>
      <c r="R3008" s="1"/>
      <c r="U3008" s="1"/>
    </row>
    <row r="3009" spans="15:21">
      <c r="O3009" s="1"/>
      <c r="R3009" s="1"/>
      <c r="U3009" s="1"/>
    </row>
    <row r="3010" spans="15:21">
      <c r="O3010" s="1"/>
      <c r="R3010" s="1"/>
      <c r="U3010" s="1"/>
    </row>
    <row r="3011" spans="15:21">
      <c r="O3011" s="1"/>
      <c r="R3011" s="1"/>
      <c r="U3011" s="1"/>
    </row>
    <row r="3012" spans="15:21">
      <c r="O3012" s="1"/>
      <c r="R3012" s="1"/>
      <c r="U3012" s="1"/>
    </row>
    <row r="3013" spans="15:21">
      <c r="O3013" s="1"/>
      <c r="R3013" s="1"/>
      <c r="U3013" s="1"/>
    </row>
    <row r="3014" spans="15:21">
      <c r="O3014" s="1"/>
      <c r="R3014" s="1"/>
      <c r="U3014" s="1"/>
    </row>
    <row r="3015" spans="15:21">
      <c r="O3015" s="1"/>
      <c r="R3015" s="1"/>
      <c r="U3015" s="1"/>
    </row>
    <row r="3016" spans="15:21">
      <c r="O3016" s="1"/>
      <c r="R3016" s="1"/>
      <c r="U3016" s="1"/>
    </row>
    <row r="3017" spans="15:21">
      <c r="O3017" s="1"/>
      <c r="R3017" s="1"/>
      <c r="U3017" s="1"/>
    </row>
    <row r="3018" spans="15:21">
      <c r="O3018" s="1"/>
      <c r="R3018" s="1"/>
      <c r="U3018" s="1"/>
    </row>
    <row r="3019" spans="15:21">
      <c r="O3019" s="1"/>
      <c r="R3019" s="1"/>
      <c r="U3019" s="1"/>
    </row>
    <row r="3020" spans="15:21">
      <c r="O3020" s="1"/>
      <c r="R3020" s="1"/>
      <c r="U3020" s="1"/>
    </row>
    <row r="3021" spans="15:21">
      <c r="O3021" s="1"/>
      <c r="R3021" s="1"/>
      <c r="U3021" s="1"/>
    </row>
    <row r="3022" spans="15:21">
      <c r="O3022" s="1"/>
      <c r="R3022" s="1"/>
      <c r="U3022" s="1"/>
    </row>
    <row r="3023" spans="15:21">
      <c r="O3023" s="1"/>
      <c r="R3023" s="1"/>
      <c r="U3023" s="1"/>
    </row>
    <row r="3024" spans="15:21">
      <c r="O3024" s="1"/>
      <c r="R3024" s="1"/>
      <c r="U3024" s="1"/>
    </row>
    <row r="3025" spans="15:21">
      <c r="O3025" s="1"/>
      <c r="R3025" s="1"/>
      <c r="U3025" s="1"/>
    </row>
    <row r="3026" spans="15:21">
      <c r="O3026" s="1"/>
      <c r="R3026" s="1"/>
      <c r="U3026" s="1"/>
    </row>
    <row r="3027" spans="15:21">
      <c r="O3027" s="1"/>
      <c r="R3027" s="1"/>
      <c r="U3027" s="1"/>
    </row>
    <row r="3028" spans="15:21">
      <c r="O3028" s="1"/>
      <c r="R3028" s="1"/>
      <c r="U3028" s="1"/>
    </row>
    <row r="3029" spans="15:21">
      <c r="O3029" s="1"/>
      <c r="R3029" s="1"/>
      <c r="U3029" s="1"/>
    </row>
    <row r="3030" spans="15:21">
      <c r="O3030" s="1"/>
      <c r="R3030" s="1"/>
      <c r="U3030" s="1"/>
    </row>
    <row r="3031" spans="15:21">
      <c r="O3031" s="1"/>
      <c r="R3031" s="1"/>
      <c r="U3031" s="1"/>
    </row>
    <row r="3032" spans="15:21">
      <c r="O3032" s="1"/>
      <c r="R3032" s="1"/>
      <c r="U3032" s="1"/>
    </row>
    <row r="3033" spans="15:21">
      <c r="O3033" s="1"/>
      <c r="R3033" s="1"/>
      <c r="U3033" s="1"/>
    </row>
    <row r="3034" spans="15:21">
      <c r="O3034" s="1"/>
      <c r="R3034" s="1"/>
      <c r="U3034" s="1"/>
    </row>
    <row r="3035" spans="15:21">
      <c r="O3035" s="1"/>
      <c r="R3035" s="1"/>
      <c r="U3035" s="1"/>
    </row>
    <row r="3036" spans="15:21">
      <c r="O3036" s="1"/>
      <c r="R3036" s="1"/>
      <c r="U3036" s="1"/>
    </row>
    <row r="3037" spans="15:21">
      <c r="O3037" s="1"/>
      <c r="R3037" s="1"/>
      <c r="U3037" s="1"/>
    </row>
    <row r="3038" spans="15:21">
      <c r="O3038" s="1"/>
      <c r="R3038" s="1"/>
      <c r="U3038" s="1"/>
    </row>
    <row r="3039" spans="15:21">
      <c r="O3039" s="1"/>
      <c r="R3039" s="1"/>
      <c r="U3039" s="1"/>
    </row>
    <row r="3040" spans="15:21">
      <c r="O3040" s="1"/>
      <c r="R3040" s="1"/>
      <c r="U3040" s="1"/>
    </row>
    <row r="3041" spans="15:21">
      <c r="O3041" s="1"/>
      <c r="R3041" s="1"/>
      <c r="U3041" s="1"/>
    </row>
    <row r="3042" spans="15:21">
      <c r="O3042" s="1"/>
      <c r="R3042" s="1"/>
      <c r="U3042" s="1"/>
    </row>
    <row r="3043" spans="15:21">
      <c r="O3043" s="1"/>
      <c r="R3043" s="1"/>
      <c r="U3043" s="1"/>
    </row>
    <row r="3044" spans="15:21">
      <c r="O3044" s="1"/>
      <c r="R3044" s="1"/>
      <c r="U3044" s="1"/>
    </row>
    <row r="3045" spans="15:21">
      <c r="O3045" s="1"/>
      <c r="R3045" s="1"/>
      <c r="U3045" s="1"/>
    </row>
    <row r="3046" spans="15:21">
      <c r="O3046" s="1"/>
      <c r="R3046" s="1"/>
      <c r="U3046" s="1"/>
    </row>
    <row r="3047" spans="15:21">
      <c r="O3047" s="1"/>
      <c r="R3047" s="1"/>
      <c r="U3047" s="1"/>
    </row>
    <row r="3048" spans="15:21">
      <c r="O3048" s="1"/>
      <c r="R3048" s="1"/>
      <c r="U3048" s="1"/>
    </row>
    <row r="3049" spans="15:21">
      <c r="O3049" s="1"/>
      <c r="R3049" s="1"/>
      <c r="U3049" s="1"/>
    </row>
    <row r="3050" spans="15:21">
      <c r="O3050" s="1"/>
      <c r="R3050" s="1"/>
      <c r="U3050" s="1"/>
    </row>
    <row r="3051" spans="15:21">
      <c r="O3051" s="1"/>
      <c r="R3051" s="1"/>
      <c r="U3051" s="1"/>
    </row>
    <row r="3052" spans="15:21">
      <c r="O3052" s="1"/>
      <c r="R3052" s="1"/>
      <c r="U3052" s="1"/>
    </row>
    <row r="3053" spans="15:21">
      <c r="O3053" s="1"/>
      <c r="R3053" s="1"/>
      <c r="U3053" s="1"/>
    </row>
    <row r="3054" spans="15:21">
      <c r="O3054" s="1"/>
      <c r="R3054" s="1"/>
      <c r="U3054" s="1"/>
    </row>
    <row r="3055" spans="15:21">
      <c r="O3055" s="1"/>
      <c r="R3055" s="1"/>
      <c r="U3055" s="1"/>
    </row>
    <row r="3056" spans="15:21">
      <c r="O3056" s="1"/>
      <c r="R3056" s="1"/>
      <c r="U3056" s="1"/>
    </row>
    <row r="3057" spans="15:21">
      <c r="O3057" s="1"/>
      <c r="R3057" s="1"/>
      <c r="U3057" s="1"/>
    </row>
    <row r="3058" spans="15:21">
      <c r="O3058" s="1"/>
      <c r="R3058" s="1"/>
      <c r="U3058" s="1"/>
    </row>
    <row r="3059" spans="15:21">
      <c r="O3059" s="1"/>
      <c r="R3059" s="1"/>
      <c r="U3059" s="1"/>
    </row>
    <row r="3060" spans="15:21">
      <c r="O3060" s="1"/>
      <c r="R3060" s="1"/>
      <c r="U3060" s="1"/>
    </row>
    <row r="3061" spans="15:21">
      <c r="O3061" s="1"/>
      <c r="R3061" s="1"/>
      <c r="U3061" s="1"/>
    </row>
    <row r="3062" spans="15:21">
      <c r="O3062" s="1"/>
      <c r="R3062" s="1"/>
      <c r="U3062" s="1"/>
    </row>
    <row r="3063" spans="15:21">
      <c r="O3063" s="1"/>
      <c r="R3063" s="1"/>
      <c r="U3063" s="1"/>
    </row>
    <row r="3064" spans="15:21">
      <c r="O3064" s="1"/>
      <c r="R3064" s="1"/>
      <c r="U3064" s="1"/>
    </row>
    <row r="3065" spans="15:21">
      <c r="O3065" s="1"/>
      <c r="R3065" s="1"/>
      <c r="U3065" s="1"/>
    </row>
    <row r="3066" spans="15:21">
      <c r="O3066" s="1"/>
      <c r="R3066" s="1"/>
      <c r="U3066" s="1"/>
    </row>
    <row r="3067" spans="15:21">
      <c r="O3067" s="1"/>
      <c r="R3067" s="1"/>
      <c r="U3067" s="1"/>
    </row>
    <row r="3068" spans="15:21">
      <c r="O3068" s="1"/>
      <c r="R3068" s="1"/>
      <c r="U3068" s="1"/>
    </row>
    <row r="3069" spans="15:21">
      <c r="O3069" s="1"/>
      <c r="R3069" s="1"/>
      <c r="U3069" s="1"/>
    </row>
    <row r="3070" spans="15:21">
      <c r="O3070" s="1"/>
      <c r="R3070" s="1"/>
      <c r="U3070" s="1"/>
    </row>
    <row r="3071" spans="15:21">
      <c r="O3071" s="1"/>
      <c r="R3071" s="1"/>
      <c r="U3071" s="1"/>
    </row>
    <row r="3072" spans="15:21">
      <c r="O3072" s="1"/>
      <c r="R3072" s="1"/>
      <c r="U3072" s="1"/>
    </row>
    <row r="3073" spans="15:21">
      <c r="O3073" s="1"/>
      <c r="R3073" s="1"/>
      <c r="U3073" s="1"/>
    </row>
    <row r="3074" spans="15:21">
      <c r="O3074" s="1"/>
      <c r="R3074" s="1"/>
      <c r="U3074" s="1"/>
    </row>
    <row r="3075" spans="15:21">
      <c r="O3075" s="1"/>
      <c r="R3075" s="1"/>
      <c r="U3075" s="1"/>
    </row>
    <row r="3076" spans="15:21">
      <c r="O3076" s="1"/>
      <c r="R3076" s="1"/>
      <c r="U3076" s="1"/>
    </row>
    <row r="3077" spans="15:21">
      <c r="O3077" s="1"/>
      <c r="R3077" s="1"/>
      <c r="U3077" s="1"/>
    </row>
    <row r="3078" spans="15:21">
      <c r="O3078" s="1"/>
      <c r="R3078" s="1"/>
      <c r="U3078" s="1"/>
    </row>
    <row r="3079" spans="15:21">
      <c r="O3079" s="1"/>
      <c r="R3079" s="1"/>
      <c r="U3079" s="1"/>
    </row>
    <row r="3080" spans="15:21">
      <c r="O3080" s="1"/>
      <c r="R3080" s="1"/>
      <c r="U3080" s="1"/>
    </row>
    <row r="3081" spans="15:21">
      <c r="O3081" s="1"/>
      <c r="R3081" s="1"/>
      <c r="U3081" s="1"/>
    </row>
    <row r="3082" spans="15:21">
      <c r="O3082" s="1"/>
      <c r="R3082" s="1"/>
      <c r="U3082" s="1"/>
    </row>
    <row r="3083" spans="15:21">
      <c r="O3083" s="1"/>
      <c r="R3083" s="1"/>
      <c r="U3083" s="1"/>
    </row>
    <row r="3084" spans="15:21">
      <c r="O3084" s="1"/>
      <c r="R3084" s="1"/>
      <c r="U3084" s="1"/>
    </row>
    <row r="3085" spans="15:21">
      <c r="O3085" s="1"/>
      <c r="R3085" s="1"/>
      <c r="U3085" s="1"/>
    </row>
    <row r="3086" spans="15:21">
      <c r="O3086" s="1"/>
      <c r="R3086" s="1"/>
      <c r="U3086" s="1"/>
    </row>
    <row r="3087" spans="15:21">
      <c r="O3087" s="1"/>
      <c r="R3087" s="1"/>
      <c r="U3087" s="1"/>
    </row>
    <row r="3088" spans="15:21">
      <c r="O3088" s="1"/>
      <c r="R3088" s="1"/>
      <c r="U3088" s="1"/>
    </row>
    <row r="3089" spans="15:21">
      <c r="O3089" s="1"/>
      <c r="R3089" s="1"/>
      <c r="U3089" s="1"/>
    </row>
    <row r="3090" spans="15:21">
      <c r="O3090" s="1"/>
      <c r="R3090" s="1"/>
      <c r="U3090" s="1"/>
    </row>
    <row r="3091" spans="15:21">
      <c r="O3091" s="1"/>
      <c r="R3091" s="1"/>
      <c r="U3091" s="1"/>
    </row>
    <row r="3092" spans="15:21">
      <c r="O3092" s="1"/>
      <c r="R3092" s="1"/>
      <c r="U3092" s="1"/>
    </row>
    <row r="3093" spans="15:21">
      <c r="O3093" s="1"/>
      <c r="R3093" s="1"/>
      <c r="U3093" s="1"/>
    </row>
    <row r="3094" spans="15:21">
      <c r="O3094" s="1"/>
      <c r="R3094" s="1"/>
      <c r="U3094" s="1"/>
    </row>
    <row r="3095" spans="15:21">
      <c r="O3095" s="1"/>
      <c r="R3095" s="1"/>
      <c r="U3095" s="1"/>
    </row>
    <row r="3096" spans="15:21">
      <c r="O3096" s="1"/>
      <c r="R3096" s="1"/>
      <c r="U3096" s="1"/>
    </row>
    <row r="3097" spans="15:21">
      <c r="O3097" s="1"/>
      <c r="R3097" s="1"/>
      <c r="U3097" s="1"/>
    </row>
    <row r="3098" spans="15:21">
      <c r="O3098" s="1"/>
      <c r="R3098" s="1"/>
      <c r="U3098" s="1"/>
    </row>
    <row r="3099" spans="15:21">
      <c r="O3099" s="1"/>
      <c r="R3099" s="1"/>
      <c r="U3099" s="1"/>
    </row>
    <row r="3100" spans="15:21">
      <c r="O3100" s="1"/>
      <c r="R3100" s="1"/>
      <c r="U3100" s="1"/>
    </row>
    <row r="3101" spans="15:21">
      <c r="O3101" s="1"/>
      <c r="R3101" s="1"/>
      <c r="U3101" s="1"/>
    </row>
    <row r="3102" spans="15:21">
      <c r="O3102" s="1"/>
      <c r="R3102" s="1"/>
      <c r="U3102" s="1"/>
    </row>
    <row r="3103" spans="15:21">
      <c r="O3103" s="1"/>
      <c r="R3103" s="1"/>
      <c r="U3103" s="1"/>
    </row>
    <row r="3104" spans="15:21">
      <c r="O3104" s="1"/>
      <c r="R3104" s="1"/>
      <c r="U3104" s="1"/>
    </row>
    <row r="3105" spans="15:21">
      <c r="O3105" s="1"/>
      <c r="R3105" s="1"/>
      <c r="U3105" s="1"/>
    </row>
    <row r="3106" spans="15:21">
      <c r="O3106" s="1"/>
      <c r="R3106" s="1"/>
      <c r="U3106" s="1"/>
    </row>
    <row r="3107" spans="15:21">
      <c r="O3107" s="1"/>
      <c r="R3107" s="1"/>
      <c r="U3107" s="1"/>
    </row>
    <row r="3108" spans="15:21">
      <c r="O3108" s="1"/>
      <c r="R3108" s="1"/>
      <c r="U3108" s="1"/>
    </row>
    <row r="3109" spans="15:21">
      <c r="O3109" s="1"/>
      <c r="R3109" s="1"/>
      <c r="U3109" s="1"/>
    </row>
    <row r="3110" spans="15:21">
      <c r="O3110" s="1"/>
      <c r="R3110" s="1"/>
      <c r="U3110" s="1"/>
    </row>
    <row r="3111" spans="15:21">
      <c r="O3111" s="1"/>
      <c r="R3111" s="1"/>
      <c r="U3111" s="1"/>
    </row>
    <row r="3112" spans="15:21">
      <c r="O3112" s="1"/>
      <c r="R3112" s="1"/>
      <c r="U3112" s="1"/>
    </row>
    <row r="3113" spans="15:21">
      <c r="O3113" s="1"/>
      <c r="R3113" s="1"/>
      <c r="U3113" s="1"/>
    </row>
    <row r="3114" spans="15:21">
      <c r="O3114" s="1"/>
      <c r="R3114" s="1"/>
      <c r="U3114" s="1"/>
    </row>
    <row r="3115" spans="15:21">
      <c r="O3115" s="1"/>
      <c r="R3115" s="1"/>
      <c r="U3115" s="1"/>
    </row>
    <row r="3116" spans="15:21">
      <c r="O3116" s="1"/>
      <c r="R3116" s="1"/>
      <c r="U3116" s="1"/>
    </row>
    <row r="3117" spans="15:21">
      <c r="O3117" s="1"/>
      <c r="R3117" s="1"/>
      <c r="U3117" s="1"/>
    </row>
    <row r="3118" spans="15:21">
      <c r="O3118" s="1"/>
      <c r="R3118" s="1"/>
      <c r="U3118" s="1"/>
    </row>
    <row r="3119" spans="15:21">
      <c r="O3119" s="1"/>
      <c r="R3119" s="1"/>
      <c r="U3119" s="1"/>
    </row>
    <row r="3120" spans="15:21">
      <c r="O3120" s="1"/>
      <c r="R3120" s="1"/>
      <c r="U3120" s="1"/>
    </row>
    <row r="3121" spans="15:21">
      <c r="O3121" s="1"/>
      <c r="R3121" s="1"/>
      <c r="U3121" s="1"/>
    </row>
    <row r="3122" spans="15:21">
      <c r="O3122" s="1"/>
      <c r="R3122" s="1"/>
      <c r="U3122" s="1"/>
    </row>
    <row r="3123" spans="15:21">
      <c r="O3123" s="1"/>
      <c r="R3123" s="1"/>
      <c r="U3123" s="1"/>
    </row>
    <row r="3124" spans="15:21">
      <c r="O3124" s="1"/>
      <c r="R3124" s="1"/>
      <c r="U3124" s="1"/>
    </row>
    <row r="3125" spans="15:21">
      <c r="O3125" s="1"/>
      <c r="R3125" s="1"/>
      <c r="U3125" s="1"/>
    </row>
    <row r="3126" spans="15:21">
      <c r="O3126" s="1"/>
      <c r="R3126" s="1"/>
      <c r="U3126" s="1"/>
    </row>
    <row r="3127" spans="15:21">
      <c r="O3127" s="1"/>
      <c r="R3127" s="1"/>
      <c r="U3127" s="1"/>
    </row>
    <row r="3128" spans="15:21">
      <c r="O3128" s="1"/>
      <c r="R3128" s="1"/>
      <c r="U3128" s="1"/>
    </row>
    <row r="3129" spans="15:21">
      <c r="O3129" s="1"/>
      <c r="R3129" s="1"/>
      <c r="U3129" s="1"/>
    </row>
    <row r="3130" spans="15:21">
      <c r="O3130" s="1"/>
      <c r="R3130" s="1"/>
      <c r="U3130" s="1"/>
    </row>
    <row r="3131" spans="15:21">
      <c r="O3131" s="1"/>
      <c r="R3131" s="1"/>
      <c r="U3131" s="1"/>
    </row>
    <row r="3132" spans="15:21">
      <c r="O3132" s="1"/>
      <c r="R3132" s="1"/>
      <c r="U3132" s="1"/>
    </row>
    <row r="3133" spans="15:21">
      <c r="O3133" s="1"/>
      <c r="R3133" s="1"/>
      <c r="U3133" s="1"/>
    </row>
    <row r="3134" spans="15:21">
      <c r="O3134" s="1"/>
      <c r="R3134" s="1"/>
      <c r="U3134" s="1"/>
    </row>
    <row r="3135" spans="15:21">
      <c r="O3135" s="1"/>
      <c r="R3135" s="1"/>
      <c r="U3135" s="1"/>
    </row>
    <row r="3136" spans="15:21">
      <c r="O3136" s="1"/>
      <c r="R3136" s="1"/>
      <c r="U3136" s="1"/>
    </row>
    <row r="3137" spans="15:21">
      <c r="O3137" s="1"/>
      <c r="R3137" s="1"/>
      <c r="U3137" s="1"/>
    </row>
    <row r="3138" spans="15:21">
      <c r="O3138" s="1"/>
      <c r="R3138" s="1"/>
      <c r="U3138" s="1"/>
    </row>
    <row r="3139" spans="15:21">
      <c r="O3139" s="1"/>
      <c r="R3139" s="1"/>
      <c r="U3139" s="1"/>
    </row>
    <row r="3140" spans="15:21">
      <c r="O3140" s="1"/>
      <c r="R3140" s="1"/>
      <c r="U3140" s="1"/>
    </row>
    <row r="3141" spans="15:21">
      <c r="O3141" s="1"/>
      <c r="R3141" s="1"/>
      <c r="U3141" s="1"/>
    </row>
    <row r="3142" spans="15:21">
      <c r="O3142" s="1"/>
      <c r="R3142" s="1"/>
      <c r="U3142" s="1"/>
    </row>
    <row r="3143" spans="15:21">
      <c r="O3143" s="1"/>
      <c r="R3143" s="1"/>
      <c r="U3143" s="1"/>
    </row>
    <row r="3144" spans="15:21">
      <c r="O3144" s="1"/>
      <c r="R3144" s="1"/>
      <c r="U3144" s="1"/>
    </row>
    <row r="3145" spans="15:21">
      <c r="O3145" s="1"/>
      <c r="R3145" s="1"/>
      <c r="U3145" s="1"/>
    </row>
    <row r="3146" spans="15:21">
      <c r="O3146" s="1"/>
      <c r="R3146" s="1"/>
      <c r="U3146" s="1"/>
    </row>
    <row r="3147" spans="15:21">
      <c r="O3147" s="1"/>
      <c r="R3147" s="1"/>
      <c r="U3147" s="1"/>
    </row>
    <row r="3148" spans="15:21">
      <c r="O3148" s="1"/>
      <c r="R3148" s="1"/>
      <c r="U3148" s="1"/>
    </row>
    <row r="3149" spans="15:21">
      <c r="O3149" s="1"/>
      <c r="R3149" s="1"/>
      <c r="U3149" s="1"/>
    </row>
    <row r="3150" spans="15:21">
      <c r="O3150" s="1"/>
      <c r="R3150" s="1"/>
      <c r="U3150" s="1"/>
    </row>
    <row r="3151" spans="15:21">
      <c r="O3151" s="1"/>
      <c r="R3151" s="1"/>
      <c r="U3151" s="1"/>
    </row>
    <row r="3152" spans="15:21">
      <c r="O3152" s="1"/>
      <c r="R3152" s="1"/>
      <c r="U3152" s="1"/>
    </row>
    <row r="3153" spans="15:21">
      <c r="O3153" s="1"/>
      <c r="R3153" s="1"/>
      <c r="U3153" s="1"/>
    </row>
    <row r="3154" spans="15:21">
      <c r="O3154" s="1"/>
      <c r="R3154" s="1"/>
      <c r="U3154" s="1"/>
    </row>
    <row r="3155" spans="15:21">
      <c r="O3155" s="1"/>
      <c r="R3155" s="1"/>
      <c r="U3155" s="1"/>
    </row>
    <row r="3156" spans="15:21">
      <c r="O3156" s="1"/>
      <c r="R3156" s="1"/>
      <c r="U3156" s="1"/>
    </row>
    <row r="3157" spans="15:21">
      <c r="O3157" s="1"/>
      <c r="R3157" s="1"/>
      <c r="U3157" s="1"/>
    </row>
    <row r="3158" spans="15:21">
      <c r="O3158" s="1"/>
      <c r="R3158" s="1"/>
      <c r="U3158" s="1"/>
    </row>
    <row r="3159" spans="15:21">
      <c r="O3159" s="1"/>
      <c r="R3159" s="1"/>
      <c r="U3159" s="1"/>
    </row>
    <row r="3160" spans="15:21">
      <c r="O3160" s="1"/>
      <c r="R3160" s="1"/>
      <c r="U3160" s="1"/>
    </row>
    <row r="3161" spans="15:21">
      <c r="O3161" s="1"/>
      <c r="R3161" s="1"/>
      <c r="U3161" s="1"/>
    </row>
    <row r="3162" spans="15:21">
      <c r="O3162" s="1"/>
      <c r="R3162" s="1"/>
      <c r="U3162" s="1"/>
    </row>
    <row r="3163" spans="15:21">
      <c r="O3163" s="1"/>
      <c r="R3163" s="1"/>
      <c r="U3163" s="1"/>
    </row>
    <row r="3164" spans="15:21">
      <c r="O3164" s="1"/>
      <c r="R3164" s="1"/>
      <c r="U3164" s="1"/>
    </row>
    <row r="3165" spans="15:21">
      <c r="O3165" s="1"/>
      <c r="R3165" s="1"/>
      <c r="U3165" s="1"/>
    </row>
    <row r="3166" spans="15:21">
      <c r="O3166" s="1"/>
      <c r="R3166" s="1"/>
      <c r="U3166" s="1"/>
    </row>
    <row r="3167" spans="15:21">
      <c r="O3167" s="1"/>
      <c r="R3167" s="1"/>
      <c r="U3167" s="1"/>
    </row>
    <row r="3168" spans="15:21">
      <c r="O3168" s="1"/>
      <c r="R3168" s="1"/>
      <c r="U3168" s="1"/>
    </row>
    <row r="3169" spans="15:21">
      <c r="O3169" s="1"/>
      <c r="R3169" s="1"/>
      <c r="U3169" s="1"/>
    </row>
    <row r="3170" spans="15:21">
      <c r="O3170" s="1"/>
      <c r="R3170" s="1"/>
      <c r="U3170" s="1"/>
    </row>
    <row r="3171" spans="15:21">
      <c r="O3171" s="1"/>
      <c r="R3171" s="1"/>
      <c r="U3171" s="1"/>
    </row>
    <row r="3172" spans="15:21">
      <c r="O3172" s="1"/>
      <c r="R3172" s="1"/>
      <c r="U3172" s="1"/>
    </row>
    <row r="3173" spans="15:21">
      <c r="O3173" s="1"/>
      <c r="R3173" s="1"/>
      <c r="U3173" s="1"/>
    </row>
    <row r="3174" spans="15:21">
      <c r="O3174" s="1"/>
      <c r="R3174" s="1"/>
      <c r="U3174" s="1"/>
    </row>
    <row r="3175" spans="15:21">
      <c r="O3175" s="1"/>
      <c r="R3175" s="1"/>
      <c r="U3175" s="1"/>
    </row>
    <row r="3176" spans="15:21">
      <c r="O3176" s="1"/>
      <c r="R3176" s="1"/>
      <c r="U3176" s="1"/>
    </row>
    <row r="3177" spans="15:21">
      <c r="O3177" s="1"/>
      <c r="R3177" s="1"/>
      <c r="U3177" s="1"/>
    </row>
    <row r="3178" spans="15:21">
      <c r="O3178" s="1"/>
      <c r="R3178" s="1"/>
      <c r="U3178" s="1"/>
    </row>
    <row r="3179" spans="15:21">
      <c r="O3179" s="1"/>
      <c r="R3179" s="1"/>
      <c r="U3179" s="1"/>
    </row>
    <row r="3180" spans="15:21">
      <c r="O3180" s="1"/>
      <c r="R3180" s="1"/>
      <c r="U3180" s="1"/>
    </row>
    <row r="3181" spans="15:21">
      <c r="O3181" s="1"/>
      <c r="R3181" s="1"/>
      <c r="U3181" s="1"/>
    </row>
    <row r="3182" spans="15:21">
      <c r="O3182" s="1"/>
      <c r="R3182" s="1"/>
      <c r="U3182" s="1"/>
    </row>
    <row r="3183" spans="15:21">
      <c r="O3183" s="1"/>
      <c r="R3183" s="1"/>
      <c r="U3183" s="1"/>
    </row>
    <row r="3184" spans="15:21">
      <c r="O3184" s="1"/>
      <c r="R3184" s="1"/>
      <c r="U3184" s="1"/>
    </row>
    <row r="3185" spans="15:21">
      <c r="O3185" s="1"/>
      <c r="R3185" s="1"/>
      <c r="U3185" s="1"/>
    </row>
    <row r="3186" spans="15:21">
      <c r="O3186" s="1"/>
      <c r="R3186" s="1"/>
      <c r="U3186" s="1"/>
    </row>
    <row r="3187" spans="15:21">
      <c r="O3187" s="1"/>
      <c r="R3187" s="1"/>
      <c r="U3187" s="1"/>
    </row>
    <row r="3188" spans="15:21">
      <c r="O3188" s="1"/>
      <c r="R3188" s="1"/>
      <c r="U3188" s="1"/>
    </row>
    <row r="3189" spans="15:21">
      <c r="O3189" s="1"/>
      <c r="R3189" s="1"/>
      <c r="U3189" s="1"/>
    </row>
    <row r="3190" spans="15:21">
      <c r="O3190" s="1"/>
      <c r="R3190" s="1"/>
      <c r="U3190" s="1"/>
    </row>
    <row r="3191" spans="15:21">
      <c r="O3191" s="1"/>
      <c r="R3191" s="1"/>
      <c r="U3191" s="1"/>
    </row>
    <row r="3192" spans="15:21">
      <c r="O3192" s="1"/>
      <c r="R3192" s="1"/>
      <c r="U3192" s="1"/>
    </row>
    <row r="3193" spans="15:21">
      <c r="O3193" s="1"/>
      <c r="R3193" s="1"/>
      <c r="U3193" s="1"/>
    </row>
    <row r="3194" spans="15:21">
      <c r="O3194" s="1"/>
      <c r="R3194" s="1"/>
      <c r="U3194" s="1"/>
    </row>
    <row r="3195" spans="15:21">
      <c r="O3195" s="1"/>
      <c r="R3195" s="1"/>
      <c r="U3195" s="1"/>
    </row>
    <row r="3196" spans="15:21">
      <c r="O3196" s="1"/>
      <c r="R3196" s="1"/>
      <c r="U3196" s="1"/>
    </row>
    <row r="3197" spans="15:21">
      <c r="O3197" s="1"/>
      <c r="R3197" s="1"/>
      <c r="U3197" s="1"/>
    </row>
    <row r="3198" spans="15:21">
      <c r="O3198" s="1"/>
      <c r="R3198" s="1"/>
      <c r="U3198" s="1"/>
    </row>
    <row r="3199" spans="15:21">
      <c r="O3199" s="1"/>
      <c r="R3199" s="1"/>
      <c r="U3199" s="1"/>
    </row>
    <row r="3200" spans="15:21">
      <c r="O3200" s="1"/>
      <c r="R3200" s="1"/>
      <c r="U3200" s="1"/>
    </row>
    <row r="3201" spans="15:21">
      <c r="O3201" s="1"/>
      <c r="R3201" s="1"/>
      <c r="U3201" s="1"/>
    </row>
    <row r="3202" spans="15:21">
      <c r="O3202" s="1"/>
      <c r="R3202" s="1"/>
      <c r="U3202" s="1"/>
    </row>
    <row r="3203" spans="15:21">
      <c r="O3203" s="1"/>
      <c r="R3203" s="1"/>
      <c r="U3203" s="1"/>
    </row>
    <row r="3204" spans="15:21">
      <c r="O3204" s="1"/>
      <c r="R3204" s="1"/>
      <c r="U3204" s="1"/>
    </row>
    <row r="3205" spans="15:21">
      <c r="O3205" s="1"/>
      <c r="R3205" s="1"/>
      <c r="U3205" s="1"/>
    </row>
    <row r="3206" spans="15:21">
      <c r="O3206" s="1"/>
      <c r="R3206" s="1"/>
      <c r="U3206" s="1"/>
    </row>
    <row r="3207" spans="15:21">
      <c r="O3207" s="1"/>
      <c r="R3207" s="1"/>
      <c r="U3207" s="1"/>
    </row>
    <row r="3208" spans="15:21">
      <c r="O3208" s="1"/>
      <c r="R3208" s="1"/>
      <c r="U3208" s="1"/>
    </row>
    <row r="3209" spans="15:21">
      <c r="O3209" s="1"/>
      <c r="R3209" s="1"/>
      <c r="U3209" s="1"/>
    </row>
    <row r="3210" spans="15:21">
      <c r="O3210" s="1"/>
      <c r="R3210" s="1"/>
      <c r="U3210" s="1"/>
    </row>
    <row r="3211" spans="15:21">
      <c r="O3211" s="1"/>
      <c r="R3211" s="1"/>
      <c r="U3211" s="1"/>
    </row>
    <row r="3212" spans="15:21">
      <c r="O3212" s="1"/>
      <c r="R3212" s="1"/>
      <c r="U3212" s="1"/>
    </row>
    <row r="3213" spans="15:21">
      <c r="O3213" s="1"/>
      <c r="R3213" s="1"/>
      <c r="U3213" s="1"/>
    </row>
    <row r="3214" spans="15:21">
      <c r="O3214" s="1"/>
      <c r="R3214" s="1"/>
      <c r="U3214" s="1"/>
    </row>
    <row r="3215" spans="15:21">
      <c r="O3215" s="1"/>
      <c r="R3215" s="1"/>
      <c r="U3215" s="1"/>
    </row>
    <row r="3216" spans="15:21">
      <c r="O3216" s="1"/>
      <c r="R3216" s="1"/>
      <c r="U3216" s="1"/>
    </row>
    <row r="3217" spans="15:21">
      <c r="O3217" s="1"/>
      <c r="R3217" s="1"/>
      <c r="U3217" s="1"/>
    </row>
    <row r="3218" spans="15:21">
      <c r="O3218" s="1"/>
      <c r="R3218" s="1"/>
      <c r="U3218" s="1"/>
    </row>
    <row r="3219" spans="15:21">
      <c r="O3219" s="1"/>
      <c r="R3219" s="1"/>
      <c r="U3219" s="1"/>
    </row>
    <row r="3220" spans="15:21">
      <c r="O3220" s="1"/>
      <c r="R3220" s="1"/>
      <c r="U3220" s="1"/>
    </row>
    <row r="3221" spans="15:21">
      <c r="O3221" s="1"/>
      <c r="R3221" s="1"/>
      <c r="U3221" s="1"/>
    </row>
    <row r="3222" spans="15:21">
      <c r="O3222" s="1"/>
      <c r="R3222" s="1"/>
      <c r="U3222" s="1"/>
    </row>
    <row r="3223" spans="15:21">
      <c r="O3223" s="1"/>
      <c r="R3223" s="1"/>
      <c r="U3223" s="1"/>
    </row>
    <row r="3224" spans="15:21">
      <c r="O3224" s="1"/>
      <c r="R3224" s="1"/>
      <c r="U3224" s="1"/>
    </row>
    <row r="3225" spans="15:21">
      <c r="O3225" s="1"/>
      <c r="R3225" s="1"/>
      <c r="U3225" s="1"/>
    </row>
    <row r="3226" spans="15:21">
      <c r="O3226" s="1"/>
      <c r="R3226" s="1"/>
      <c r="U3226" s="1"/>
    </row>
    <row r="3227" spans="15:21">
      <c r="O3227" s="1"/>
      <c r="R3227" s="1"/>
      <c r="U3227" s="1"/>
    </row>
    <row r="3228" spans="15:21">
      <c r="O3228" s="1"/>
      <c r="R3228" s="1"/>
      <c r="U3228" s="1"/>
    </row>
    <row r="3229" spans="15:21">
      <c r="O3229" s="1"/>
      <c r="R3229" s="1"/>
      <c r="U3229" s="1"/>
    </row>
    <row r="3230" spans="15:21">
      <c r="O3230" s="1"/>
      <c r="R3230" s="1"/>
      <c r="U3230" s="1"/>
    </row>
    <row r="3231" spans="15:21">
      <c r="O3231" s="1"/>
      <c r="R3231" s="1"/>
      <c r="U3231" s="1"/>
    </row>
    <row r="3232" spans="15:21">
      <c r="O3232" s="1"/>
      <c r="R3232" s="1"/>
      <c r="U3232" s="1"/>
    </row>
    <row r="3233" spans="15:21">
      <c r="O3233" s="1"/>
      <c r="R3233" s="1"/>
      <c r="U3233" s="1"/>
    </row>
    <row r="3234" spans="15:21">
      <c r="O3234" s="1"/>
      <c r="R3234" s="1"/>
      <c r="U3234" s="1"/>
    </row>
    <row r="3235" spans="15:21">
      <c r="O3235" s="1"/>
      <c r="R3235" s="1"/>
      <c r="U3235" s="1"/>
    </row>
    <row r="3236" spans="15:21">
      <c r="O3236" s="1"/>
      <c r="R3236" s="1"/>
      <c r="U3236" s="1"/>
    </row>
    <row r="3237" spans="15:21">
      <c r="O3237" s="1"/>
      <c r="R3237" s="1"/>
      <c r="U3237" s="1"/>
    </row>
    <row r="3238" spans="15:21">
      <c r="O3238" s="1"/>
      <c r="R3238" s="1"/>
      <c r="U3238" s="1"/>
    </row>
    <row r="3239" spans="15:21">
      <c r="O3239" s="1"/>
      <c r="R3239" s="1"/>
      <c r="U3239" s="1"/>
    </row>
    <row r="3240" spans="15:21">
      <c r="O3240" s="1"/>
      <c r="R3240" s="1"/>
      <c r="U3240" s="1"/>
    </row>
    <row r="3241" spans="15:21">
      <c r="O3241" s="1"/>
      <c r="R3241" s="1"/>
      <c r="U3241" s="1"/>
    </row>
    <row r="3242" spans="15:21">
      <c r="O3242" s="1"/>
      <c r="R3242" s="1"/>
      <c r="U3242" s="1"/>
    </row>
    <row r="3243" spans="15:21">
      <c r="O3243" s="1"/>
      <c r="R3243" s="1"/>
      <c r="U3243" s="1"/>
    </row>
    <row r="3244" spans="15:21">
      <c r="O3244" s="1"/>
      <c r="R3244" s="1"/>
      <c r="U3244" s="1"/>
    </row>
    <row r="3245" spans="15:21">
      <c r="O3245" s="1"/>
      <c r="R3245" s="1"/>
      <c r="U3245" s="1"/>
    </row>
    <row r="3246" spans="15:21">
      <c r="O3246" s="1"/>
      <c r="R3246" s="1"/>
      <c r="U3246" s="1"/>
    </row>
    <row r="3247" spans="15:21">
      <c r="O3247" s="1"/>
      <c r="R3247" s="1"/>
      <c r="U3247" s="1"/>
    </row>
    <row r="3248" spans="15:21">
      <c r="O3248" s="1"/>
      <c r="R3248" s="1"/>
      <c r="U3248" s="1"/>
    </row>
    <row r="3249" spans="15:21">
      <c r="O3249" s="1"/>
      <c r="R3249" s="1"/>
      <c r="U3249" s="1"/>
    </row>
    <row r="3250" spans="15:21">
      <c r="O3250" s="1"/>
      <c r="R3250" s="1"/>
      <c r="U3250" s="1"/>
    </row>
    <row r="3251" spans="15:21">
      <c r="O3251" s="1"/>
      <c r="R3251" s="1"/>
      <c r="U3251" s="1"/>
    </row>
    <row r="3252" spans="15:21">
      <c r="O3252" s="1"/>
      <c r="R3252" s="1"/>
      <c r="U3252" s="1"/>
    </row>
    <row r="3253" spans="15:21">
      <c r="O3253" s="1"/>
      <c r="R3253" s="1"/>
      <c r="U3253" s="1"/>
    </row>
    <row r="3254" spans="15:21">
      <c r="O3254" s="1"/>
      <c r="R3254" s="1"/>
      <c r="U3254" s="1"/>
    </row>
    <row r="3255" spans="15:21">
      <c r="O3255" s="1"/>
      <c r="R3255" s="1"/>
      <c r="U3255" s="1"/>
    </row>
    <row r="3256" spans="15:21">
      <c r="O3256" s="1"/>
      <c r="R3256" s="1"/>
      <c r="U3256" s="1"/>
    </row>
    <row r="3257" spans="15:21">
      <c r="O3257" s="1"/>
      <c r="R3257" s="1"/>
      <c r="U3257" s="1"/>
    </row>
    <row r="3258" spans="15:21">
      <c r="O3258" s="1"/>
      <c r="R3258" s="1"/>
      <c r="U3258" s="1"/>
    </row>
    <row r="3259" spans="15:21">
      <c r="O3259" s="1"/>
      <c r="R3259" s="1"/>
      <c r="U3259" s="1"/>
    </row>
    <row r="3260" spans="15:21">
      <c r="O3260" s="1"/>
      <c r="R3260" s="1"/>
      <c r="U3260" s="1"/>
    </row>
    <row r="3261" spans="15:21">
      <c r="O3261" s="1"/>
      <c r="R3261" s="1"/>
      <c r="U3261" s="1"/>
    </row>
    <row r="3262" spans="15:21">
      <c r="O3262" s="1"/>
      <c r="R3262" s="1"/>
      <c r="U3262" s="1"/>
    </row>
    <row r="3263" spans="15:21">
      <c r="O3263" s="1"/>
      <c r="R3263" s="1"/>
      <c r="U3263" s="1"/>
    </row>
    <row r="3264" spans="15:21">
      <c r="O3264" s="1"/>
      <c r="R3264" s="1"/>
      <c r="U3264" s="1"/>
    </row>
    <row r="3265" spans="15:21">
      <c r="O3265" s="1"/>
      <c r="R3265" s="1"/>
      <c r="U3265" s="1"/>
    </row>
    <row r="3266" spans="15:21">
      <c r="O3266" s="1"/>
      <c r="R3266" s="1"/>
      <c r="U3266" s="1"/>
    </row>
    <row r="3267" spans="15:21">
      <c r="O3267" s="1"/>
      <c r="R3267" s="1"/>
      <c r="U3267" s="1"/>
    </row>
    <row r="3268" spans="15:21">
      <c r="O3268" s="1"/>
      <c r="R3268" s="1"/>
      <c r="U3268" s="1"/>
    </row>
    <row r="3269" spans="15:21">
      <c r="O3269" s="1"/>
      <c r="R3269" s="1"/>
      <c r="U3269" s="1"/>
    </row>
    <row r="3270" spans="15:21">
      <c r="O3270" s="1"/>
      <c r="R3270" s="1"/>
      <c r="U3270" s="1"/>
    </row>
    <row r="3271" spans="15:21">
      <c r="O3271" s="1"/>
      <c r="R3271" s="1"/>
      <c r="U3271" s="1"/>
    </row>
    <row r="3272" spans="15:21">
      <c r="O3272" s="1"/>
      <c r="R3272" s="1"/>
      <c r="U3272" s="1"/>
    </row>
    <row r="3273" spans="15:21">
      <c r="O3273" s="1"/>
      <c r="R3273" s="1"/>
      <c r="U3273" s="1"/>
    </row>
    <row r="3274" spans="15:21">
      <c r="O3274" s="1"/>
      <c r="R3274" s="1"/>
      <c r="U3274" s="1"/>
    </row>
    <row r="3275" spans="15:21">
      <c r="O3275" s="1"/>
      <c r="R3275" s="1"/>
      <c r="U3275" s="1"/>
    </row>
    <row r="3276" spans="15:21">
      <c r="O3276" s="1"/>
      <c r="R3276" s="1"/>
      <c r="U3276" s="1"/>
    </row>
    <row r="3277" spans="15:21">
      <c r="O3277" s="1"/>
      <c r="R3277" s="1"/>
      <c r="U3277" s="1"/>
    </row>
    <row r="3278" spans="15:21">
      <c r="O3278" s="1"/>
      <c r="R3278" s="1"/>
      <c r="U3278" s="1"/>
    </row>
    <row r="3279" spans="15:21">
      <c r="O3279" s="1"/>
      <c r="R3279" s="1"/>
      <c r="U3279" s="1"/>
    </row>
    <row r="3280" spans="15:21">
      <c r="O3280" s="1"/>
      <c r="R3280" s="1"/>
      <c r="U3280" s="1"/>
    </row>
    <row r="3281" spans="15:21">
      <c r="O3281" s="1"/>
      <c r="R3281" s="1"/>
      <c r="U3281" s="1"/>
    </row>
    <row r="3282" spans="15:21">
      <c r="O3282" s="1"/>
      <c r="R3282" s="1"/>
      <c r="U3282" s="1"/>
    </row>
    <row r="3283" spans="15:21">
      <c r="O3283" s="1"/>
      <c r="R3283" s="1"/>
      <c r="U3283" s="1"/>
    </row>
    <row r="3284" spans="15:21">
      <c r="O3284" s="1"/>
      <c r="R3284" s="1"/>
      <c r="U3284" s="1"/>
    </row>
    <row r="3285" spans="15:21">
      <c r="O3285" s="1"/>
      <c r="R3285" s="1"/>
      <c r="U3285" s="1"/>
    </row>
    <row r="3286" spans="15:21">
      <c r="O3286" s="1"/>
      <c r="R3286" s="1"/>
      <c r="U3286" s="1"/>
    </row>
    <row r="3287" spans="15:21">
      <c r="O3287" s="1"/>
      <c r="R3287" s="1"/>
      <c r="U3287" s="1"/>
    </row>
    <row r="3288" spans="15:21">
      <c r="O3288" s="1"/>
      <c r="R3288" s="1"/>
      <c r="U3288" s="1"/>
    </row>
    <row r="3289" spans="15:21">
      <c r="O3289" s="1"/>
      <c r="R3289" s="1"/>
      <c r="U3289" s="1"/>
    </row>
    <row r="3290" spans="15:21">
      <c r="O3290" s="1"/>
      <c r="R3290" s="1"/>
      <c r="U3290" s="1"/>
    </row>
    <row r="3291" spans="15:21">
      <c r="O3291" s="1"/>
      <c r="R3291" s="1"/>
      <c r="U3291" s="1"/>
    </row>
    <row r="3292" spans="15:21">
      <c r="O3292" s="1"/>
      <c r="R3292" s="1"/>
      <c r="U3292" s="1"/>
    </row>
    <row r="3293" spans="15:21">
      <c r="O3293" s="1"/>
      <c r="R3293" s="1"/>
      <c r="U3293" s="1"/>
    </row>
    <row r="3294" spans="15:21">
      <c r="O3294" s="1"/>
      <c r="R3294" s="1"/>
      <c r="U3294" s="1"/>
    </row>
    <row r="3295" spans="15:21">
      <c r="O3295" s="1"/>
      <c r="R3295" s="1"/>
      <c r="U3295" s="1"/>
    </row>
    <row r="3296" spans="15:21">
      <c r="O3296" s="1"/>
      <c r="R3296" s="1"/>
      <c r="U3296" s="1"/>
    </row>
    <row r="3297" spans="15:21">
      <c r="O3297" s="1"/>
      <c r="R3297" s="1"/>
      <c r="U3297" s="1"/>
    </row>
    <row r="3298" spans="15:21">
      <c r="O3298" s="1"/>
      <c r="R3298" s="1"/>
      <c r="U3298" s="1"/>
    </row>
    <row r="3299" spans="15:21">
      <c r="O3299" s="1"/>
      <c r="R3299" s="1"/>
      <c r="U3299" s="1"/>
    </row>
    <row r="3300" spans="15:21">
      <c r="O3300" s="1"/>
      <c r="R3300" s="1"/>
      <c r="U3300" s="1"/>
    </row>
    <row r="3301" spans="15:21">
      <c r="O3301" s="1"/>
      <c r="R3301" s="1"/>
      <c r="U3301" s="1"/>
    </row>
    <row r="3302" spans="15:21">
      <c r="O3302" s="1"/>
      <c r="R3302" s="1"/>
      <c r="U3302" s="1"/>
    </row>
    <row r="3303" spans="15:21">
      <c r="O3303" s="1"/>
      <c r="R3303" s="1"/>
      <c r="U3303" s="1"/>
    </row>
    <row r="3304" spans="15:21">
      <c r="O3304" s="1"/>
      <c r="R3304" s="1"/>
      <c r="U3304" s="1"/>
    </row>
    <row r="3305" spans="15:21">
      <c r="O3305" s="1"/>
      <c r="R3305" s="1"/>
      <c r="U3305" s="1"/>
    </row>
    <row r="3306" spans="15:21">
      <c r="O3306" s="1"/>
      <c r="R3306" s="1"/>
      <c r="U3306" s="1"/>
    </row>
    <row r="3307" spans="15:21">
      <c r="O3307" s="1"/>
      <c r="R3307" s="1"/>
      <c r="U3307" s="1"/>
    </row>
    <row r="3308" spans="15:21">
      <c r="O3308" s="1"/>
      <c r="R3308" s="1"/>
      <c r="U3308" s="1"/>
    </row>
    <row r="3309" spans="15:21">
      <c r="O3309" s="1"/>
      <c r="R3309" s="1"/>
      <c r="U3309" s="1"/>
    </row>
    <row r="3310" spans="15:21">
      <c r="O3310" s="1"/>
      <c r="R3310" s="1"/>
      <c r="U3310" s="1"/>
    </row>
    <row r="3311" spans="15:21">
      <c r="O3311" s="1"/>
      <c r="R3311" s="1"/>
      <c r="U3311" s="1"/>
    </row>
    <row r="3312" spans="15:21">
      <c r="O3312" s="1"/>
      <c r="R3312" s="1"/>
      <c r="U3312" s="1"/>
    </row>
    <row r="3313" spans="15:21">
      <c r="O3313" s="1"/>
      <c r="R3313" s="1"/>
      <c r="U3313" s="1"/>
    </row>
    <row r="3314" spans="15:21">
      <c r="O3314" s="1"/>
      <c r="R3314" s="1"/>
      <c r="U3314" s="1"/>
    </row>
    <row r="3315" spans="15:21">
      <c r="O3315" s="1"/>
      <c r="R3315" s="1"/>
      <c r="U3315" s="1"/>
    </row>
    <row r="3316" spans="15:21">
      <c r="O3316" s="1"/>
      <c r="R3316" s="1"/>
      <c r="U3316" s="1"/>
    </row>
    <row r="3317" spans="15:21">
      <c r="O3317" s="1"/>
      <c r="R3317" s="1"/>
      <c r="U3317" s="1"/>
    </row>
    <row r="3318" spans="15:21">
      <c r="O3318" s="1"/>
      <c r="R3318" s="1"/>
      <c r="U3318" s="1"/>
    </row>
    <row r="3319" spans="15:21">
      <c r="O3319" s="1"/>
      <c r="R3319" s="1"/>
      <c r="U3319" s="1"/>
    </row>
    <row r="3320" spans="15:21">
      <c r="O3320" s="1"/>
      <c r="R3320" s="1"/>
      <c r="U3320" s="1"/>
    </row>
    <row r="3321" spans="15:21">
      <c r="O3321" s="1"/>
      <c r="R3321" s="1"/>
      <c r="U3321" s="1"/>
    </row>
    <row r="3322" spans="15:21">
      <c r="O3322" s="1"/>
      <c r="R3322" s="1"/>
      <c r="U3322" s="1"/>
    </row>
    <row r="3323" spans="15:21">
      <c r="O3323" s="1"/>
      <c r="R3323" s="1"/>
      <c r="U3323" s="1"/>
    </row>
    <row r="3324" spans="15:21">
      <c r="O3324" s="1"/>
      <c r="R3324" s="1"/>
      <c r="U3324" s="1"/>
    </row>
    <row r="3325" spans="15:21">
      <c r="O3325" s="1"/>
      <c r="R3325" s="1"/>
      <c r="U3325" s="1"/>
    </row>
    <row r="3326" spans="15:21">
      <c r="O3326" s="1"/>
      <c r="R3326" s="1"/>
      <c r="U3326" s="1"/>
    </row>
    <row r="3327" spans="15:21">
      <c r="O3327" s="1"/>
      <c r="R3327" s="1"/>
      <c r="U3327" s="1"/>
    </row>
    <row r="3328" spans="15:21">
      <c r="O3328" s="1"/>
      <c r="R3328" s="1"/>
      <c r="U3328" s="1"/>
    </row>
    <row r="3329" spans="15:21">
      <c r="O3329" s="1"/>
      <c r="R3329" s="1"/>
      <c r="U3329" s="1"/>
    </row>
    <row r="3330" spans="15:21">
      <c r="O3330" s="1"/>
      <c r="R3330" s="1"/>
      <c r="U3330" s="1"/>
    </row>
    <row r="3331" spans="15:21">
      <c r="O3331" s="1"/>
      <c r="R3331" s="1"/>
      <c r="U3331" s="1"/>
    </row>
    <row r="3332" spans="15:21">
      <c r="O3332" s="1"/>
      <c r="R3332" s="1"/>
      <c r="U3332" s="1"/>
    </row>
    <row r="3333" spans="15:21">
      <c r="O3333" s="1"/>
      <c r="R3333" s="1"/>
      <c r="U3333" s="1"/>
    </row>
    <row r="3334" spans="15:21">
      <c r="O3334" s="1"/>
      <c r="R3334" s="1"/>
      <c r="U3334" s="1"/>
    </row>
    <row r="3335" spans="15:21">
      <c r="O3335" s="1"/>
      <c r="R3335" s="1"/>
      <c r="U3335" s="1"/>
    </row>
    <row r="3336" spans="15:21">
      <c r="O3336" s="1"/>
      <c r="R3336" s="1"/>
      <c r="U3336" s="1"/>
    </row>
    <row r="3337" spans="15:21">
      <c r="O3337" s="1"/>
      <c r="R3337" s="1"/>
      <c r="U3337" s="1"/>
    </row>
    <row r="3338" spans="15:21">
      <c r="O3338" s="1"/>
      <c r="R3338" s="1"/>
      <c r="U3338" s="1"/>
    </row>
    <row r="3339" spans="15:21">
      <c r="O3339" s="1"/>
      <c r="R3339" s="1"/>
      <c r="U3339" s="1"/>
    </row>
    <row r="3340" spans="15:21">
      <c r="O3340" s="1"/>
      <c r="R3340" s="1"/>
      <c r="U3340" s="1"/>
    </row>
    <row r="3341" spans="15:21">
      <c r="O3341" s="1"/>
      <c r="R3341" s="1"/>
      <c r="U3341" s="1"/>
    </row>
    <row r="3342" spans="15:21">
      <c r="O3342" s="1"/>
      <c r="R3342" s="1"/>
      <c r="U3342" s="1"/>
    </row>
    <row r="3343" spans="15:21">
      <c r="O3343" s="1"/>
      <c r="R3343" s="1"/>
      <c r="U3343" s="1"/>
    </row>
    <row r="3344" spans="15:21">
      <c r="O3344" s="1"/>
      <c r="R3344" s="1"/>
      <c r="U3344" s="1"/>
    </row>
    <row r="3345" spans="15:21">
      <c r="O3345" s="1"/>
      <c r="R3345" s="1"/>
      <c r="U3345" s="1"/>
    </row>
    <row r="3346" spans="15:21">
      <c r="O3346" s="1"/>
      <c r="R3346" s="1"/>
      <c r="U3346" s="1"/>
    </row>
    <row r="3347" spans="15:21">
      <c r="O3347" s="1"/>
      <c r="R3347" s="1"/>
      <c r="U3347" s="1"/>
    </row>
    <row r="3348" spans="15:21">
      <c r="O3348" s="1"/>
      <c r="R3348" s="1"/>
      <c r="U3348" s="1"/>
    </row>
    <row r="3349" spans="15:21">
      <c r="O3349" s="1"/>
      <c r="R3349" s="1"/>
      <c r="U3349" s="1"/>
    </row>
    <row r="3350" spans="15:21">
      <c r="O3350" s="1"/>
      <c r="R3350" s="1"/>
      <c r="U3350" s="1"/>
    </row>
    <row r="3351" spans="15:21">
      <c r="O3351" s="1"/>
      <c r="R3351" s="1"/>
      <c r="U3351" s="1"/>
    </row>
    <row r="3352" spans="15:21">
      <c r="O3352" s="1"/>
      <c r="R3352" s="1"/>
      <c r="U3352" s="1"/>
    </row>
    <row r="3353" spans="15:21">
      <c r="O3353" s="1"/>
      <c r="R3353" s="1"/>
      <c r="U3353" s="1"/>
    </row>
    <row r="3354" spans="15:21">
      <c r="O3354" s="1"/>
      <c r="R3354" s="1"/>
      <c r="U3354" s="1"/>
    </row>
    <row r="3355" spans="15:21">
      <c r="O3355" s="1"/>
      <c r="R3355" s="1"/>
      <c r="U3355" s="1"/>
    </row>
    <row r="3356" spans="15:21">
      <c r="O3356" s="1"/>
      <c r="R3356" s="1"/>
      <c r="U3356" s="1"/>
    </row>
    <row r="3357" spans="15:21">
      <c r="O3357" s="1"/>
      <c r="R3357" s="1"/>
      <c r="U3357" s="1"/>
    </row>
    <row r="3358" spans="15:21">
      <c r="O3358" s="1"/>
      <c r="R3358" s="1"/>
      <c r="U3358" s="1"/>
    </row>
    <row r="3359" spans="15:21">
      <c r="O3359" s="1"/>
      <c r="R3359" s="1"/>
      <c r="U3359" s="1"/>
    </row>
    <row r="3360" spans="15:21">
      <c r="O3360" s="1"/>
      <c r="R3360" s="1"/>
      <c r="U3360" s="1"/>
    </row>
    <row r="3361" spans="15:21">
      <c r="O3361" s="1"/>
      <c r="R3361" s="1"/>
      <c r="U3361" s="1"/>
    </row>
    <row r="3362" spans="15:21">
      <c r="O3362" s="1"/>
      <c r="R3362" s="1"/>
      <c r="U3362" s="1"/>
    </row>
    <row r="3363" spans="15:21">
      <c r="O3363" s="1"/>
      <c r="R3363" s="1"/>
      <c r="U3363" s="1"/>
    </row>
    <row r="3364" spans="15:21">
      <c r="O3364" s="1"/>
      <c r="R3364" s="1"/>
      <c r="U3364" s="1"/>
    </row>
    <row r="3365" spans="15:21">
      <c r="O3365" s="1"/>
      <c r="R3365" s="1"/>
      <c r="U3365" s="1"/>
    </row>
    <row r="3366" spans="15:21">
      <c r="O3366" s="1"/>
      <c r="R3366" s="1"/>
      <c r="U3366" s="1"/>
    </row>
    <row r="3367" spans="15:21">
      <c r="O3367" s="1"/>
      <c r="R3367" s="1"/>
      <c r="U3367" s="1"/>
    </row>
    <row r="3368" spans="15:21">
      <c r="O3368" s="1"/>
      <c r="R3368" s="1"/>
      <c r="U3368" s="1"/>
    </row>
    <row r="3369" spans="15:21">
      <c r="O3369" s="1"/>
      <c r="R3369" s="1"/>
      <c r="U3369" s="1"/>
    </row>
    <row r="3370" spans="15:21">
      <c r="O3370" s="1"/>
      <c r="R3370" s="1"/>
      <c r="U3370" s="1"/>
    </row>
    <row r="3371" spans="15:21">
      <c r="O3371" s="1"/>
      <c r="R3371" s="1"/>
      <c r="U3371" s="1"/>
    </row>
    <row r="3372" spans="15:21">
      <c r="O3372" s="1"/>
      <c r="R3372" s="1"/>
      <c r="U3372" s="1"/>
    </row>
    <row r="3373" spans="15:21">
      <c r="O3373" s="1"/>
      <c r="R3373" s="1"/>
      <c r="U3373" s="1"/>
    </row>
    <row r="3374" spans="15:21">
      <c r="O3374" s="1"/>
      <c r="R3374" s="1"/>
      <c r="U3374" s="1"/>
    </row>
    <row r="3375" spans="15:21">
      <c r="O3375" s="1"/>
      <c r="R3375" s="1"/>
      <c r="U3375" s="1"/>
    </row>
    <row r="3376" spans="15:21">
      <c r="O3376" s="1"/>
      <c r="R3376" s="1"/>
      <c r="U3376" s="1"/>
    </row>
    <row r="3377" spans="15:21">
      <c r="O3377" s="1"/>
      <c r="R3377" s="1"/>
      <c r="U3377" s="1"/>
    </row>
    <row r="3378" spans="15:21">
      <c r="O3378" s="1"/>
      <c r="R3378" s="1"/>
      <c r="U3378" s="1"/>
    </row>
    <row r="3379" spans="15:21">
      <c r="O3379" s="1"/>
      <c r="R3379" s="1"/>
      <c r="U3379" s="1"/>
    </row>
    <row r="3380" spans="15:21">
      <c r="O3380" s="1"/>
      <c r="R3380" s="1"/>
      <c r="U3380" s="1"/>
    </row>
    <row r="3381" spans="15:21">
      <c r="O3381" s="1"/>
      <c r="R3381" s="1"/>
      <c r="U3381" s="1"/>
    </row>
    <row r="3382" spans="15:21">
      <c r="O3382" s="1"/>
      <c r="R3382" s="1"/>
      <c r="U3382" s="1"/>
    </row>
    <row r="3383" spans="15:21">
      <c r="O3383" s="1"/>
      <c r="R3383" s="1"/>
      <c r="U3383" s="1"/>
    </row>
    <row r="3384" spans="15:21">
      <c r="O3384" s="1"/>
      <c r="R3384" s="1"/>
      <c r="U3384" s="1"/>
    </row>
    <row r="3385" spans="15:21">
      <c r="O3385" s="1"/>
      <c r="R3385" s="1"/>
      <c r="U3385" s="1"/>
    </row>
    <row r="3386" spans="15:21">
      <c r="O3386" s="1"/>
      <c r="R3386" s="1"/>
      <c r="U3386" s="1"/>
    </row>
    <row r="3387" spans="15:21">
      <c r="O3387" s="1"/>
      <c r="R3387" s="1"/>
      <c r="U3387" s="1"/>
    </row>
    <row r="3388" spans="15:21">
      <c r="O3388" s="1"/>
      <c r="R3388" s="1"/>
      <c r="U3388" s="1"/>
    </row>
    <row r="3389" spans="15:21">
      <c r="O3389" s="1"/>
      <c r="R3389" s="1"/>
      <c r="U3389" s="1"/>
    </row>
    <row r="3390" spans="15:21">
      <c r="O3390" s="1"/>
      <c r="R3390" s="1"/>
      <c r="U3390" s="1"/>
    </row>
    <row r="3391" spans="15:21">
      <c r="O3391" s="1"/>
      <c r="R3391" s="1"/>
      <c r="U3391" s="1"/>
    </row>
    <row r="3392" spans="15:21">
      <c r="O3392" s="1"/>
      <c r="R3392" s="1"/>
      <c r="U3392" s="1"/>
    </row>
    <row r="3393" spans="15:21">
      <c r="O3393" s="1"/>
      <c r="R3393" s="1"/>
      <c r="U3393" s="1"/>
    </row>
    <row r="3394" spans="15:21">
      <c r="O3394" s="1"/>
      <c r="R3394" s="1"/>
      <c r="U3394" s="1"/>
    </row>
    <row r="3395" spans="15:21">
      <c r="O3395" s="1"/>
      <c r="R3395" s="1"/>
      <c r="U3395" s="1"/>
    </row>
    <row r="3396" spans="15:21">
      <c r="O3396" s="1"/>
      <c r="R3396" s="1"/>
      <c r="U3396" s="1"/>
    </row>
    <row r="3397" spans="15:21">
      <c r="O3397" s="1"/>
      <c r="R3397" s="1"/>
      <c r="U3397" s="1"/>
    </row>
    <row r="3398" spans="15:21">
      <c r="O3398" s="1"/>
      <c r="R3398" s="1"/>
      <c r="U3398" s="1"/>
    </row>
    <row r="3399" spans="15:21">
      <c r="O3399" s="1"/>
      <c r="R3399" s="1"/>
      <c r="U3399" s="1"/>
    </row>
    <row r="3400" spans="15:21">
      <c r="O3400" s="1"/>
      <c r="R3400" s="1"/>
      <c r="U3400" s="1"/>
    </row>
    <row r="3401" spans="15:21">
      <c r="O3401" s="1"/>
      <c r="R3401" s="1"/>
      <c r="U3401" s="1"/>
    </row>
    <row r="3402" spans="15:21">
      <c r="O3402" s="1"/>
      <c r="R3402" s="1"/>
      <c r="U3402" s="1"/>
    </row>
    <row r="3403" spans="15:21">
      <c r="O3403" s="1"/>
      <c r="R3403" s="1"/>
      <c r="U3403" s="1"/>
    </row>
    <row r="3404" spans="15:21">
      <c r="O3404" s="1"/>
      <c r="R3404" s="1"/>
      <c r="U3404" s="1"/>
    </row>
    <row r="3405" spans="15:21">
      <c r="O3405" s="1"/>
      <c r="R3405" s="1"/>
      <c r="U3405" s="1"/>
    </row>
    <row r="3406" spans="15:21">
      <c r="O3406" s="1"/>
      <c r="R3406" s="1"/>
      <c r="U3406" s="1"/>
    </row>
    <row r="3407" spans="15:21">
      <c r="O3407" s="1"/>
      <c r="R3407" s="1"/>
      <c r="U3407" s="1"/>
    </row>
    <row r="3408" spans="15:21">
      <c r="O3408" s="1"/>
      <c r="R3408" s="1"/>
      <c r="U3408" s="1"/>
    </row>
    <row r="3409" spans="15:21">
      <c r="O3409" s="1"/>
      <c r="R3409" s="1"/>
      <c r="U3409" s="1"/>
    </row>
    <row r="3410" spans="15:21">
      <c r="O3410" s="1"/>
      <c r="R3410" s="1"/>
      <c r="U3410" s="1"/>
    </row>
    <row r="3411" spans="15:21">
      <c r="O3411" s="1"/>
      <c r="R3411" s="1"/>
      <c r="U3411" s="1"/>
    </row>
    <row r="3412" spans="15:21">
      <c r="O3412" s="1"/>
      <c r="R3412" s="1"/>
      <c r="U3412" s="1"/>
    </row>
    <row r="3413" spans="15:21">
      <c r="O3413" s="1"/>
      <c r="R3413" s="1"/>
      <c r="U3413" s="1"/>
    </row>
    <row r="3414" spans="15:21">
      <c r="O3414" s="1"/>
      <c r="R3414" s="1"/>
      <c r="U3414" s="1"/>
    </row>
    <row r="3415" spans="15:21">
      <c r="O3415" s="1"/>
      <c r="R3415" s="1"/>
      <c r="U3415" s="1"/>
    </row>
    <row r="3416" spans="15:21">
      <c r="O3416" s="1"/>
      <c r="R3416" s="1"/>
      <c r="U3416" s="1"/>
    </row>
    <row r="3417" spans="15:21">
      <c r="O3417" s="1"/>
      <c r="R3417" s="1"/>
      <c r="U3417" s="1"/>
    </row>
    <row r="3418" spans="15:21">
      <c r="O3418" s="1"/>
      <c r="R3418" s="1"/>
      <c r="U3418" s="1"/>
    </row>
    <row r="3419" spans="15:21">
      <c r="O3419" s="1"/>
      <c r="R3419" s="1"/>
      <c r="U3419" s="1"/>
    </row>
    <row r="3420" spans="15:21">
      <c r="O3420" s="1"/>
      <c r="R3420" s="1"/>
      <c r="U3420" s="1"/>
    </row>
    <row r="3421" spans="15:21">
      <c r="O3421" s="1"/>
      <c r="R3421" s="1"/>
      <c r="U3421" s="1"/>
    </row>
    <row r="3422" spans="15:21">
      <c r="O3422" s="1"/>
      <c r="R3422" s="1"/>
      <c r="U3422" s="1"/>
    </row>
    <row r="3423" spans="15:21">
      <c r="O3423" s="1"/>
      <c r="R3423" s="1"/>
      <c r="U3423" s="1"/>
    </row>
    <row r="3424" spans="15:21">
      <c r="O3424" s="1"/>
      <c r="R3424" s="1"/>
      <c r="U3424" s="1"/>
    </row>
    <row r="3425" spans="15:21">
      <c r="O3425" s="1"/>
      <c r="R3425" s="1"/>
      <c r="U3425" s="1"/>
    </row>
    <row r="3426" spans="15:21">
      <c r="O3426" s="1"/>
      <c r="R3426" s="1"/>
      <c r="U3426" s="1"/>
    </row>
    <row r="3427" spans="15:21">
      <c r="O3427" s="1"/>
      <c r="R3427" s="1"/>
      <c r="U3427" s="1"/>
    </row>
    <row r="3428" spans="15:21">
      <c r="O3428" s="1"/>
      <c r="R3428" s="1"/>
      <c r="U3428" s="1"/>
    </row>
    <row r="3429" spans="15:21">
      <c r="O3429" s="1"/>
      <c r="R3429" s="1"/>
      <c r="U3429" s="1"/>
    </row>
    <row r="3430" spans="15:21">
      <c r="O3430" s="1"/>
      <c r="R3430" s="1"/>
      <c r="U3430" s="1"/>
    </row>
    <row r="3431" spans="15:21">
      <c r="O3431" s="1"/>
      <c r="R3431" s="1"/>
      <c r="U3431" s="1"/>
    </row>
    <row r="3432" spans="15:21">
      <c r="O3432" s="1"/>
      <c r="R3432" s="1"/>
      <c r="U3432" s="1"/>
    </row>
    <row r="3433" spans="15:21">
      <c r="O3433" s="1"/>
      <c r="R3433" s="1"/>
      <c r="U3433" s="1"/>
    </row>
    <row r="3434" spans="15:21">
      <c r="O3434" s="1"/>
      <c r="R3434" s="1"/>
      <c r="U3434" s="1"/>
    </row>
    <row r="3435" spans="15:21">
      <c r="O3435" s="1"/>
      <c r="R3435" s="1"/>
      <c r="U3435" s="1"/>
    </row>
    <row r="3436" spans="15:21">
      <c r="O3436" s="1"/>
      <c r="R3436" s="1"/>
      <c r="U3436" s="1"/>
    </row>
    <row r="3437" spans="15:21">
      <c r="O3437" s="1"/>
      <c r="R3437" s="1"/>
      <c r="U3437" s="1"/>
    </row>
    <row r="3438" spans="15:21">
      <c r="O3438" s="1"/>
      <c r="R3438" s="1"/>
      <c r="U3438" s="1"/>
    </row>
    <row r="3439" spans="15:21">
      <c r="O3439" s="1"/>
      <c r="R3439" s="1"/>
      <c r="U3439" s="1"/>
    </row>
    <row r="3440" spans="15:21">
      <c r="O3440" s="1"/>
      <c r="R3440" s="1"/>
      <c r="U3440" s="1"/>
    </row>
    <row r="3441" spans="15:21">
      <c r="O3441" s="1"/>
      <c r="R3441" s="1"/>
      <c r="U3441" s="1"/>
    </row>
    <row r="3442" spans="15:21">
      <c r="O3442" s="1"/>
      <c r="R3442" s="1"/>
      <c r="U3442" s="1"/>
    </row>
    <row r="3443" spans="15:21">
      <c r="O3443" s="1"/>
      <c r="R3443" s="1"/>
      <c r="U3443" s="1"/>
    </row>
    <row r="3444" spans="15:21">
      <c r="O3444" s="1"/>
      <c r="R3444" s="1"/>
      <c r="U3444" s="1"/>
    </row>
    <row r="3445" spans="15:21">
      <c r="O3445" s="1"/>
      <c r="R3445" s="1"/>
      <c r="U3445" s="1"/>
    </row>
    <row r="3446" spans="15:21">
      <c r="O3446" s="1"/>
      <c r="R3446" s="1"/>
      <c r="U3446" s="1"/>
    </row>
    <row r="3447" spans="15:21">
      <c r="O3447" s="1"/>
      <c r="R3447" s="1"/>
      <c r="U3447" s="1"/>
    </row>
    <row r="3448" spans="15:21">
      <c r="O3448" s="1"/>
      <c r="R3448" s="1"/>
      <c r="U3448" s="1"/>
    </row>
    <row r="3449" spans="15:21">
      <c r="O3449" s="1"/>
      <c r="R3449" s="1"/>
      <c r="U3449" s="1"/>
    </row>
    <row r="3450" spans="15:21">
      <c r="O3450" s="1"/>
      <c r="R3450" s="1"/>
      <c r="U3450" s="1"/>
    </row>
    <row r="3451" spans="15:21">
      <c r="O3451" s="1"/>
      <c r="R3451" s="1"/>
      <c r="U3451" s="1"/>
    </row>
    <row r="3452" spans="15:21">
      <c r="O3452" s="1"/>
      <c r="R3452" s="1"/>
      <c r="U3452" s="1"/>
    </row>
    <row r="3453" spans="15:21">
      <c r="O3453" s="1"/>
      <c r="R3453" s="1"/>
      <c r="U3453" s="1"/>
    </row>
    <row r="3454" spans="15:21">
      <c r="O3454" s="1"/>
      <c r="R3454" s="1"/>
      <c r="U3454" s="1"/>
    </row>
    <row r="3455" spans="15:21">
      <c r="O3455" s="1"/>
      <c r="R3455" s="1"/>
      <c r="U3455" s="1"/>
    </row>
    <row r="3456" spans="15:21">
      <c r="O3456" s="1"/>
      <c r="R3456" s="1"/>
      <c r="U3456" s="1"/>
    </row>
    <row r="3457" spans="15:21">
      <c r="O3457" s="1"/>
      <c r="R3457" s="1"/>
      <c r="U3457" s="1"/>
    </row>
    <row r="3458" spans="15:21">
      <c r="O3458" s="1"/>
      <c r="R3458" s="1"/>
      <c r="U3458" s="1"/>
    </row>
    <row r="3459" spans="15:21">
      <c r="O3459" s="1"/>
      <c r="R3459" s="1"/>
      <c r="U3459" s="1"/>
    </row>
    <row r="3460" spans="15:21">
      <c r="O3460" s="1"/>
      <c r="R3460" s="1"/>
      <c r="U3460" s="1"/>
    </row>
    <row r="3461" spans="15:21">
      <c r="O3461" s="1"/>
      <c r="R3461" s="1"/>
      <c r="U3461" s="1"/>
    </row>
    <row r="3462" spans="15:21">
      <c r="O3462" s="1"/>
      <c r="R3462" s="1"/>
      <c r="U3462" s="1"/>
    </row>
    <row r="3463" spans="15:21">
      <c r="O3463" s="1"/>
      <c r="R3463" s="1"/>
      <c r="U3463" s="1"/>
    </row>
    <row r="3464" spans="15:21">
      <c r="O3464" s="1"/>
      <c r="R3464" s="1"/>
      <c r="U3464" s="1"/>
    </row>
    <row r="3465" spans="15:21">
      <c r="O3465" s="1"/>
      <c r="R3465" s="1"/>
      <c r="U3465" s="1"/>
    </row>
    <row r="3466" spans="15:21">
      <c r="O3466" s="1"/>
      <c r="R3466" s="1"/>
      <c r="U3466" s="1"/>
    </row>
    <row r="3467" spans="15:21">
      <c r="O3467" s="1"/>
      <c r="R3467" s="1"/>
      <c r="U3467" s="1"/>
    </row>
    <row r="3468" spans="15:21">
      <c r="O3468" s="1"/>
      <c r="R3468" s="1"/>
      <c r="U3468" s="1"/>
    </row>
    <row r="3469" spans="15:21">
      <c r="O3469" s="1"/>
      <c r="R3469" s="1"/>
      <c r="U3469" s="1"/>
    </row>
    <row r="3470" spans="15:21">
      <c r="O3470" s="1"/>
      <c r="R3470" s="1"/>
      <c r="U3470" s="1"/>
    </row>
    <row r="3471" spans="15:21">
      <c r="O3471" s="1"/>
      <c r="R3471" s="1"/>
      <c r="U3471" s="1"/>
    </row>
    <row r="3472" spans="15:21">
      <c r="O3472" s="1"/>
      <c r="R3472" s="1"/>
      <c r="U3472" s="1"/>
    </row>
    <row r="3473" spans="15:21">
      <c r="O3473" s="1"/>
      <c r="R3473" s="1"/>
      <c r="U3473" s="1"/>
    </row>
    <row r="3474" spans="15:21">
      <c r="O3474" s="1"/>
      <c r="R3474" s="1"/>
      <c r="U3474" s="1"/>
    </row>
    <row r="3475" spans="15:21">
      <c r="O3475" s="1"/>
      <c r="R3475" s="1"/>
      <c r="U3475" s="1"/>
    </row>
    <row r="3476" spans="15:21">
      <c r="O3476" s="1"/>
      <c r="R3476" s="1"/>
      <c r="U3476" s="1"/>
    </row>
    <row r="3477" spans="15:21">
      <c r="O3477" s="1"/>
      <c r="R3477" s="1"/>
      <c r="U3477" s="1"/>
    </row>
    <row r="3478" spans="15:21">
      <c r="O3478" s="1"/>
      <c r="R3478" s="1"/>
      <c r="U3478" s="1"/>
    </row>
    <row r="3479" spans="15:21">
      <c r="O3479" s="1"/>
      <c r="R3479" s="1"/>
      <c r="U3479" s="1"/>
    </row>
    <row r="3480" spans="15:21">
      <c r="O3480" s="1"/>
      <c r="R3480" s="1"/>
      <c r="U3480" s="1"/>
    </row>
    <row r="3481" spans="15:21">
      <c r="O3481" s="1"/>
      <c r="R3481" s="1"/>
      <c r="U3481" s="1"/>
    </row>
    <row r="3482" spans="15:21">
      <c r="O3482" s="1"/>
      <c r="R3482" s="1"/>
      <c r="U3482" s="1"/>
    </row>
    <row r="3483" spans="15:21">
      <c r="O3483" s="1"/>
      <c r="R3483" s="1"/>
      <c r="U3483" s="1"/>
    </row>
    <row r="3484" spans="15:21">
      <c r="O3484" s="1"/>
      <c r="R3484" s="1"/>
      <c r="U3484" s="1"/>
    </row>
    <row r="3485" spans="15:21">
      <c r="O3485" s="1"/>
      <c r="R3485" s="1"/>
      <c r="U3485" s="1"/>
    </row>
    <row r="3486" spans="15:21">
      <c r="O3486" s="1"/>
      <c r="R3486" s="1"/>
      <c r="U3486" s="1"/>
    </row>
    <row r="3487" spans="15:21">
      <c r="O3487" s="1"/>
      <c r="R3487" s="1"/>
      <c r="U3487" s="1"/>
    </row>
    <row r="3488" spans="15:21">
      <c r="O3488" s="1"/>
      <c r="R3488" s="1"/>
      <c r="U3488" s="1"/>
    </row>
    <row r="3489" spans="15:21">
      <c r="O3489" s="1"/>
      <c r="R3489" s="1"/>
      <c r="U3489" s="1"/>
    </row>
    <row r="3490" spans="15:21">
      <c r="O3490" s="1"/>
      <c r="R3490" s="1"/>
      <c r="U3490" s="1"/>
    </row>
    <row r="3491" spans="15:21">
      <c r="O3491" s="1"/>
      <c r="R3491" s="1"/>
      <c r="U3491" s="1"/>
    </row>
    <row r="3492" spans="15:21">
      <c r="O3492" s="1"/>
      <c r="R3492" s="1"/>
      <c r="U3492" s="1"/>
    </row>
    <row r="3493" spans="15:21">
      <c r="O3493" s="1"/>
      <c r="R3493" s="1"/>
      <c r="U3493" s="1"/>
    </row>
    <row r="3494" spans="15:21">
      <c r="O3494" s="1"/>
      <c r="R3494" s="1"/>
      <c r="U3494" s="1"/>
    </row>
    <row r="3495" spans="15:21">
      <c r="O3495" s="1"/>
      <c r="R3495" s="1"/>
      <c r="U3495" s="1"/>
    </row>
    <row r="3496" spans="15:21">
      <c r="O3496" s="1"/>
      <c r="R3496" s="1"/>
      <c r="U3496" s="1"/>
    </row>
    <row r="3497" spans="15:21">
      <c r="O3497" s="1"/>
      <c r="R3497" s="1"/>
      <c r="U3497" s="1"/>
    </row>
    <row r="3498" spans="15:21">
      <c r="O3498" s="1"/>
      <c r="R3498" s="1"/>
      <c r="U3498" s="1"/>
    </row>
    <row r="3499" spans="15:21">
      <c r="O3499" s="1"/>
      <c r="R3499" s="1"/>
      <c r="U3499" s="1"/>
    </row>
    <row r="3500" spans="15:21">
      <c r="O3500" s="1"/>
      <c r="R3500" s="1"/>
      <c r="U3500" s="1"/>
    </row>
    <row r="3501" spans="15:21">
      <c r="O3501" s="1"/>
      <c r="R3501" s="1"/>
      <c r="U3501" s="1"/>
    </row>
    <row r="3502" spans="15:21">
      <c r="O3502" s="1"/>
      <c r="R3502" s="1"/>
      <c r="U3502" s="1"/>
    </row>
    <row r="3503" spans="15:21">
      <c r="O3503" s="1"/>
      <c r="R3503" s="1"/>
      <c r="U3503" s="1"/>
    </row>
    <row r="3504" spans="15:21">
      <c r="O3504" s="1"/>
      <c r="R3504" s="1"/>
      <c r="U3504" s="1"/>
    </row>
    <row r="3505" spans="15:21">
      <c r="O3505" s="1"/>
      <c r="R3505" s="1"/>
      <c r="U3505" s="1"/>
    </row>
    <row r="3506" spans="15:21">
      <c r="O3506" s="1"/>
      <c r="R3506" s="1"/>
      <c r="U3506" s="1"/>
    </row>
    <row r="3507" spans="15:21">
      <c r="O3507" s="1"/>
      <c r="R3507" s="1"/>
      <c r="U3507" s="1"/>
    </row>
    <row r="3508" spans="15:21">
      <c r="O3508" s="1"/>
      <c r="R3508" s="1"/>
      <c r="U3508" s="1"/>
    </row>
    <row r="3509" spans="15:21">
      <c r="O3509" s="1"/>
      <c r="R3509" s="1"/>
      <c r="U3509" s="1"/>
    </row>
    <row r="3510" spans="15:21">
      <c r="O3510" s="1"/>
      <c r="R3510" s="1"/>
      <c r="U3510" s="1"/>
    </row>
    <row r="3511" spans="15:21">
      <c r="O3511" s="1"/>
      <c r="R3511" s="1"/>
      <c r="U3511" s="1"/>
    </row>
    <row r="3512" spans="15:21">
      <c r="O3512" s="1"/>
      <c r="R3512" s="1"/>
      <c r="U3512" s="1"/>
    </row>
    <row r="3513" spans="15:21">
      <c r="O3513" s="1"/>
      <c r="R3513" s="1"/>
      <c r="U3513" s="1"/>
    </row>
    <row r="3514" spans="15:21">
      <c r="O3514" s="1"/>
      <c r="R3514" s="1"/>
      <c r="U3514" s="1"/>
    </row>
    <row r="3515" spans="15:21">
      <c r="O3515" s="1"/>
      <c r="R3515" s="1"/>
      <c r="U3515" s="1"/>
    </row>
    <row r="3516" spans="15:21">
      <c r="O3516" s="1"/>
      <c r="R3516" s="1"/>
      <c r="U3516" s="1"/>
    </row>
    <row r="3517" spans="15:21">
      <c r="O3517" s="1"/>
      <c r="R3517" s="1"/>
      <c r="U3517" s="1"/>
    </row>
    <row r="3518" spans="15:21">
      <c r="O3518" s="1"/>
      <c r="R3518" s="1"/>
      <c r="U3518" s="1"/>
    </row>
    <row r="3519" spans="15:21">
      <c r="O3519" s="1"/>
      <c r="R3519" s="1"/>
      <c r="U3519" s="1"/>
    </row>
    <row r="3520" spans="15:21">
      <c r="O3520" s="1"/>
      <c r="R3520" s="1"/>
      <c r="U3520" s="1"/>
    </row>
    <row r="3521" spans="15:21">
      <c r="O3521" s="1"/>
      <c r="R3521" s="1"/>
      <c r="U3521" s="1"/>
    </row>
    <row r="3522" spans="15:21">
      <c r="O3522" s="1"/>
      <c r="R3522" s="1"/>
      <c r="U3522" s="1"/>
    </row>
    <row r="3523" spans="15:21">
      <c r="O3523" s="1"/>
      <c r="R3523" s="1"/>
      <c r="U3523" s="1"/>
    </row>
    <row r="3524" spans="15:21">
      <c r="O3524" s="1"/>
      <c r="R3524" s="1"/>
      <c r="U3524" s="1"/>
    </row>
    <row r="3525" spans="15:21">
      <c r="O3525" s="1"/>
      <c r="R3525" s="1"/>
      <c r="U3525" s="1"/>
    </row>
    <row r="3526" spans="15:21">
      <c r="O3526" s="1"/>
      <c r="R3526" s="1"/>
      <c r="U3526" s="1"/>
    </row>
    <row r="3527" spans="15:21">
      <c r="O3527" s="1"/>
      <c r="R3527" s="1"/>
      <c r="U3527" s="1"/>
    </row>
    <row r="3528" spans="15:21">
      <c r="O3528" s="1"/>
      <c r="R3528" s="1"/>
      <c r="U3528" s="1"/>
    </row>
    <row r="3529" spans="15:21">
      <c r="O3529" s="1"/>
      <c r="R3529" s="1"/>
      <c r="U3529" s="1"/>
    </row>
    <row r="3530" spans="15:21">
      <c r="O3530" s="1"/>
      <c r="R3530" s="1"/>
      <c r="U3530" s="1"/>
    </row>
    <row r="3531" spans="15:21">
      <c r="O3531" s="1"/>
      <c r="R3531" s="1"/>
      <c r="U3531" s="1"/>
    </row>
    <row r="3532" spans="15:21">
      <c r="O3532" s="1"/>
      <c r="R3532" s="1"/>
      <c r="U3532" s="1"/>
    </row>
    <row r="3533" spans="15:21">
      <c r="O3533" s="1"/>
      <c r="R3533" s="1"/>
      <c r="U3533" s="1"/>
    </row>
    <row r="3534" spans="15:21">
      <c r="O3534" s="1"/>
      <c r="R3534" s="1"/>
      <c r="U3534" s="1"/>
    </row>
    <row r="3535" spans="15:21">
      <c r="O3535" s="1"/>
      <c r="R3535" s="1"/>
      <c r="U3535" s="1"/>
    </row>
    <row r="3536" spans="15:21">
      <c r="O3536" s="1"/>
      <c r="R3536" s="1"/>
      <c r="U3536" s="1"/>
    </row>
    <row r="3537" spans="15:21">
      <c r="O3537" s="1"/>
      <c r="R3537" s="1"/>
      <c r="U3537" s="1"/>
    </row>
    <row r="3538" spans="15:21">
      <c r="O3538" s="1"/>
      <c r="R3538" s="1"/>
      <c r="U3538" s="1"/>
    </row>
    <row r="3539" spans="15:21">
      <c r="O3539" s="1"/>
      <c r="R3539" s="1"/>
      <c r="U3539" s="1"/>
    </row>
    <row r="3540" spans="15:21">
      <c r="O3540" s="1"/>
      <c r="R3540" s="1"/>
      <c r="U3540" s="1"/>
    </row>
    <row r="3541" spans="15:21">
      <c r="O3541" s="1"/>
      <c r="R3541" s="1"/>
      <c r="U3541" s="1"/>
    </row>
    <row r="3542" spans="15:21">
      <c r="O3542" s="1"/>
      <c r="R3542" s="1"/>
      <c r="U3542" s="1"/>
    </row>
    <row r="3543" spans="15:21">
      <c r="O3543" s="1"/>
      <c r="R3543" s="1"/>
      <c r="U3543" s="1"/>
    </row>
    <row r="3544" spans="15:21">
      <c r="O3544" s="1"/>
      <c r="R3544" s="1"/>
      <c r="U3544" s="1"/>
    </row>
    <row r="3545" spans="15:21">
      <c r="O3545" s="1"/>
      <c r="R3545" s="1"/>
      <c r="U3545" s="1"/>
    </row>
    <row r="3546" spans="15:21">
      <c r="O3546" s="1"/>
      <c r="R3546" s="1"/>
      <c r="U3546" s="1"/>
    </row>
    <row r="3547" spans="15:21">
      <c r="O3547" s="1"/>
      <c r="R3547" s="1"/>
      <c r="U3547" s="1"/>
    </row>
    <row r="3548" spans="15:21">
      <c r="O3548" s="1"/>
      <c r="R3548" s="1"/>
      <c r="U3548" s="1"/>
    </row>
    <row r="3549" spans="15:21">
      <c r="O3549" s="1"/>
      <c r="R3549" s="1"/>
      <c r="U3549" s="1"/>
    </row>
    <row r="3550" spans="15:21">
      <c r="O3550" s="1"/>
      <c r="R3550" s="1"/>
      <c r="U3550" s="1"/>
    </row>
    <row r="3551" spans="15:21">
      <c r="O3551" s="1"/>
      <c r="R3551" s="1"/>
      <c r="U3551" s="1"/>
    </row>
    <row r="3552" spans="15:21">
      <c r="O3552" s="1"/>
      <c r="R3552" s="1"/>
      <c r="U3552" s="1"/>
    </row>
    <row r="3553" spans="15:21">
      <c r="O3553" s="1"/>
      <c r="R3553" s="1"/>
      <c r="U3553" s="1"/>
    </row>
    <row r="3554" spans="15:21">
      <c r="O3554" s="1"/>
      <c r="R3554" s="1"/>
      <c r="U3554" s="1"/>
    </row>
    <row r="3555" spans="15:21">
      <c r="O3555" s="1"/>
      <c r="R3555" s="1"/>
      <c r="U3555" s="1"/>
    </row>
    <row r="3556" spans="15:21">
      <c r="O3556" s="1"/>
      <c r="R3556" s="1"/>
      <c r="U3556" s="1"/>
    </row>
    <row r="3557" spans="15:21">
      <c r="O3557" s="1"/>
      <c r="R3557" s="1"/>
      <c r="U3557" s="1"/>
    </row>
    <row r="3558" spans="15:21">
      <c r="O3558" s="1"/>
      <c r="R3558" s="1"/>
      <c r="U3558" s="1"/>
    </row>
    <row r="3559" spans="15:21">
      <c r="O3559" s="1"/>
      <c r="R3559" s="1"/>
      <c r="U3559" s="1"/>
    </row>
    <row r="3560" spans="15:21">
      <c r="O3560" s="1"/>
      <c r="R3560" s="1"/>
      <c r="U3560" s="1"/>
    </row>
    <row r="3561" spans="15:21">
      <c r="O3561" s="1"/>
      <c r="R3561" s="1"/>
      <c r="U3561" s="1"/>
    </row>
    <row r="3562" spans="15:21">
      <c r="O3562" s="1"/>
      <c r="R3562" s="1"/>
      <c r="U3562" s="1"/>
    </row>
    <row r="3563" spans="15:21">
      <c r="O3563" s="1"/>
      <c r="R3563" s="1"/>
      <c r="U3563" s="1"/>
    </row>
    <row r="3564" spans="15:21">
      <c r="O3564" s="1"/>
      <c r="R3564" s="1"/>
      <c r="U3564" s="1"/>
    </row>
    <row r="3565" spans="15:21">
      <c r="O3565" s="1"/>
      <c r="R3565" s="1"/>
      <c r="U3565" s="1"/>
    </row>
    <row r="3566" spans="15:21">
      <c r="O3566" s="1"/>
      <c r="R3566" s="1"/>
      <c r="U3566" s="1"/>
    </row>
    <row r="3567" spans="15:21">
      <c r="O3567" s="1"/>
      <c r="R3567" s="1"/>
      <c r="U3567" s="1"/>
    </row>
    <row r="3568" spans="15:21">
      <c r="O3568" s="1"/>
      <c r="R3568" s="1"/>
      <c r="U3568" s="1"/>
    </row>
    <row r="3569" spans="15:21">
      <c r="O3569" s="1"/>
      <c r="R3569" s="1"/>
      <c r="U3569" s="1"/>
    </row>
    <row r="3570" spans="15:21">
      <c r="O3570" s="1"/>
      <c r="R3570" s="1"/>
      <c r="U3570" s="1"/>
    </row>
    <row r="3571" spans="15:21">
      <c r="O3571" s="1"/>
      <c r="R3571" s="1"/>
      <c r="U3571" s="1"/>
    </row>
    <row r="3572" spans="15:21">
      <c r="O3572" s="1"/>
      <c r="R3572" s="1"/>
      <c r="U3572" s="1"/>
    </row>
    <row r="3573" spans="15:21">
      <c r="O3573" s="1"/>
      <c r="R3573" s="1"/>
      <c r="U3573" s="1"/>
    </row>
    <row r="3574" spans="15:21">
      <c r="O3574" s="1"/>
      <c r="R3574" s="1"/>
      <c r="U3574" s="1"/>
    </row>
    <row r="3575" spans="15:21">
      <c r="O3575" s="1"/>
      <c r="R3575" s="1"/>
      <c r="U3575" s="1"/>
    </row>
    <row r="3576" spans="15:21">
      <c r="O3576" s="1"/>
      <c r="R3576" s="1"/>
      <c r="U3576" s="1"/>
    </row>
    <row r="3577" spans="15:21">
      <c r="O3577" s="1"/>
      <c r="R3577" s="1"/>
      <c r="U3577" s="1"/>
    </row>
    <row r="3578" spans="15:21">
      <c r="O3578" s="1"/>
      <c r="R3578" s="1"/>
      <c r="U3578" s="1"/>
    </row>
    <row r="3579" spans="15:21">
      <c r="O3579" s="1"/>
      <c r="R3579" s="1"/>
      <c r="U3579" s="1"/>
    </row>
    <row r="3580" spans="15:21">
      <c r="O3580" s="1"/>
      <c r="R3580" s="1"/>
      <c r="U3580" s="1"/>
    </row>
    <row r="3581" spans="15:21">
      <c r="O3581" s="1"/>
      <c r="R3581" s="1"/>
      <c r="U3581" s="1"/>
    </row>
    <row r="3582" spans="15:21">
      <c r="O3582" s="1"/>
      <c r="R3582" s="1"/>
      <c r="U3582" s="1"/>
    </row>
    <row r="3583" spans="15:21">
      <c r="O3583" s="1"/>
      <c r="R3583" s="1"/>
      <c r="U3583" s="1"/>
    </row>
    <row r="3584" spans="15:21">
      <c r="O3584" s="1"/>
      <c r="R3584" s="1"/>
      <c r="U3584" s="1"/>
    </row>
    <row r="3585" spans="15:21">
      <c r="O3585" s="1"/>
      <c r="R3585" s="1"/>
      <c r="U3585" s="1"/>
    </row>
    <row r="3586" spans="15:21">
      <c r="O3586" s="1"/>
      <c r="R3586" s="1"/>
      <c r="U3586" s="1"/>
    </row>
    <row r="3587" spans="15:21">
      <c r="O3587" s="1"/>
      <c r="R3587" s="1"/>
      <c r="U3587" s="1"/>
    </row>
    <row r="3588" spans="15:21">
      <c r="O3588" s="1"/>
      <c r="R3588" s="1"/>
      <c r="U3588" s="1"/>
    </row>
    <row r="3589" spans="15:21">
      <c r="O3589" s="1"/>
      <c r="R3589" s="1"/>
      <c r="U3589" s="1"/>
    </row>
    <row r="3590" spans="15:21">
      <c r="O3590" s="1"/>
      <c r="R3590" s="1"/>
      <c r="U3590" s="1"/>
    </row>
    <row r="3591" spans="15:21">
      <c r="O3591" s="1"/>
      <c r="R3591" s="1"/>
      <c r="U3591" s="1"/>
    </row>
    <row r="3592" spans="15:21">
      <c r="O3592" s="1"/>
      <c r="R3592" s="1"/>
      <c r="U3592" s="1"/>
    </row>
    <row r="3593" spans="15:21">
      <c r="O3593" s="1"/>
      <c r="R3593" s="1"/>
      <c r="U3593" s="1"/>
    </row>
    <row r="3594" spans="15:21">
      <c r="O3594" s="1"/>
      <c r="R3594" s="1"/>
      <c r="U3594" s="1"/>
    </row>
    <row r="3595" spans="15:21">
      <c r="O3595" s="1"/>
      <c r="R3595" s="1"/>
      <c r="U3595" s="1"/>
    </row>
    <row r="3596" spans="15:21">
      <c r="O3596" s="1"/>
      <c r="R3596" s="1"/>
      <c r="U3596" s="1"/>
    </row>
    <row r="3597" spans="15:21">
      <c r="O3597" s="1"/>
      <c r="R3597" s="1"/>
      <c r="U3597" s="1"/>
    </row>
    <row r="3598" spans="15:21">
      <c r="O3598" s="1"/>
      <c r="R3598" s="1"/>
      <c r="U3598" s="1"/>
    </row>
    <row r="3599" spans="15:21">
      <c r="O3599" s="1"/>
      <c r="R3599" s="1"/>
      <c r="U3599" s="1"/>
    </row>
    <row r="3600" spans="15:21">
      <c r="O3600" s="1"/>
      <c r="R3600" s="1"/>
      <c r="U3600" s="1"/>
    </row>
    <row r="3601" spans="15:21">
      <c r="O3601" s="1"/>
      <c r="R3601" s="1"/>
      <c r="U3601" s="1"/>
    </row>
    <row r="3602" spans="15:21">
      <c r="O3602" s="1"/>
      <c r="R3602" s="1"/>
      <c r="U3602" s="1"/>
    </row>
    <row r="3603" spans="15:21">
      <c r="O3603" s="1"/>
      <c r="R3603" s="1"/>
      <c r="U3603" s="1"/>
    </row>
    <row r="3604" spans="15:21">
      <c r="O3604" s="1"/>
      <c r="R3604" s="1"/>
      <c r="U3604" s="1"/>
    </row>
    <row r="3605" spans="15:21">
      <c r="O3605" s="1"/>
      <c r="R3605" s="1"/>
      <c r="U3605" s="1"/>
    </row>
    <row r="3606" spans="15:21">
      <c r="O3606" s="1"/>
      <c r="R3606" s="1"/>
      <c r="U3606" s="1"/>
    </row>
    <row r="3607" spans="15:21">
      <c r="O3607" s="1"/>
      <c r="R3607" s="1"/>
      <c r="U3607" s="1"/>
    </row>
    <row r="3608" spans="15:21">
      <c r="O3608" s="1"/>
      <c r="R3608" s="1"/>
      <c r="U3608" s="1"/>
    </row>
    <row r="3609" spans="15:21">
      <c r="O3609" s="1"/>
      <c r="R3609" s="1"/>
      <c r="U3609" s="1"/>
    </row>
    <row r="3610" spans="15:21">
      <c r="O3610" s="1"/>
      <c r="R3610" s="1"/>
      <c r="U3610" s="1"/>
    </row>
    <row r="3611" spans="15:21">
      <c r="O3611" s="1"/>
      <c r="R3611" s="1"/>
      <c r="U3611" s="1"/>
    </row>
    <row r="3612" spans="15:21">
      <c r="O3612" s="1"/>
      <c r="R3612" s="1"/>
      <c r="U3612" s="1"/>
    </row>
    <row r="3613" spans="15:21">
      <c r="O3613" s="1"/>
      <c r="R3613" s="1"/>
      <c r="U3613" s="1"/>
    </row>
    <row r="3614" spans="15:21">
      <c r="O3614" s="1"/>
      <c r="R3614" s="1"/>
      <c r="U3614" s="1"/>
    </row>
    <row r="3615" spans="15:21">
      <c r="O3615" s="1"/>
      <c r="R3615" s="1"/>
      <c r="U3615" s="1"/>
    </row>
    <row r="3616" spans="15:21">
      <c r="O3616" s="1"/>
      <c r="R3616" s="1"/>
      <c r="U3616" s="1"/>
    </row>
    <row r="3617" spans="15:21">
      <c r="O3617" s="1"/>
      <c r="R3617" s="1"/>
      <c r="U3617" s="1"/>
    </row>
    <row r="3618" spans="15:21">
      <c r="O3618" s="1"/>
      <c r="R3618" s="1"/>
      <c r="U3618" s="1"/>
    </row>
    <row r="3619" spans="15:21">
      <c r="O3619" s="1"/>
      <c r="R3619" s="1"/>
      <c r="U3619" s="1"/>
    </row>
    <row r="3620" spans="15:21">
      <c r="O3620" s="1"/>
      <c r="R3620" s="1"/>
      <c r="U3620" s="1"/>
    </row>
    <row r="3621" spans="15:21">
      <c r="O3621" s="1"/>
      <c r="R3621" s="1"/>
      <c r="U3621" s="1"/>
    </row>
    <row r="3622" spans="15:21">
      <c r="O3622" s="1"/>
      <c r="R3622" s="1"/>
      <c r="U3622" s="1"/>
    </row>
    <row r="3623" spans="15:21">
      <c r="O3623" s="1"/>
      <c r="R3623" s="1"/>
      <c r="U3623" s="1"/>
    </row>
    <row r="3624" spans="15:21">
      <c r="O3624" s="1"/>
      <c r="R3624" s="1"/>
      <c r="U3624" s="1"/>
    </row>
    <row r="3625" spans="15:21">
      <c r="O3625" s="1"/>
      <c r="R3625" s="1"/>
      <c r="U3625" s="1"/>
    </row>
    <row r="3626" spans="15:21">
      <c r="O3626" s="1"/>
      <c r="R3626" s="1"/>
      <c r="U3626" s="1"/>
    </row>
    <row r="3627" spans="15:21">
      <c r="O3627" s="1"/>
      <c r="R3627" s="1"/>
      <c r="U3627" s="1"/>
    </row>
    <row r="3628" spans="15:21">
      <c r="O3628" s="1"/>
      <c r="R3628" s="1"/>
      <c r="U3628" s="1"/>
    </row>
    <row r="3629" spans="15:21">
      <c r="O3629" s="1"/>
      <c r="R3629" s="1"/>
      <c r="U3629" s="1"/>
    </row>
    <row r="3630" spans="15:21">
      <c r="O3630" s="1"/>
      <c r="R3630" s="1"/>
      <c r="U3630" s="1"/>
    </row>
    <row r="3631" spans="15:21">
      <c r="O3631" s="1"/>
      <c r="R3631" s="1"/>
      <c r="U3631" s="1"/>
    </row>
    <row r="3632" spans="15:21">
      <c r="O3632" s="1"/>
      <c r="R3632" s="1"/>
      <c r="U3632" s="1"/>
    </row>
    <row r="3633" spans="15:21">
      <c r="O3633" s="1"/>
      <c r="R3633" s="1"/>
      <c r="U3633" s="1"/>
    </row>
    <row r="3634" spans="15:21">
      <c r="O3634" s="1"/>
      <c r="R3634" s="1"/>
      <c r="U3634" s="1"/>
    </row>
    <row r="3635" spans="15:21">
      <c r="O3635" s="1"/>
      <c r="R3635" s="1"/>
      <c r="U3635" s="1"/>
    </row>
    <row r="3636" spans="15:21">
      <c r="O3636" s="1"/>
      <c r="R3636" s="1"/>
      <c r="U3636" s="1"/>
    </row>
    <row r="3637" spans="15:21">
      <c r="O3637" s="1"/>
      <c r="R3637" s="1"/>
      <c r="U3637" s="1"/>
    </row>
    <row r="3638" spans="15:21">
      <c r="O3638" s="1"/>
      <c r="R3638" s="1"/>
      <c r="U3638" s="1"/>
    </row>
    <row r="3639" spans="15:21">
      <c r="O3639" s="1"/>
      <c r="R3639" s="1"/>
      <c r="U3639" s="1"/>
    </row>
    <row r="3640" spans="15:21">
      <c r="O3640" s="1"/>
      <c r="R3640" s="1"/>
      <c r="U3640" s="1"/>
    </row>
    <row r="3641" spans="15:21">
      <c r="O3641" s="1"/>
      <c r="R3641" s="1"/>
      <c r="U3641" s="1"/>
    </row>
    <row r="3642" spans="15:21">
      <c r="O3642" s="1"/>
      <c r="R3642" s="1"/>
      <c r="U3642" s="1"/>
    </row>
    <row r="3643" spans="15:21">
      <c r="O3643" s="1"/>
      <c r="R3643" s="1"/>
      <c r="U3643" s="1"/>
    </row>
    <row r="3644" spans="15:21">
      <c r="O3644" s="1"/>
      <c r="R3644" s="1"/>
      <c r="U3644" s="1"/>
    </row>
    <row r="3645" spans="15:21">
      <c r="O3645" s="1"/>
      <c r="R3645" s="1"/>
      <c r="U3645" s="1"/>
    </row>
    <row r="3646" spans="15:21">
      <c r="O3646" s="1"/>
      <c r="R3646" s="1"/>
      <c r="U3646" s="1"/>
    </row>
    <row r="3647" spans="15:21">
      <c r="O3647" s="1"/>
      <c r="R3647" s="1"/>
      <c r="U3647" s="1"/>
    </row>
    <row r="3648" spans="15:21">
      <c r="O3648" s="1"/>
      <c r="R3648" s="1"/>
      <c r="U3648" s="1"/>
    </row>
    <row r="3649" spans="15:21">
      <c r="O3649" s="1"/>
      <c r="R3649" s="1"/>
      <c r="U3649" s="1"/>
    </row>
    <row r="3650" spans="15:21">
      <c r="O3650" s="1"/>
      <c r="R3650" s="1"/>
      <c r="U3650" s="1"/>
    </row>
    <row r="3651" spans="15:21">
      <c r="O3651" s="1"/>
      <c r="R3651" s="1"/>
      <c r="U3651" s="1"/>
    </row>
    <row r="3652" spans="15:21">
      <c r="O3652" s="1"/>
      <c r="R3652" s="1"/>
      <c r="U3652" s="1"/>
    </row>
    <row r="3653" spans="15:21">
      <c r="O3653" s="1"/>
      <c r="R3653" s="1"/>
      <c r="U3653" s="1"/>
    </row>
    <row r="3654" spans="15:21">
      <c r="O3654" s="1"/>
      <c r="R3654" s="1"/>
      <c r="U3654" s="1"/>
    </row>
    <row r="3655" spans="15:21">
      <c r="O3655" s="1"/>
      <c r="R3655" s="1"/>
      <c r="U3655" s="1"/>
    </row>
    <row r="3656" spans="15:21">
      <c r="O3656" s="1"/>
      <c r="R3656" s="1"/>
      <c r="U3656" s="1"/>
    </row>
    <row r="3657" spans="15:21">
      <c r="O3657" s="1"/>
      <c r="R3657" s="1"/>
      <c r="U3657" s="1"/>
    </row>
    <row r="3658" spans="15:21">
      <c r="O3658" s="1"/>
      <c r="R3658" s="1"/>
      <c r="U3658" s="1"/>
    </row>
    <row r="3659" spans="15:21">
      <c r="O3659" s="1"/>
      <c r="R3659" s="1"/>
      <c r="U3659" s="1"/>
    </row>
    <row r="3660" spans="15:21">
      <c r="O3660" s="1"/>
      <c r="R3660" s="1"/>
      <c r="U3660" s="1"/>
    </row>
    <row r="3661" spans="15:21">
      <c r="O3661" s="1"/>
      <c r="R3661" s="1"/>
      <c r="U3661" s="1"/>
    </row>
    <row r="3662" spans="15:21">
      <c r="O3662" s="1"/>
      <c r="R3662" s="1"/>
      <c r="U3662" s="1"/>
    </row>
    <row r="3663" spans="15:21">
      <c r="O3663" s="1"/>
      <c r="R3663" s="1"/>
      <c r="U3663" s="1"/>
    </row>
    <row r="3664" spans="15:21">
      <c r="O3664" s="1"/>
      <c r="R3664" s="1"/>
      <c r="U3664" s="1"/>
    </row>
    <row r="3665" spans="15:21">
      <c r="O3665" s="1"/>
      <c r="R3665" s="1"/>
      <c r="U3665" s="1"/>
    </row>
    <row r="3666" spans="15:21">
      <c r="O3666" s="1"/>
      <c r="R3666" s="1"/>
      <c r="U3666" s="1"/>
    </row>
    <row r="3667" spans="15:21">
      <c r="O3667" s="1"/>
      <c r="R3667" s="1"/>
      <c r="U3667" s="1"/>
    </row>
    <row r="3668" spans="15:21">
      <c r="O3668" s="1"/>
      <c r="R3668" s="1"/>
      <c r="U3668" s="1"/>
    </row>
    <row r="3669" spans="15:21">
      <c r="O3669" s="1"/>
      <c r="R3669" s="1"/>
      <c r="U3669" s="1"/>
    </row>
    <row r="3670" spans="15:21">
      <c r="O3670" s="1"/>
      <c r="R3670" s="1"/>
      <c r="U3670" s="1"/>
    </row>
    <row r="3671" spans="15:21">
      <c r="O3671" s="1"/>
      <c r="R3671" s="1"/>
      <c r="U3671" s="1"/>
    </row>
    <row r="3672" spans="15:21">
      <c r="O3672" s="1"/>
      <c r="R3672" s="1"/>
      <c r="U3672" s="1"/>
    </row>
    <row r="3673" spans="15:21">
      <c r="O3673" s="1"/>
      <c r="R3673" s="1"/>
      <c r="U3673" s="1"/>
    </row>
    <row r="3674" spans="15:21">
      <c r="O3674" s="1"/>
      <c r="R3674" s="1"/>
      <c r="U3674" s="1"/>
    </row>
    <row r="3675" spans="15:21">
      <c r="O3675" s="1"/>
      <c r="R3675" s="1"/>
      <c r="U3675" s="1"/>
    </row>
    <row r="3676" spans="15:21">
      <c r="O3676" s="1"/>
      <c r="R3676" s="1"/>
      <c r="U3676" s="1"/>
    </row>
    <row r="3677" spans="15:21">
      <c r="O3677" s="1"/>
      <c r="R3677" s="1"/>
      <c r="U3677" s="1"/>
    </row>
    <row r="3678" spans="15:21">
      <c r="O3678" s="1"/>
      <c r="R3678" s="1"/>
      <c r="U3678" s="1"/>
    </row>
    <row r="3679" spans="15:21">
      <c r="O3679" s="1"/>
      <c r="R3679" s="1"/>
      <c r="U3679" s="1"/>
    </row>
    <row r="3680" spans="15:21">
      <c r="O3680" s="1"/>
      <c r="R3680" s="1"/>
      <c r="U3680" s="1"/>
    </row>
    <row r="3681" spans="15:21">
      <c r="O3681" s="1"/>
      <c r="R3681" s="1"/>
      <c r="U3681" s="1"/>
    </row>
  </sheetData>
  <mergeCells count="5">
    <mergeCell ref="DB17:DC17"/>
    <mergeCell ref="D3:E3"/>
    <mergeCell ref="CQ17:CR17"/>
    <mergeCell ref="CT17:CU17"/>
    <mergeCell ref="CW17:CX17"/>
  </mergeCells>
  <phoneticPr fontId="0" type="noConversion"/>
  <dataValidations disablePrompts="1" count="1">
    <dataValidation allowBlank="1" showErrorMessage="1" errorTitle="Wrong Number of Periods" error="Number of Periods can't be less then 1!" sqref="CR2" xr:uid="{00000000-0002-0000-0100-000000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MData"/>
  <dimension ref="A3:AY94"/>
  <sheetViews>
    <sheetView workbookViewId="0">
      <selection activeCell="DF12" sqref="DF12:DF13"/>
    </sheetView>
  </sheetViews>
  <sheetFormatPr baseColWidth="10" defaultColWidth="9.109375" defaultRowHeight="14.4"/>
  <cols>
    <col min="1" max="1" width="23.44140625" style="2" bestFit="1" customWidth="1"/>
    <col min="2" max="2" width="24.44140625" style="2" bestFit="1" customWidth="1"/>
    <col min="3" max="3" width="17.5546875" style="2" customWidth="1"/>
    <col min="4" max="4" width="10.6640625" style="2" bestFit="1" customWidth="1"/>
    <col min="5" max="5" width="12.109375" style="2" customWidth="1"/>
    <col min="6" max="10" width="10.6640625" style="2" bestFit="1" customWidth="1"/>
    <col min="11" max="11" width="10.88671875" style="2" customWidth="1"/>
    <col min="12" max="12" width="11.109375" style="2" customWidth="1"/>
    <col min="13" max="13" width="10.6640625" style="2" bestFit="1" customWidth="1"/>
    <col min="14" max="14" width="9.6640625" style="2" bestFit="1" customWidth="1"/>
    <col min="15" max="15" width="10.6640625" style="2" bestFit="1" customWidth="1"/>
    <col min="16" max="16" width="10.44140625" style="2" customWidth="1"/>
    <col min="17" max="17" width="10.6640625" style="2" bestFit="1" customWidth="1"/>
    <col min="18" max="18" width="10.88671875" style="2" customWidth="1"/>
    <col min="19" max="19" width="10.44140625" style="2" customWidth="1"/>
    <col min="20" max="20" width="10.88671875" style="2" customWidth="1"/>
    <col min="21" max="22" width="10.6640625" style="2" bestFit="1" customWidth="1"/>
    <col min="23" max="24" width="9.6640625" style="2" bestFit="1" customWidth="1"/>
    <col min="25" max="25" width="10.6640625" style="2" bestFit="1" customWidth="1"/>
    <col min="26" max="28" width="9.6640625" style="2" bestFit="1" customWidth="1"/>
    <col min="29" max="29" width="10.6640625" style="2" bestFit="1" customWidth="1"/>
    <col min="30" max="32" width="9.6640625" style="2" bestFit="1" customWidth="1"/>
    <col min="33" max="33" width="10.6640625" style="2" bestFit="1" customWidth="1"/>
    <col min="34" max="36" width="9.6640625" style="2" bestFit="1" customWidth="1"/>
    <col min="37" max="37" width="10.6640625" style="2" bestFit="1" customWidth="1"/>
    <col min="38" max="40" width="9.6640625" style="2" bestFit="1" customWidth="1"/>
    <col min="41" max="16384" width="9.109375" style="2"/>
  </cols>
  <sheetData>
    <row r="3" spans="1:12">
      <c r="A3" s="18" t="s">
        <v>68</v>
      </c>
      <c r="B3" s="2" t="str">
        <f>BB_TICKER</f>
        <v>8TRA GY Equity</v>
      </c>
      <c r="J3" s="66" t="s">
        <v>387</v>
      </c>
      <c r="K3" s="66" t="e">
        <f ca="1">YEAR('Calc Data'!$AM$2)</f>
        <v>#NAME?</v>
      </c>
      <c r="L3" s="67" t="s">
        <v>388</v>
      </c>
    </row>
    <row r="4" spans="1:12">
      <c r="A4" s="18" t="s">
        <v>171</v>
      </c>
      <c r="B4" s="2" t="e">
        <f ca="1">_xll.BDP($B$3,"EQY_RECENT_QT_END")</f>
        <v>#NAME?</v>
      </c>
      <c r="C4" s="2" t="s">
        <v>172</v>
      </c>
      <c r="D4" s="2" t="e">
        <f ca="1">_xll.BDP($B$3,"BEST_CUR_FISCAL_YEAR_PERIOD")</f>
        <v>#NAME?</v>
      </c>
      <c r="J4" s="66"/>
      <c r="K4" s="66" t="str">
        <f ca="1">IFBBERROR(HLOOKUP("FY1" &amp;" "&amp;K3,'EM Data'!$B$11:$J$13,2,FALSE),"-")</f>
        <v>-</v>
      </c>
    </row>
    <row r="5" spans="1:12">
      <c r="A5" s="18" t="s">
        <v>173</v>
      </c>
      <c r="B5" s="2" t="e">
        <f ca="1">_xll.BDP(BB_TICKER,"EQY_RECENT_SEMI_END")</f>
        <v>#NAME?</v>
      </c>
      <c r="C5" s="2" t="s">
        <v>174</v>
      </c>
      <c r="D5" s="2" t="e">
        <f ca="1">_xll.BDP($B$3,"BEST_CUR_FISCAL_SEMI_YEAR_PERIOD")</f>
        <v>#NAME?</v>
      </c>
      <c r="E5" s="2" t="s">
        <v>175</v>
      </c>
      <c r="F5" s="2" t="e">
        <f ca="1">_xll.BDP($B$3,"BEST_CUR_FISCAL_QTR_PERIOD")</f>
        <v>#NAME?</v>
      </c>
    </row>
    <row r="6" spans="1:12">
      <c r="A6" s="18" t="s">
        <v>176</v>
      </c>
      <c r="B6" s="2" t="e">
        <f ca="1">IF(LEFT(RIGHT(B4,2),1)="Q","Q",IF(LEFT(RIGHT(B5,2),1)="S","S",""))</f>
        <v>#NAME?</v>
      </c>
    </row>
    <row r="7" spans="1:12" ht="6.75" customHeight="1"/>
    <row r="8" spans="1:12" ht="6.75" customHeight="1"/>
    <row r="9" spans="1:12" ht="6.75" customHeight="1"/>
    <row r="10" spans="1:12">
      <c r="A10" s="18" t="s">
        <v>177</v>
      </c>
      <c r="B10" s="3" t="e">
        <f ca="1">_xll.BDH($B$3,'Calc Data'!$AW$5,"-4fy","-0fy","Per=fy","Dir=H","DtFmt=B","Fill=-",BDH_OVERRIDES,BDH_OVERRIDES_DATA,"cols=5;rows=3")</f>
        <v>#NAME?</v>
      </c>
      <c r="C10" s="3">
        <v>44926</v>
      </c>
      <c r="D10" s="3">
        <v>45291</v>
      </c>
      <c r="E10" s="3">
        <v>45657</v>
      </c>
      <c r="F10" s="3">
        <v>46022</v>
      </c>
      <c r="G10" s="2" t="e">
        <f ca="1">_xll.BDP($B$3,"BEST_PERIOD_END_DATE","BEST_FPERIOD_OVERRIDE",'Calc Data'!AV78)</f>
        <v>#NAME?</v>
      </c>
      <c r="H10" s="2" t="e">
        <f ca="1">_xll.BDP($B$3,"BEST_PERIOD_END_DATE","BEST_FPERIOD_OVERRIDE",'Calc Data'!AW78)</f>
        <v>#NAME?</v>
      </c>
      <c r="I10" s="2" t="e">
        <f ca="1">_xll.BDP($B$3,"BEST_PERIOD_END_DATE","BEST_FPERIOD_OVERRIDE",'Calc Data'!AX78)</f>
        <v>#NAME?</v>
      </c>
      <c r="J10" s="2" t="e">
        <f ca="1">_xll.BDP($B$3,"BEST_PERIOD_END_DATE","BEST_FPERIOD_OVERRIDE",'Calc Data'!AY78)</f>
        <v>#NAME?</v>
      </c>
    </row>
    <row r="11" spans="1:12">
      <c r="B11" s="2" t="s">
        <v>621</v>
      </c>
      <c r="C11" s="2" t="s">
        <v>622</v>
      </c>
      <c r="D11" s="2" t="s">
        <v>623</v>
      </c>
      <c r="E11" s="2" t="s">
        <v>624</v>
      </c>
      <c r="F11" s="2" t="s">
        <v>625</v>
      </c>
      <c r="G11" s="2" t="e">
        <f ca="1">"FY1" &amp; " " &amp; YEAR(G10)</f>
        <v>#NAME?</v>
      </c>
      <c r="H11" s="2" t="e">
        <f ca="1">"FY1" &amp; " " &amp; YEAR(H10)</f>
        <v>#NAME?</v>
      </c>
      <c r="I11" s="2" t="e">
        <f ca="1">"FY1" &amp; " " &amp; YEAR(I10)</f>
        <v>#NAME?</v>
      </c>
      <c r="J11" s="2" t="e">
        <f ca="1">"FY1" &amp; " " &amp; YEAR(J10)</f>
        <v>#NAME?</v>
      </c>
    </row>
    <row r="12" spans="1:12">
      <c r="B12" s="2">
        <v>3123</v>
      </c>
      <c r="C12" s="2">
        <v>4546</v>
      </c>
      <c r="D12" s="2">
        <v>6624</v>
      </c>
      <c r="E12" s="2">
        <v>7184</v>
      </c>
      <c r="F12" s="2">
        <v>5573</v>
      </c>
      <c r="G12" s="2" t="e">
        <f ca="1">IF(LEFT(_xll.BDP($B$3,'Calc Data'!$AX$5,"BEST_FPERIOD_OVERRIDE",'Calc Data'!AV78,BDP_OVERRIDES,BDP_OVERRIDES_DATA),4)="#N/A","-",_xll.BDP($B$3,'Calc Data'!$AX$5,"BEST_FPERIOD_OVERRIDE",'Calc Data'!AV78,BDP_OVERRIDES,BDP_OVERRIDES_DATA))</f>
        <v>#NAME?</v>
      </c>
      <c r="H12" s="2" t="e">
        <f ca="1">IF(LEFT(_xll.BDP($B$3,'Calc Data'!$AX$5,"BEST_FPERIOD_OVERRIDE",'Calc Data'!AW78,BDP_OVERRIDES,BDP_OVERRIDES_DATA),4)="#N/A","-",_xll.BDP($B$3,'Calc Data'!$AX$5,"BEST_FPERIOD_OVERRIDE",'Calc Data'!AW78,BDP_OVERRIDES,BDP_OVERRIDES_DATA))</f>
        <v>#NAME?</v>
      </c>
      <c r="I12" s="2" t="e">
        <f ca="1">IF(LEFT(_xll.BDP($B$3,'Calc Data'!$AX$5,"BEST_FPERIOD_OVERRIDE",'Calc Data'!AX78,BEST_OVERRIDES, BEST_OVERRIDES_DATA
),4)="#N/A","-",_xll.BDP($B$3,'Calc Data'!$AX$5,"BEST_FPERIOD_OVERRIDE",'Calc Data'!AX78,BEST_OVERRIDES, BEST_OVERRIDES_DATA))</f>
        <v>#NAME?</v>
      </c>
      <c r="J12" s="2" t="e">
        <f ca="1">IF(LEFT(_xll.BDP($B$3,'Calc Data'!$AX$5,"BEST_FPERIOD_OVERRIDE",'Calc Data'!AY78,BDP_OVERRIDES,BDP_OVERRIDES_DATA),4)="#N/A","-",_xll.BDP($B$3,'Calc Data'!$AX$5,"BEST_FPERIOD_OVERRIDE",'Calc Data'!AY78,BDP_OVERRIDES,BDP_OVERRIDES_DATA))</f>
        <v>#NAME?</v>
      </c>
    </row>
    <row r="13" spans="1:12">
      <c r="G13" s="2" t="e">
        <f ca="1">_xll.BDP($B$3,"BEST_FISCAL_PERIOD_DT","BEST_FPERIOD_OVERRIDE",'Calc Data'!AV78)</f>
        <v>#NAME?</v>
      </c>
      <c r="H13" s="2" t="e">
        <f ca="1">_xll.BDP($B$3,"BEST_FISCAL_PERIOD_DT","BEST_FPERIOD_OVERRIDE",'Calc Data'!AW78)</f>
        <v>#NAME?</v>
      </c>
      <c r="I13" s="2" t="e">
        <f ca="1">_xll.BDP($B$3,"BEST_FISCAL_PERIOD_DT","BEST_FPERIOD_OVERRIDE",'Calc Data'!AX78)</f>
        <v>#NAME?</v>
      </c>
      <c r="J13" s="2" t="e">
        <f ca="1">_xll.BDP($B$3,"BEST_FISCAL_PERIOD_DT","BEST_FPERIOD_OVERRIDE",'Calc Data'!AY78)</f>
        <v>#NAME?</v>
      </c>
    </row>
    <row r="14" spans="1:12" ht="3.75" customHeight="1"/>
    <row r="15" spans="1:12" ht="3.75" customHeight="1"/>
    <row r="16" spans="1:12" ht="3.75" customHeight="1"/>
    <row r="17" spans="1:40">
      <c r="K17" s="2" t="e">
        <f t="shared" ref="K17:R17" ca="1" si="0">RIGHT(LEFT(K19,3),2)</f>
        <v>#NAME?</v>
      </c>
      <c r="L17" s="2" t="e">
        <f t="shared" ca="1" si="0"/>
        <v>#NAME?</v>
      </c>
      <c r="M17" s="2" t="e">
        <f t="shared" ca="1" si="0"/>
        <v>#NAME?</v>
      </c>
      <c r="N17" s="2" t="e">
        <f t="shared" ca="1" si="0"/>
        <v>#NAME?</v>
      </c>
      <c r="O17" s="2" t="e">
        <f t="shared" ca="1" si="0"/>
        <v>#NAME?</v>
      </c>
      <c r="P17" s="2" t="e">
        <f t="shared" ca="1" si="0"/>
        <v>#NAME?</v>
      </c>
      <c r="Q17" s="2" t="e">
        <f t="shared" ca="1" si="0"/>
        <v>#NAME?</v>
      </c>
      <c r="R17" s="2" t="e">
        <f t="shared" ca="1" si="0"/>
        <v>#NAME?</v>
      </c>
    </row>
    <row r="18" spans="1:40">
      <c r="A18" s="18" t="s">
        <v>178</v>
      </c>
      <c r="B18" s="3" t="e">
        <f ca="1">_xll.BDH($B$3,'Calc Data'!AW5,"-8fs","-0fs","Per=fs","Dir=H","DtFmt=B","Fill=-","cols=9;rows=3")</f>
        <v>#NAME?</v>
      </c>
      <c r="C18" s="3">
        <v>44742</v>
      </c>
      <c r="D18" s="3">
        <v>44926</v>
      </c>
      <c r="E18" s="3">
        <v>45107</v>
      </c>
      <c r="F18" s="3">
        <v>45291</v>
      </c>
      <c r="G18" s="3">
        <v>45473</v>
      </c>
      <c r="H18" s="3">
        <v>45657</v>
      </c>
      <c r="I18" s="3">
        <v>45838</v>
      </c>
      <c r="J18" s="3">
        <v>46022</v>
      </c>
      <c r="K18" s="2" t="e">
        <f ca="1">_xll.BDP($B$3,"BEST_PERIOD_END_DATE","BEST_FPERIOD_OVERRIDE",'Calc Data'!AV79)</f>
        <v>#NAME?</v>
      </c>
      <c r="L18" s="2" t="e">
        <f ca="1">_xll.BDP($B$3,"BEST_PERIOD_END_DATE","BEST_FPERIOD_OVERRIDE",'Calc Data'!AW79)</f>
        <v>#NAME?</v>
      </c>
      <c r="M18" s="2" t="e">
        <f ca="1">_xll.BDP($B$3,"BEST_PERIOD_END_DATE","BEST_FPERIOD_OVERRIDE",'Calc Data'!AX79)</f>
        <v>#NAME?</v>
      </c>
      <c r="N18" s="2" t="e">
        <f ca="1">_xll.BDP($B$3,"BEST_PERIOD_END_DATE","BEST_FPERIOD_OVERRIDE",'Calc Data'!AY79)</f>
        <v>#NAME?</v>
      </c>
      <c r="O18" s="2" t="e">
        <f ca="1">_xll.BDP($B$3,"BEST_PERIOD_END_DATE","BEST_FPERIOD_OVERRIDE",'Calc Data'!AZ79)</f>
        <v>#NAME?</v>
      </c>
      <c r="P18" s="2" t="e">
        <f ca="1">_xll.BDP($B$3,"BEST_PERIOD_END_DATE","BEST_FPERIOD_OVERRIDE",'Calc Data'!BA79)</f>
        <v>#NAME?</v>
      </c>
      <c r="Q18" s="2" t="e">
        <f ca="1">_xll.BDP($B$3,"BEST_PERIOD_END_DATE","BEST_FPERIOD_OVERRIDE",'Calc Data'!BB79)</f>
        <v>#NAME?</v>
      </c>
      <c r="R18" s="2" t="e">
        <f ca="1">_xll.BDP($B$3,"BEST_PERIOD_END_DATE","BEST_FPERIOD_OVERRIDE",'Calc Data'!BC79)</f>
        <v>#NAME?</v>
      </c>
    </row>
    <row r="19" spans="1:40">
      <c r="B19" s="2" t="s">
        <v>626</v>
      </c>
      <c r="C19" s="2" t="s">
        <v>627</v>
      </c>
      <c r="D19" s="2" t="s">
        <v>628</v>
      </c>
      <c r="E19" s="2" t="s">
        <v>629</v>
      </c>
      <c r="F19" s="2" t="s">
        <v>630</v>
      </c>
      <c r="G19" s="2" t="s">
        <v>631</v>
      </c>
      <c r="H19" s="2" t="s">
        <v>632</v>
      </c>
      <c r="I19" s="2" t="s">
        <v>633</v>
      </c>
      <c r="J19" s="2" t="s">
        <v>634</v>
      </c>
      <c r="K19" s="2" t="e">
        <f t="shared" ref="K19:R19" ca="1" si="1">"F" &amp; RIGHT(K21,2) &amp; " " &amp; YEAR(K18)+IF((LEFT(K21,2)&gt;LEFT($D$4,2)),1,0)</f>
        <v>#NAME?</v>
      </c>
      <c r="L19" s="2" t="e">
        <f t="shared" ca="1" si="1"/>
        <v>#NAME?</v>
      </c>
      <c r="M19" s="2" t="e">
        <f t="shared" ca="1" si="1"/>
        <v>#NAME?</v>
      </c>
      <c r="N19" s="2" t="e">
        <f t="shared" ca="1" si="1"/>
        <v>#NAME?</v>
      </c>
      <c r="O19" s="2" t="e">
        <f t="shared" ca="1" si="1"/>
        <v>#NAME?</v>
      </c>
      <c r="P19" s="2" t="e">
        <f t="shared" ca="1" si="1"/>
        <v>#NAME?</v>
      </c>
      <c r="Q19" s="2" t="e">
        <f t="shared" ca="1" si="1"/>
        <v>#NAME?</v>
      </c>
      <c r="R19" s="2" t="e">
        <f t="shared" ca="1" si="1"/>
        <v>#NAME?</v>
      </c>
      <c r="S19" s="2" t="e">
        <f>NA()</f>
        <v>#N/A</v>
      </c>
      <c r="T19" s="2" t="e">
        <f>NA()</f>
        <v>#N/A</v>
      </c>
      <c r="U19" s="2" t="e">
        <f>NA()</f>
        <v>#N/A</v>
      </c>
      <c r="V19" s="2" t="e">
        <f>NA()</f>
        <v>#N/A</v>
      </c>
      <c r="W19" s="2" t="e">
        <f>NA()</f>
        <v>#N/A</v>
      </c>
      <c r="X19" s="2" t="e">
        <f>NA()</f>
        <v>#N/A</v>
      </c>
      <c r="Y19" s="2" t="e">
        <f>NA()</f>
        <v>#N/A</v>
      </c>
      <c r="Z19" s="2" t="e">
        <f>NA()</f>
        <v>#N/A</v>
      </c>
      <c r="AA19" s="2" t="e">
        <f>NA()</f>
        <v>#N/A</v>
      </c>
      <c r="AB19" s="2" t="e">
        <f>NA()</f>
        <v>#N/A</v>
      </c>
      <c r="AC19" s="2" t="e">
        <f>NA()</f>
        <v>#N/A</v>
      </c>
      <c r="AD19" s="2" t="e">
        <f>NA()</f>
        <v>#N/A</v>
      </c>
      <c r="AE19" s="2" t="e">
        <f>NA()</f>
        <v>#N/A</v>
      </c>
      <c r="AF19" s="2" t="e">
        <f>NA()</f>
        <v>#N/A</v>
      </c>
      <c r="AG19" s="2" t="e">
        <f>NA()</f>
        <v>#N/A</v>
      </c>
      <c r="AH19" s="2" t="e">
        <f>NA()</f>
        <v>#N/A</v>
      </c>
      <c r="AI19" s="2" t="e">
        <f>NA()</f>
        <v>#N/A</v>
      </c>
      <c r="AJ19" s="2" t="e">
        <f>NA()</f>
        <v>#N/A</v>
      </c>
      <c r="AK19" s="2" t="e">
        <f>NA()</f>
        <v>#N/A</v>
      </c>
      <c r="AL19" s="2" t="e">
        <f>NA()</f>
        <v>#N/A</v>
      </c>
      <c r="AM19" s="2" t="e">
        <f>NA()</f>
        <v>#N/A</v>
      </c>
      <c r="AN19" s="2" t="e">
        <f>NA()</f>
        <v>#N/A</v>
      </c>
    </row>
    <row r="20" spans="1:40">
      <c r="B20" s="2">
        <v>1347</v>
      </c>
      <c r="C20" s="2">
        <v>2114</v>
      </c>
      <c r="D20" s="2">
        <v>2432</v>
      </c>
      <c r="E20" s="2">
        <v>3243</v>
      </c>
      <c r="F20" s="2">
        <v>3381</v>
      </c>
      <c r="G20" s="2">
        <v>3508</v>
      </c>
      <c r="H20" s="2">
        <v>3676</v>
      </c>
      <c r="I20" s="2">
        <v>2799</v>
      </c>
      <c r="J20" s="2">
        <v>2774</v>
      </c>
      <c r="K20" s="2" t="e">
        <f ca="1">IF(LEFT(_xll.BDP($B$3,'Calc Data'!$AX$5,"BEST_FPERIOD_OVERRIDE",'Calc Data'!AV79,BEST_OVERRIDES, BEST_OVERRIDES_DATA),4)="#N/A",NA(),_xll.BDP($B$3,'Calc Data'!$AX$5,"BEST_FPERIOD_OVERRIDE",'Calc Data'!AV79,BEST_OVERRIDES, BEST_OVERRIDES_DATA))</f>
        <v>#NAME?</v>
      </c>
      <c r="L20" s="2" t="e">
        <f ca="1">IF(LEFT(_xll.BDP($B$3,'Calc Data'!$AX$5,"BEST_FPERIOD_OVERRIDE",'Calc Data'!AW79,BEST_OVERRIDES, BEST_OVERRIDES_DATA),4)="#N/A",NA(),_xll.BDP($B$3,'Calc Data'!$AX$5,"BEST_FPERIOD_OVERRIDE",'Calc Data'!AW79,BEST_OVERRIDES, BEST_OVERRIDES_DATA))</f>
        <v>#NAME?</v>
      </c>
      <c r="M20" s="2" t="e">
        <f ca="1">IF(LEFT(_xll.BDP($B$3,'Calc Data'!$AX$5,"BEST_FPERIOD_OVERRIDE",'Calc Data'!AX79,BEST_OVERRIDES, BEST_OVERRIDES_DATA),4)="#N/A",NA(),_xll.BDP($B$3,'Calc Data'!$AX$5,"BEST_FPERIOD_OVERRIDE",'Calc Data'!AX79,BEST_OVERRIDES, BEST_OVERRIDES_DATA))</f>
        <v>#NAME?</v>
      </c>
      <c r="N20" s="2" t="e">
        <f ca="1">IF(LEFT(_xll.BDP($B$3,'Calc Data'!$AX$5,"BEST_FPERIOD_OVERRIDE",'Calc Data'!AY79,BEST_OVERRIDES, BEST_OVERRIDES_DATA),4)="#N/A",NA(),_xll.BDP($B$3,'Calc Data'!$AX$5,"BEST_FPERIOD_OVERRIDE",'Calc Data'!AY79,BEST_OVERRIDES, BEST_OVERRIDES_DATA))</f>
        <v>#NAME?</v>
      </c>
      <c r="O20" s="2" t="e">
        <f ca="1">IF(LEFT(_xll.BDP($B$3,'Calc Data'!$AX$5,"BEST_FPERIOD_OVERRIDE",'Calc Data'!AZ79,BEST_OVERRIDES, BEST_OVERRIDES_DATA),4)="#N/A",NA(),_xll.BDP($B$3,'Calc Data'!$AX$5,"BEST_FPERIOD_OVERRIDE",'Calc Data'!AZ79,BEST_OVERRIDES, BEST_OVERRIDES_DATA))</f>
        <v>#NAME?</v>
      </c>
      <c r="P20" s="2" t="e">
        <f ca="1">IF(LEFT(_xll.BDP($B$3,'Calc Data'!$AX$5,"BEST_FPERIOD_OVERRIDE",'Calc Data'!BA79,BEST_OVERRIDES, BEST_OVERRIDES_DATA),4)="#N/A",NA(),_xll.BDP($B$3,'Calc Data'!$AX$5,"BEST_FPERIOD_OVERRIDE",'Calc Data'!BA79,BEST_OVERRIDES, BEST_OVERRIDES_DATA))</f>
        <v>#NAME?</v>
      </c>
      <c r="Q20" s="2" t="e">
        <f ca="1">IF(LEFT(_xll.BDP($B$3,'Calc Data'!$AX$5,"BEST_FPERIOD_OVERRIDE",'Calc Data'!BB79,BEST_OVERRIDES, BEST_OVERRIDES_DATA),4)="#N/A",NA(),_xll.BDP($B$3,'Calc Data'!$AX$5,"BEST_FPERIOD_OVERRIDE",'Calc Data'!BB79,BEST_OVERRIDES, BEST_OVERRIDES_DATA))</f>
        <v>#NAME?</v>
      </c>
      <c r="R20" s="2" t="e">
        <f ca="1">IF(LEFT(_xll.BDP($B$3,'Calc Data'!$AX$5,"BEST_FPERIOD_OVERRIDE",'Calc Data'!BC79,BEST_OVERRIDES, BEST_OVERRIDES_DATA),4)="#N/A",NA(),_xll.BDP($B$3,'Calc Data'!$AX$5,"BEST_FPERIOD_OVERRIDE",'Calc Data'!BC79,BEST_OVERRIDES, BEST_OVERRIDES_DATA))</f>
        <v>#NAME?</v>
      </c>
      <c r="S20" s="2" t="e">
        <f>NA()</f>
        <v>#N/A</v>
      </c>
      <c r="T20" s="2" t="e">
        <f>NA()</f>
        <v>#N/A</v>
      </c>
      <c r="U20" s="2" t="e">
        <f>NA()</f>
        <v>#N/A</v>
      </c>
      <c r="V20" s="2" t="e">
        <f>NA()</f>
        <v>#N/A</v>
      </c>
      <c r="W20" s="2" t="e">
        <f>NA()</f>
        <v>#N/A</v>
      </c>
      <c r="X20" s="2" t="e">
        <f>NA()</f>
        <v>#N/A</v>
      </c>
      <c r="Y20" s="2" t="e">
        <f>NA()</f>
        <v>#N/A</v>
      </c>
      <c r="Z20" s="2" t="e">
        <f>NA()</f>
        <v>#N/A</v>
      </c>
      <c r="AA20" s="2" t="e">
        <f>NA()</f>
        <v>#N/A</v>
      </c>
      <c r="AB20" s="2" t="e">
        <f>NA()</f>
        <v>#N/A</v>
      </c>
      <c r="AC20" s="2" t="e">
        <f>NA()</f>
        <v>#N/A</v>
      </c>
      <c r="AD20" s="2" t="e">
        <f>NA()</f>
        <v>#N/A</v>
      </c>
      <c r="AE20" s="2" t="e">
        <f>NA()</f>
        <v>#N/A</v>
      </c>
      <c r="AF20" s="2" t="e">
        <f>NA()</f>
        <v>#N/A</v>
      </c>
      <c r="AG20" s="2" t="e">
        <f>NA()</f>
        <v>#N/A</v>
      </c>
      <c r="AH20" s="2" t="e">
        <f>NA()</f>
        <v>#N/A</v>
      </c>
      <c r="AI20" s="2" t="e">
        <f>NA()</f>
        <v>#N/A</v>
      </c>
      <c r="AJ20" s="2" t="e">
        <f>NA()</f>
        <v>#N/A</v>
      </c>
      <c r="AK20" s="2" t="e">
        <f>NA()</f>
        <v>#N/A</v>
      </c>
      <c r="AL20" s="2" t="e">
        <f>NA()</f>
        <v>#N/A</v>
      </c>
      <c r="AM20" s="2" t="e">
        <f>NA()</f>
        <v>#N/A</v>
      </c>
      <c r="AN20" s="2" t="e">
        <f>NA()</f>
        <v>#N/A</v>
      </c>
    </row>
    <row r="21" spans="1:40">
      <c r="K21" s="2" t="e">
        <f ca="1">_xll.BDP($B$3,"BEST_FISCAL_PERIOD_DT","BEST_FPERIOD_OVERRIDE",'Calc Data'!AV79)</f>
        <v>#NAME?</v>
      </c>
      <c r="L21" s="2" t="e">
        <f ca="1">_xll.BDP($B$3,"BEST_FISCAL_PERIOD_DT","BEST_FPERIOD_OVERRIDE",'Calc Data'!AW79)</f>
        <v>#NAME?</v>
      </c>
      <c r="M21" s="2" t="e">
        <f ca="1">_xll.BDP($B$3,"BEST_FISCAL_PERIOD_DT","BEST_FPERIOD_OVERRIDE",'Calc Data'!AX79)</f>
        <v>#NAME?</v>
      </c>
      <c r="N21" s="2" t="e">
        <f ca="1">_xll.BDP($B$3,"BEST_FISCAL_PERIOD_DT","BEST_FPERIOD_OVERRIDE",'Calc Data'!AY79)</f>
        <v>#NAME?</v>
      </c>
      <c r="O21" s="2" t="e">
        <f ca="1">_xll.BDP($B$3,"BEST_FISCAL_PERIOD_DT","BEST_FPERIOD_OVERRIDE",'Calc Data'!AZ79)</f>
        <v>#NAME?</v>
      </c>
      <c r="P21" s="2" t="e">
        <f ca="1">_xll.BDP($B$3,"BEST_FISCAL_PERIOD_DT","BEST_FPERIOD_OVERRIDE",'Calc Data'!BA79)</f>
        <v>#NAME?</v>
      </c>
      <c r="Q21" s="2" t="e">
        <f ca="1">_xll.BDP($B$3,"BEST_FISCAL_PERIOD_DT","BEST_FPERIOD_OVERRIDE",'Calc Data'!BB79)</f>
        <v>#NAME?</v>
      </c>
      <c r="R21" s="2" t="e">
        <f ca="1">_xll.BDP($B$3,"BEST_FISCAL_PERIOD_DT","BEST_FPERIOD_OVERRIDE",'Calc Data'!BC79)</f>
        <v>#NAME?</v>
      </c>
    </row>
    <row r="22" spans="1:40">
      <c r="J22" s="17"/>
    </row>
    <row r="23" spans="1:40" ht="4.5" customHeight="1">
      <c r="J23" s="17"/>
    </row>
    <row r="24" spans="1:40" ht="4.5" customHeight="1">
      <c r="J24" s="17"/>
    </row>
    <row r="25" spans="1:40">
      <c r="J25" s="17"/>
      <c r="W25" s="2" t="str">
        <f t="shared" ref="W25:AN25" si="2">RIGHT(LEFT(S27,3),2)</f>
        <v>Q2</v>
      </c>
      <c r="X25" s="2" t="str">
        <f t="shared" si="2"/>
        <v>Q3</v>
      </c>
      <c r="Y25" s="2" t="str">
        <f t="shared" si="2"/>
        <v>Q4</v>
      </c>
      <c r="Z25" s="2" t="str">
        <f t="shared" si="2"/>
        <v>Q1</v>
      </c>
      <c r="AA25" s="2" t="e">
        <f t="shared" ca="1" si="2"/>
        <v>#NAME?</v>
      </c>
      <c r="AB25" s="2" t="e">
        <f t="shared" ca="1" si="2"/>
        <v>#NAME?</v>
      </c>
      <c r="AC25" s="2" t="e">
        <f t="shared" ca="1" si="2"/>
        <v>#NAME?</v>
      </c>
      <c r="AD25" s="2" t="e">
        <f t="shared" ca="1" si="2"/>
        <v>#NAME?</v>
      </c>
      <c r="AE25" s="2" t="e">
        <f t="shared" ca="1" si="2"/>
        <v>#NAME?</v>
      </c>
      <c r="AF25" s="2" t="e">
        <f t="shared" ca="1" si="2"/>
        <v>#NAME?</v>
      </c>
      <c r="AG25" s="2" t="e">
        <f t="shared" ca="1" si="2"/>
        <v>#NAME?</v>
      </c>
      <c r="AH25" s="2" t="e">
        <f t="shared" ca="1" si="2"/>
        <v>#NAME?</v>
      </c>
      <c r="AI25" s="2" t="e">
        <f t="shared" ca="1" si="2"/>
        <v>#NAME?</v>
      </c>
      <c r="AJ25" s="2" t="e">
        <f t="shared" ca="1" si="2"/>
        <v>#NAME?</v>
      </c>
      <c r="AK25" s="2" t="e">
        <f t="shared" ca="1" si="2"/>
        <v>#NAME?</v>
      </c>
      <c r="AL25" s="2" t="e">
        <f t="shared" ca="1" si="2"/>
        <v>#NAME?</v>
      </c>
      <c r="AM25" s="2" t="e">
        <f t="shared" ca="1" si="2"/>
        <v>#NAME?</v>
      </c>
      <c r="AN25" s="2" t="e">
        <f t="shared" ca="1" si="2"/>
        <v>#NAME?</v>
      </c>
    </row>
    <row r="26" spans="1:40">
      <c r="A26" s="18" t="s">
        <v>179</v>
      </c>
      <c r="B26" s="3" t="e">
        <f ca="1">_xll.BDH($B$3,'Calc Data'!AW5,"-20fq","-0fq","Per=fq","Dir=H","DtFmt=B","Fill=-",BDH_OVERRIDES,BDH_OVERRIDES_DATA,"cols=21;rows=3")</f>
        <v>#NAME?</v>
      </c>
      <c r="C26" s="3">
        <v>44377</v>
      </c>
      <c r="D26" s="3">
        <v>44469</v>
      </c>
      <c r="E26" s="3">
        <v>44561</v>
      </c>
      <c r="F26" s="3">
        <v>44651</v>
      </c>
      <c r="G26" s="3">
        <v>44742</v>
      </c>
      <c r="H26" s="3">
        <v>44834</v>
      </c>
      <c r="I26" s="3">
        <v>44926</v>
      </c>
      <c r="J26" s="3">
        <v>45016</v>
      </c>
      <c r="K26" s="3">
        <v>45107</v>
      </c>
      <c r="L26" s="3">
        <v>45199</v>
      </c>
      <c r="M26" s="3">
        <v>45291</v>
      </c>
      <c r="N26" s="3">
        <v>45382</v>
      </c>
      <c r="O26" s="3">
        <v>45473</v>
      </c>
      <c r="P26" s="3">
        <v>45565</v>
      </c>
      <c r="Q26" s="3">
        <v>45657</v>
      </c>
      <c r="R26" s="3">
        <v>45747</v>
      </c>
      <c r="S26" s="3">
        <v>45838</v>
      </c>
      <c r="T26" s="3">
        <v>45930</v>
      </c>
      <c r="U26" s="3">
        <v>46022</v>
      </c>
      <c r="V26" s="3">
        <v>46112</v>
      </c>
      <c r="W26" s="2" t="e">
        <f ca="1">_xll.BDP($B$3,"BEST_PERIOD_END_DATE","BEST_FPERIOD_OVERRIDE",'Calc Data'!AV80)</f>
        <v>#NAME?</v>
      </c>
      <c r="X26" s="2" t="e">
        <f ca="1">_xll.BDP($B$3,"BEST_PERIOD_END_DATE","BEST_FPERIOD_OVERRIDE",'Calc Data'!AW80)</f>
        <v>#NAME?</v>
      </c>
      <c r="Y26" s="2" t="e">
        <f ca="1">_xll.BDP($B$3,"BEST_PERIOD_END_DATE","BEST_FPERIOD_OVERRIDE",'Calc Data'!AX80)</f>
        <v>#NAME?</v>
      </c>
      <c r="Z26" s="2" t="e">
        <f ca="1">_xll.BDP($B$3,"BEST_PERIOD_END_DATE","BEST_FPERIOD_OVERRIDE",'Calc Data'!AY80)</f>
        <v>#NAME?</v>
      </c>
      <c r="AA26" s="2" t="e">
        <f ca="1">_xll.BDP($B$3,"BEST_PERIOD_END_DATE","BEST_FPERIOD_OVERRIDE",'Calc Data'!AZ80)</f>
        <v>#NAME?</v>
      </c>
      <c r="AB26" s="2" t="e">
        <f ca="1">_xll.BDP($B$3,"BEST_PERIOD_END_DATE","BEST_FPERIOD_OVERRIDE",'Calc Data'!BA80)</f>
        <v>#NAME?</v>
      </c>
      <c r="AC26" s="2" t="e">
        <f ca="1">_xll.BDP($B$3,"BEST_PERIOD_END_DATE","BEST_FPERIOD_OVERRIDE",'Calc Data'!BB80)</f>
        <v>#NAME?</v>
      </c>
      <c r="AD26" s="2" t="e">
        <f ca="1">_xll.BDP($B$3,"BEST_PERIOD_END_DATE","BEST_FPERIOD_OVERRIDE",'Calc Data'!BC80)</f>
        <v>#NAME?</v>
      </c>
      <c r="AE26" s="2" t="e">
        <f ca="1">_xll.BDP($B$3,"BEST_PERIOD_END_DATE","BEST_FPERIOD_OVERRIDE",'Calc Data'!BD80)</f>
        <v>#NAME?</v>
      </c>
      <c r="AF26" s="2" t="e">
        <f ca="1">_xll.BDP($B$3,"BEST_PERIOD_END_DATE","BEST_FPERIOD_OVERRIDE",'Calc Data'!BE80)</f>
        <v>#NAME?</v>
      </c>
      <c r="AG26" s="2" t="e">
        <f ca="1">_xll.BDP($B$3,"BEST_PERIOD_END_DATE","BEST_FPERIOD_OVERRIDE",'Calc Data'!BF80)</f>
        <v>#NAME?</v>
      </c>
      <c r="AH26" s="2" t="e">
        <f ca="1">_xll.BDP($B$3,"BEST_PERIOD_END_DATE","BEST_FPERIOD_OVERRIDE",'Calc Data'!BG80)</f>
        <v>#NAME?</v>
      </c>
      <c r="AI26" s="2" t="e">
        <f ca="1">_xll.BDP($B$3,"BEST_PERIOD_END_DATE","BEST_FPERIOD_OVERRIDE",'Calc Data'!BH80)</f>
        <v>#NAME?</v>
      </c>
      <c r="AJ26" s="2" t="e">
        <f ca="1">_xll.BDP($B$3,"BEST_PERIOD_END_DATE","BEST_FPERIOD_OVERRIDE",'Calc Data'!BI80)</f>
        <v>#NAME?</v>
      </c>
      <c r="AK26" s="2" t="e">
        <f ca="1">_xll.BDP($B$3,"BEST_PERIOD_END_DATE","BEST_FPERIOD_OVERRIDE",'Calc Data'!BJ80)</f>
        <v>#NAME?</v>
      </c>
      <c r="AL26" s="2" t="e">
        <f ca="1">_xll.BDP($B$3,"BEST_PERIOD_END_DATE","BEST_FPERIOD_OVERRIDE",'Calc Data'!BK80)</f>
        <v>#NAME?</v>
      </c>
      <c r="AM26" s="2" t="e">
        <f ca="1">_xll.BDP($B$3,"BEST_PERIOD_END_DATE","BEST_FPERIOD_OVERRIDE",'Calc Data'!BL80)</f>
        <v>#NAME?</v>
      </c>
      <c r="AN26" s="2" t="e">
        <f ca="1">_xll.BDP($B$3,"BEST_PERIOD_END_DATE","BEST_FPERIOD_OVERRIDE",'Calc Data'!BM80)</f>
        <v>#NAME?</v>
      </c>
    </row>
    <row r="27" spans="1:40">
      <c r="B27" s="2" t="s">
        <v>635</v>
      </c>
      <c r="C27" s="2" t="s">
        <v>636</v>
      </c>
      <c r="D27" s="2" t="s">
        <v>637</v>
      </c>
      <c r="E27" s="2" t="s">
        <v>638</v>
      </c>
      <c r="F27" s="2" t="s">
        <v>639</v>
      </c>
      <c r="G27" s="2" t="s">
        <v>640</v>
      </c>
      <c r="H27" s="2" t="s">
        <v>641</v>
      </c>
      <c r="I27" s="2" t="s">
        <v>642</v>
      </c>
      <c r="J27" s="2" t="s">
        <v>643</v>
      </c>
      <c r="K27" s="2" t="s">
        <v>644</v>
      </c>
      <c r="L27" s="2" t="s">
        <v>645</v>
      </c>
      <c r="M27" s="2" t="s">
        <v>646</v>
      </c>
      <c r="N27" s="2" t="s">
        <v>647</v>
      </c>
      <c r="O27" s="2" t="s">
        <v>648</v>
      </c>
      <c r="P27" s="2" t="s">
        <v>649</v>
      </c>
      <c r="Q27" s="2" t="s">
        <v>650</v>
      </c>
      <c r="R27" s="2" t="s">
        <v>651</v>
      </c>
      <c r="S27" s="2" t="s">
        <v>652</v>
      </c>
      <c r="T27" s="2" t="s">
        <v>653</v>
      </c>
      <c r="U27" s="2" t="s">
        <v>654</v>
      </c>
      <c r="V27" s="2" t="s">
        <v>655</v>
      </c>
      <c r="W27" s="2" t="e">
        <f ca="1">"F" &amp; RIGHT(W29,2) &amp; " " &amp; YEAR(W26)+IF((LEFT(W29,2)&gt;LEFT($D$4,2)),1,0)</f>
        <v>#NAME?</v>
      </c>
      <c r="X27" s="2" t="e">
        <f t="shared" ref="X27:AN27" ca="1" si="3">"F" &amp; RIGHT(X29,2) &amp; " " &amp; YEAR(X26)+IF((LEFT(X29,2)&gt;LEFT($D$4,2)),1,0)</f>
        <v>#NAME?</v>
      </c>
      <c r="Y27" s="2" t="e">
        <f t="shared" ca="1" si="3"/>
        <v>#NAME?</v>
      </c>
      <c r="Z27" s="2" t="e">
        <f t="shared" ca="1" si="3"/>
        <v>#NAME?</v>
      </c>
      <c r="AA27" s="2" t="e">
        <f t="shared" ca="1" si="3"/>
        <v>#NAME?</v>
      </c>
      <c r="AB27" s="2" t="e">
        <f t="shared" ca="1" si="3"/>
        <v>#NAME?</v>
      </c>
      <c r="AC27" s="2" t="e">
        <f t="shared" ca="1" si="3"/>
        <v>#NAME?</v>
      </c>
      <c r="AD27" s="2" t="e">
        <f t="shared" ca="1" si="3"/>
        <v>#NAME?</v>
      </c>
      <c r="AE27" s="2" t="e">
        <f t="shared" ca="1" si="3"/>
        <v>#NAME?</v>
      </c>
      <c r="AF27" s="2" t="e">
        <f t="shared" ca="1" si="3"/>
        <v>#NAME?</v>
      </c>
      <c r="AG27" s="2" t="e">
        <f t="shared" ca="1" si="3"/>
        <v>#NAME?</v>
      </c>
      <c r="AH27" s="2" t="e">
        <f t="shared" ca="1" si="3"/>
        <v>#NAME?</v>
      </c>
      <c r="AI27" s="2" t="e">
        <f t="shared" ca="1" si="3"/>
        <v>#NAME?</v>
      </c>
      <c r="AJ27" s="2" t="e">
        <f t="shared" ca="1" si="3"/>
        <v>#NAME?</v>
      </c>
      <c r="AK27" s="2" t="e">
        <f t="shared" ca="1" si="3"/>
        <v>#NAME?</v>
      </c>
      <c r="AL27" s="2" t="e">
        <f t="shared" ca="1" si="3"/>
        <v>#NAME?</v>
      </c>
      <c r="AM27" s="2" t="e">
        <f t="shared" ca="1" si="3"/>
        <v>#NAME?</v>
      </c>
      <c r="AN27" s="2" t="e">
        <f t="shared" ca="1" si="3"/>
        <v>#NAME?</v>
      </c>
    </row>
    <row r="28" spans="1:40">
      <c r="B28" s="2">
        <v>736</v>
      </c>
      <c r="C28" s="2">
        <v>1040</v>
      </c>
      <c r="D28" s="2">
        <v>873</v>
      </c>
      <c r="E28" s="2">
        <v>474</v>
      </c>
      <c r="F28" s="2">
        <v>1059</v>
      </c>
      <c r="G28" s="2">
        <v>1055</v>
      </c>
      <c r="H28" s="2">
        <v>719</v>
      </c>
      <c r="I28" s="2">
        <v>1713</v>
      </c>
      <c r="J28" s="2">
        <v>1531</v>
      </c>
      <c r="K28" s="2">
        <v>1712</v>
      </c>
      <c r="L28" s="2">
        <v>1599</v>
      </c>
      <c r="M28" s="2">
        <v>1782</v>
      </c>
      <c r="N28" s="2">
        <v>1756</v>
      </c>
      <c r="O28" s="2">
        <v>1752</v>
      </c>
      <c r="P28" s="2">
        <v>1767</v>
      </c>
      <c r="Q28" s="2">
        <v>1909</v>
      </c>
      <c r="R28" s="2">
        <v>1391</v>
      </c>
      <c r="S28" s="2">
        <v>1408</v>
      </c>
      <c r="T28" s="2">
        <v>1339</v>
      </c>
      <c r="U28" s="2">
        <v>1435</v>
      </c>
      <c r="V28" s="2">
        <v>994</v>
      </c>
      <c r="W28" s="2" t="e">
        <f ca="1">IF(LEFT(_xll.BDP($B$3,'Calc Data'!$AX$5,"BEST_FPERIOD_OVERRIDE",'Calc Data'!AV80,BDP_OVERRIDES,BDP_OVERRIDES_DATA),4)="#N/A",NA(),_xll.BDP($B$3,'Calc Data'!$AX$5,"BEST_FPERIOD_OVERRIDE",'Calc Data'!AV80,BDP_OVERRIDES,BDP_OVERRIDES_DATA))</f>
        <v>#NAME?</v>
      </c>
      <c r="X28" s="2" t="e">
        <f ca="1">IF(LEFT(_xll.BDP($B$3,'Calc Data'!$AX$5,"BEST_FPERIOD_OVERRIDE",'Calc Data'!AW80,BDP_OVERRIDES,BDP_OVERRIDES_DATA),4)="#N/A",NA(),_xll.BDP($B$3,'Calc Data'!$AX$5,"BEST_FPERIOD_OVERRIDE",'Calc Data'!AW80,BDP_OVERRIDES,BDP_OVERRIDES_DATA))</f>
        <v>#NAME?</v>
      </c>
      <c r="Y28" s="2" t="e">
        <f ca="1">IF(LEFT(_xll.BDP($B$3,'Calc Data'!$AX$5,"BEST_FPERIOD_OVERRIDE",'Calc Data'!AX80,BDP_OVERRIDES,BDP_OVERRIDES_DATA),4)="#N/A",NA(),_xll.BDP($B$3,'Calc Data'!$AX$5,"BEST_FPERIOD_OVERRIDE",'Calc Data'!AX80,BDP_OVERRIDES,BDP_OVERRIDES_DATA))</f>
        <v>#NAME?</v>
      </c>
      <c r="Z28" s="2" t="e">
        <f ca="1">IF(LEFT(_xll.BDP($B$3,'Calc Data'!$AX$5,"BEST_FPERIOD_OVERRIDE",'Calc Data'!AY80,BDP_OVERRIDES,BDP_OVERRIDES_DATA),4)="#N/A",NA(),_xll.BDP($B$3,'Calc Data'!$AX$5,"BEST_FPERIOD_OVERRIDE",'Calc Data'!AY80,BDP_OVERRIDES,BDP_OVERRIDES_DATA))</f>
        <v>#NAME?</v>
      </c>
      <c r="AA28" s="2" t="e">
        <f ca="1">IF(LEFT(_xll.BDP($B$3,'Calc Data'!$AX$5,"BEST_FPERIOD_OVERRIDE",'Calc Data'!AZ80,BDP_OVERRIDES,BDP_OVERRIDES_DATA),4)="#N/A",NA(),_xll.BDP($B$3,'Calc Data'!$AX$5,"BEST_FPERIOD_OVERRIDE",'Calc Data'!AZ80,BDP_OVERRIDES,BDP_OVERRIDES_DATA))</f>
        <v>#NAME?</v>
      </c>
      <c r="AB28" s="2" t="e">
        <f ca="1">IF(LEFT(_xll.BDP($B$3,'Calc Data'!$AX$5,"BEST_FPERIOD_OVERRIDE",'Calc Data'!BA80,BDP_OVERRIDES,BDP_OVERRIDES_DATA),4)="#N/A",NA(),_xll.BDP($B$3,'Calc Data'!$AX$5,"BEST_FPERIOD_OVERRIDE",'Calc Data'!BA80,BDP_OVERRIDES,BDP_OVERRIDES_DATA))</f>
        <v>#NAME?</v>
      </c>
      <c r="AC28" s="2" t="e">
        <f ca="1">IF(LEFT(_xll.BDP($B$3,'Calc Data'!$AX$5,"BEST_FPERIOD_OVERRIDE",'Calc Data'!BB80,BDP_OVERRIDES,BDP_OVERRIDES_DATA),4)="#N/A",NA(),_xll.BDP($B$3,'Calc Data'!$AX$5,"BEST_FPERIOD_OVERRIDE",'Calc Data'!BB80,BDP_OVERRIDES,BDP_OVERRIDES_DATA))</f>
        <v>#NAME?</v>
      </c>
      <c r="AD28" s="2" t="e">
        <f ca="1">IF(LEFT(_xll.BDP($B$3,'Calc Data'!$AX$5,"BEST_FPERIOD_OVERRIDE",'Calc Data'!BC80,BDP_OVERRIDES,BDP_OVERRIDES_DATA),4)="#N/A",NA(),_xll.BDP($B$3,'Calc Data'!$AX$5,"BEST_FPERIOD_OVERRIDE",'Calc Data'!BC80,BDP_OVERRIDES,BDP_OVERRIDES_DATA))</f>
        <v>#NAME?</v>
      </c>
      <c r="AE28" s="2" t="e">
        <f ca="1">IF(LEFT(_xll.BDP($B$3,'Calc Data'!$AX$5,"BEST_FPERIOD_OVERRIDE",'Calc Data'!BD80,BDP_OVERRIDES,BDP_OVERRIDES_DATA),4)="#N/A",NA(),_xll.BDP($B$3,'Calc Data'!$AX$5,"BEST_FPERIOD_OVERRIDE",'Calc Data'!BD80,BDP_OVERRIDES,BDP_OVERRIDES_DATA))</f>
        <v>#NAME?</v>
      </c>
      <c r="AF28" s="2" t="e">
        <f ca="1">IF(LEFT(_xll.BDP($B$3,'Calc Data'!$AX$5,"BEST_FPERIOD_OVERRIDE",'Calc Data'!BE80,BDP_OVERRIDES,BDP_OVERRIDES_DATA),4)="#N/A",NA(),_xll.BDP($B$3,'Calc Data'!$AX$5,"BEST_FPERIOD_OVERRIDE",'Calc Data'!BE80,BDP_OVERRIDES,BDP_OVERRIDES_DATA))</f>
        <v>#NAME?</v>
      </c>
      <c r="AG28" s="2" t="e">
        <f ca="1">IF(LEFT(_xll.BDP($B$3,'Calc Data'!$AX$5,"BEST_FPERIOD_OVERRIDE",'Calc Data'!BF80,BDP_OVERRIDES,BDP_OVERRIDES_DATA),4)="#N/A",NA(),_xll.BDP($B$3,'Calc Data'!$AX$5,"BEST_FPERIOD_OVERRIDE",'Calc Data'!BF80,BDP_OVERRIDES,BDP_OVERRIDES_DATA))</f>
        <v>#NAME?</v>
      </c>
      <c r="AH28" s="2" t="e">
        <f ca="1">IF(LEFT(_xll.BDP($B$3,'Calc Data'!$AX$5,"BEST_FPERIOD_OVERRIDE",'Calc Data'!BG80,BDP_OVERRIDES,BDP_OVERRIDES_DATA),4)="#N/A",NA(),_xll.BDP($B$3,'Calc Data'!$AX$5,"BEST_FPERIOD_OVERRIDE",'Calc Data'!BG80,BDP_OVERRIDES,BDP_OVERRIDES_DATA))</f>
        <v>#NAME?</v>
      </c>
      <c r="AI28" s="2" t="e">
        <f ca="1">IF(LEFT(_xll.BDP($B$3,'Calc Data'!$AX$5,"BEST_FPERIOD_OVERRIDE",'Calc Data'!BH80,BDP_OVERRIDES,BDP_OVERRIDES_DATA),4)="#N/A",NA(),_xll.BDP($B$3,'Calc Data'!$AX$5,"BEST_FPERIOD_OVERRIDE",'Calc Data'!BH80,BDP_OVERRIDES,BDP_OVERRIDES_DATA))</f>
        <v>#NAME?</v>
      </c>
      <c r="AJ28" s="2" t="e">
        <f ca="1">IF(LEFT(_xll.BDP($B$3,'Calc Data'!$AX$5,"BEST_FPERIOD_OVERRIDE",'Calc Data'!BI80,BDP_OVERRIDES,BDP_OVERRIDES_DATA),4)="#N/A",NA(),_xll.BDP($B$3,'Calc Data'!$AX$5,"BEST_FPERIOD_OVERRIDE",'Calc Data'!BI80,BDP_OVERRIDES,BDP_OVERRIDES_DATA))</f>
        <v>#NAME?</v>
      </c>
      <c r="AK28" s="2" t="e">
        <f ca="1">IF(LEFT(_xll.BDP($B$3,'Calc Data'!$AX$5,"BEST_FPERIOD_OVERRIDE",'Calc Data'!BJ80,BDP_OVERRIDES,BDP_OVERRIDES_DATA),4)="#N/A",NA(),_xll.BDP($B$3,'Calc Data'!$AX$5,"BEST_FPERIOD_OVERRIDE",'Calc Data'!BJ80,BDP_OVERRIDES,BDP_OVERRIDES_DATA))</f>
        <v>#NAME?</v>
      </c>
      <c r="AL28" s="2" t="e">
        <f ca="1">IF(LEFT(_xll.BDP($B$3,'Calc Data'!$AX$5,"BEST_FPERIOD_OVERRIDE",'Calc Data'!BK80,BDP_OVERRIDES,BDP_OVERRIDES_DATA),4)="#N/A",NA(),_xll.BDP($B$3,'Calc Data'!$AX$5,"BEST_FPERIOD_OVERRIDE",'Calc Data'!BK80,BDP_OVERRIDES,BDP_OVERRIDES_DATA))</f>
        <v>#NAME?</v>
      </c>
      <c r="AM28" s="2" t="e">
        <f ca="1">IF(LEFT(_xll.BDP($B$3,'Calc Data'!$AX$5,"BEST_FPERIOD_OVERRIDE",'Calc Data'!BL80,BDP_OVERRIDES,BDP_OVERRIDES_DATA),4)="#N/A",NA(),_xll.BDP($B$3,'Calc Data'!$AX$5,"BEST_FPERIOD_OVERRIDE",'Calc Data'!BL80,BDP_OVERRIDES,BDP_OVERRIDES_DATA))</f>
        <v>#NAME?</v>
      </c>
      <c r="AN28" s="2" t="e">
        <f ca="1">IF(LEFT(_xll.BDP($B$3,'Calc Data'!$AX$5,"BEST_FPERIOD_OVERRIDE",'Calc Data'!BM80,BDP_OVERRIDES,BDP_OVERRIDES_DATA),4)="#N/A",NA(),_xll.BDP($B$3,'Calc Data'!$AX$5,"BEST_FPERIOD_OVERRIDE",'Calc Data'!BM80,BDP_OVERRIDES,BDP_OVERRIDES_DATA))</f>
        <v>#NAME?</v>
      </c>
    </row>
    <row r="29" spans="1:40">
      <c r="W29" s="2" t="e">
        <f ca="1">_xll.BDP($B$3,"BEST_FISCAL_PERIOD_DT","BEST_FPERIOD_OVERRIDE",'Calc Data'!AV80)</f>
        <v>#NAME?</v>
      </c>
      <c r="X29" s="2" t="e">
        <f ca="1">_xll.BDP($B$3,"BEST_FISCAL_PERIOD_DT","BEST_FPERIOD_OVERRIDE",'Calc Data'!AW80)</f>
        <v>#NAME?</v>
      </c>
      <c r="Y29" s="2" t="e">
        <f ca="1">_xll.BDP($B$3,"BEST_FISCAL_PERIOD_DT","BEST_FPERIOD_OVERRIDE",'Calc Data'!AX80)</f>
        <v>#NAME?</v>
      </c>
      <c r="Z29" s="2" t="e">
        <f ca="1">_xll.BDP($B$3,"BEST_FISCAL_PERIOD_DT","BEST_FPERIOD_OVERRIDE",'Calc Data'!AY80)</f>
        <v>#NAME?</v>
      </c>
      <c r="AA29" s="2" t="e">
        <f ca="1">_xll.BDP($B$3,"BEST_FISCAL_PERIOD_DT","BEST_FPERIOD_OVERRIDE",'Calc Data'!AZ80)</f>
        <v>#NAME?</v>
      </c>
      <c r="AB29" s="2" t="e">
        <f ca="1">_xll.BDP($B$3,"BEST_FISCAL_PERIOD_DT","BEST_FPERIOD_OVERRIDE",'Calc Data'!BA80)</f>
        <v>#NAME?</v>
      </c>
      <c r="AC29" s="2" t="e">
        <f ca="1">_xll.BDP($B$3,"BEST_FISCAL_PERIOD_DT","BEST_FPERIOD_OVERRIDE",'Calc Data'!BB80)</f>
        <v>#NAME?</v>
      </c>
      <c r="AD29" s="2" t="e">
        <f ca="1">_xll.BDP($B$3,"BEST_FISCAL_PERIOD_DT","BEST_FPERIOD_OVERRIDE",'Calc Data'!BC80)</f>
        <v>#NAME?</v>
      </c>
      <c r="AE29" s="2" t="e">
        <f ca="1">_xll.BDP($B$3,"BEST_FISCAL_PERIOD_DT","BEST_FPERIOD_OVERRIDE",'Calc Data'!BD80)</f>
        <v>#NAME?</v>
      </c>
      <c r="AF29" s="2" t="e">
        <f ca="1">_xll.BDP($B$3,"BEST_FISCAL_PERIOD_DT","BEST_FPERIOD_OVERRIDE",'Calc Data'!BE80)</f>
        <v>#NAME?</v>
      </c>
      <c r="AG29" s="2" t="e">
        <f ca="1">_xll.BDP($B$3,"BEST_FISCAL_PERIOD_DT","BEST_FPERIOD_OVERRIDE",'Calc Data'!BF80)</f>
        <v>#NAME?</v>
      </c>
      <c r="AH29" s="2" t="e">
        <f ca="1">_xll.BDP($B$3,"BEST_FISCAL_PERIOD_DT","BEST_FPERIOD_OVERRIDE",'Calc Data'!BG80)</f>
        <v>#NAME?</v>
      </c>
      <c r="AI29" s="2" t="e">
        <f ca="1">_xll.BDP($B$3,"BEST_FISCAL_PERIOD_DT","BEST_FPERIOD_OVERRIDE",'Calc Data'!BH80)</f>
        <v>#NAME?</v>
      </c>
      <c r="AJ29" s="2" t="e">
        <f ca="1">_xll.BDP($B$3,"BEST_FISCAL_PERIOD_DT","BEST_FPERIOD_OVERRIDE",'Calc Data'!BI80)</f>
        <v>#NAME?</v>
      </c>
      <c r="AK29" s="2" t="e">
        <f ca="1">_xll.BDP($B$3,"BEST_FISCAL_PERIOD_DT","BEST_FPERIOD_OVERRIDE",'Calc Data'!BJ80)</f>
        <v>#NAME?</v>
      </c>
      <c r="AL29" s="2" t="e">
        <f ca="1">_xll.BDP($B$3,"BEST_FISCAL_PERIOD_DT","BEST_FPERIOD_OVERRIDE",'Calc Data'!BK80)</f>
        <v>#NAME?</v>
      </c>
      <c r="AM29" s="2" t="e">
        <f ca="1">_xll.BDP($B$3,"BEST_FISCAL_PERIOD_DT","BEST_FPERIOD_OVERRIDE",'Calc Data'!BL80)</f>
        <v>#NAME?</v>
      </c>
      <c r="AN29" s="2" t="e">
        <f ca="1">_xll.BDP($B$3,"BEST_FISCAL_PERIOD_DT","BEST_FPERIOD_OVERRIDE",'Calc Data'!BM80)</f>
        <v>#NAME?</v>
      </c>
    </row>
    <row r="30" spans="1:40">
      <c r="V30" s="17"/>
      <c r="W30" s="2" t="e">
        <f ca="1">IF(W28&lt;&gt;"-",W27,"")</f>
        <v>#NAME?</v>
      </c>
      <c r="X30" s="2" t="e">
        <f t="shared" ref="X30:AN30" ca="1" si="4">IF(X28&lt;&gt;"-",X27,"")</f>
        <v>#NAME?</v>
      </c>
      <c r="Y30" s="2" t="e">
        <f t="shared" ca="1" si="4"/>
        <v>#NAME?</v>
      </c>
      <c r="Z30" s="2" t="e">
        <f t="shared" ca="1" si="4"/>
        <v>#NAME?</v>
      </c>
      <c r="AA30" s="2" t="e">
        <f t="shared" ca="1" si="4"/>
        <v>#NAME?</v>
      </c>
      <c r="AB30" s="2" t="e">
        <f t="shared" ca="1" si="4"/>
        <v>#NAME?</v>
      </c>
      <c r="AC30" s="2" t="e">
        <f t="shared" ca="1" si="4"/>
        <v>#NAME?</v>
      </c>
      <c r="AD30" s="2" t="e">
        <f t="shared" ca="1" si="4"/>
        <v>#NAME?</v>
      </c>
      <c r="AE30" s="2" t="e">
        <f t="shared" ca="1" si="4"/>
        <v>#NAME?</v>
      </c>
      <c r="AF30" s="2" t="e">
        <f t="shared" ca="1" si="4"/>
        <v>#NAME?</v>
      </c>
      <c r="AG30" s="2" t="e">
        <f t="shared" ca="1" si="4"/>
        <v>#NAME?</v>
      </c>
      <c r="AH30" s="2" t="e">
        <f t="shared" ca="1" si="4"/>
        <v>#NAME?</v>
      </c>
      <c r="AI30" s="2" t="e">
        <f t="shared" ca="1" si="4"/>
        <v>#NAME?</v>
      </c>
      <c r="AJ30" s="2" t="e">
        <f t="shared" ca="1" si="4"/>
        <v>#NAME?</v>
      </c>
      <c r="AK30" s="2" t="e">
        <f t="shared" ca="1" si="4"/>
        <v>#NAME?</v>
      </c>
      <c r="AL30" s="2" t="e">
        <f t="shared" ca="1" si="4"/>
        <v>#NAME?</v>
      </c>
      <c r="AM30" s="2" t="e">
        <f t="shared" ca="1" si="4"/>
        <v>#NAME?</v>
      </c>
      <c r="AN30" s="2" t="e">
        <f t="shared" ca="1" si="4"/>
        <v>#NAME?</v>
      </c>
    </row>
    <row r="31" spans="1:40" ht="5.25" customHeight="1">
      <c r="V31" s="17"/>
    </row>
    <row r="32" spans="1:40" ht="5.25" customHeight="1"/>
    <row r="33" spans="1:51" ht="5.25" customHeight="1"/>
    <row r="34" spans="1:51">
      <c r="A34" s="19"/>
      <c r="B34" s="19"/>
      <c r="C34" s="19"/>
      <c r="D34" s="19"/>
      <c r="E34" s="19"/>
      <c r="F34" s="19"/>
      <c r="G34" s="19"/>
      <c r="H34" s="19"/>
      <c r="I34" s="19"/>
      <c r="J34" s="19"/>
      <c r="K34" s="19"/>
      <c r="L34" s="19"/>
      <c r="M34" s="19"/>
      <c r="N34" s="19"/>
      <c r="O34" s="19"/>
      <c r="P34" s="19"/>
      <c r="Q34" s="19"/>
      <c r="R34" s="19"/>
      <c r="S34" s="19"/>
      <c r="T34" s="19"/>
      <c r="U34" s="19"/>
      <c r="V34" s="19"/>
      <c r="AI34"/>
      <c r="AJ34"/>
      <c r="AK34"/>
      <c r="AL34"/>
      <c r="AM34"/>
      <c r="AN34"/>
      <c r="AO34"/>
      <c r="AP34"/>
      <c r="AQ34"/>
      <c r="AR34"/>
      <c r="AS34"/>
      <c r="AT34"/>
      <c r="AU34"/>
      <c r="AV34"/>
      <c r="AW34"/>
      <c r="AX34"/>
      <c r="AY34"/>
    </row>
    <row r="35" spans="1:51">
      <c r="A35" s="19"/>
      <c r="B35" s="19"/>
      <c r="C35" s="19"/>
      <c r="D35" s="19"/>
      <c r="E35" s="19"/>
      <c r="F35" s="19"/>
      <c r="G35" s="19"/>
      <c r="H35" s="19"/>
      <c r="I35" s="19"/>
      <c r="J35" s="19"/>
      <c r="K35" s="19"/>
      <c r="L35" s="19"/>
      <c r="M35" s="19"/>
      <c r="N35" s="19"/>
      <c r="O35" s="19"/>
      <c r="P35" s="19"/>
      <c r="Q35" s="19"/>
      <c r="R35" s="19"/>
      <c r="S35" s="19"/>
      <c r="T35" s="19"/>
      <c r="U35" s="19"/>
      <c r="V35" s="19"/>
      <c r="AI35"/>
      <c r="AJ35"/>
      <c r="AK35"/>
      <c r="AL35"/>
      <c r="AM35"/>
      <c r="AN35"/>
      <c r="AO35"/>
      <c r="AP35"/>
      <c r="AQ35"/>
      <c r="AR35"/>
      <c r="AS35"/>
      <c r="AT35"/>
      <c r="AU35"/>
      <c r="AV35"/>
      <c r="AW35"/>
      <c r="AX35"/>
      <c r="AY35"/>
    </row>
    <row r="36" spans="1:51">
      <c r="A36" s="19"/>
      <c r="B36" s="20"/>
      <c r="AI36"/>
      <c r="AJ36"/>
      <c r="AK36"/>
      <c r="AL36"/>
      <c r="AM36"/>
      <c r="AN36"/>
      <c r="AO36"/>
      <c r="AP36"/>
      <c r="AQ36"/>
      <c r="AR36"/>
      <c r="AS36"/>
      <c r="AT36"/>
      <c r="AU36"/>
      <c r="AV36"/>
      <c r="AW36"/>
      <c r="AX36"/>
      <c r="AY36"/>
    </row>
    <row r="37" spans="1:51">
      <c r="AI37"/>
      <c r="AJ37"/>
      <c r="AK37"/>
      <c r="AL37"/>
      <c r="AM37"/>
      <c r="AN37"/>
      <c r="AO37"/>
      <c r="AP37"/>
      <c r="AQ37"/>
      <c r="AR37"/>
      <c r="AS37"/>
      <c r="AT37"/>
      <c r="AU37"/>
      <c r="AV37"/>
      <c r="AW37"/>
      <c r="AX37"/>
      <c r="AY37"/>
    </row>
    <row r="38" spans="1:51">
      <c r="A38" s="18" t="s">
        <v>68</v>
      </c>
      <c r="B38" s="2" t="str">
        <f>BB_TICKER</f>
        <v>8TRA GY Equity</v>
      </c>
      <c r="J38" s="66" t="s">
        <v>387</v>
      </c>
      <c r="K38" s="66" t="e">
        <f ca="1">YEAR('Calc Data'!$AM$2)</f>
        <v>#NAME?</v>
      </c>
      <c r="L38" s="67" t="s">
        <v>388</v>
      </c>
      <c r="AI38"/>
      <c r="AJ38"/>
      <c r="AK38"/>
      <c r="AL38"/>
      <c r="AM38"/>
      <c r="AN38"/>
      <c r="AO38"/>
      <c r="AP38"/>
      <c r="AQ38"/>
      <c r="AR38"/>
      <c r="AS38"/>
      <c r="AT38"/>
      <c r="AU38"/>
      <c r="AV38"/>
      <c r="AW38"/>
      <c r="AX38"/>
      <c r="AY38"/>
    </row>
    <row r="39" spans="1:51">
      <c r="A39" s="18" t="s">
        <v>171</v>
      </c>
      <c r="B39" s="2" t="e">
        <f ca="1">_xll.BDP($B$38,"EQY_RECENT_QT_END")</f>
        <v>#NAME?</v>
      </c>
      <c r="C39" s="2" t="s">
        <v>172</v>
      </c>
      <c r="D39" s="2" t="e">
        <f ca="1">_xll.BDP($B$38,"BEST_CUR_FISCAL_YEAR_PERIOD")</f>
        <v>#NAME?</v>
      </c>
      <c r="J39" s="66"/>
      <c r="K39" s="66" t="str">
        <f ca="1">IFBBERROR(HLOOKUP("FY1" &amp;" "&amp;K38,'EM Data'!$B$46:$J$48,2,FALSE),"-")</f>
        <v>-</v>
      </c>
      <c r="AI39"/>
      <c r="AJ39"/>
      <c r="AK39"/>
      <c r="AL39"/>
      <c r="AM39"/>
      <c r="AN39"/>
      <c r="AO39"/>
      <c r="AP39"/>
      <c r="AQ39"/>
      <c r="AR39"/>
      <c r="AS39"/>
      <c r="AT39"/>
      <c r="AU39"/>
      <c r="AV39"/>
      <c r="AW39"/>
      <c r="AX39"/>
      <c r="AY39"/>
    </row>
    <row r="40" spans="1:51">
      <c r="A40" s="18" t="s">
        <v>173</v>
      </c>
      <c r="B40" s="2" t="e">
        <f ca="1">_xll.BDP($B$38,"EQY_RECENT_SEMI_END")</f>
        <v>#NAME?</v>
      </c>
      <c r="C40" s="2" t="s">
        <v>174</v>
      </c>
      <c r="D40" s="2" t="e">
        <f ca="1">_xll.BDP($B$38,"BEST_CUR_FISCAL_SEMI_YEAR_PERIOD")</f>
        <v>#NAME?</v>
      </c>
      <c r="E40" s="2" t="s">
        <v>175</v>
      </c>
      <c r="F40" s="2" t="e">
        <f ca="1">_xll.BDP($B$38,"BEST_CUR_FISCAL_QTR_PERIOD")</f>
        <v>#NAME?</v>
      </c>
      <c r="AI40"/>
      <c r="AJ40"/>
      <c r="AK40"/>
      <c r="AL40"/>
      <c r="AM40"/>
      <c r="AN40"/>
      <c r="AO40"/>
      <c r="AP40"/>
      <c r="AQ40"/>
      <c r="AR40"/>
      <c r="AS40"/>
      <c r="AT40"/>
      <c r="AU40"/>
      <c r="AV40"/>
      <c r="AW40"/>
      <c r="AX40"/>
      <c r="AY40"/>
    </row>
    <row r="41" spans="1:51">
      <c r="A41" s="18" t="s">
        <v>176</v>
      </c>
      <c r="B41" s="2" t="e">
        <f ca="1">IF(LEFT(RIGHT(B39,2),1)="Q","Q",IF(LEFT(RIGHT(B40,2),1)="S","S",""))</f>
        <v>#NAME?</v>
      </c>
      <c r="AI41"/>
      <c r="AJ41"/>
      <c r="AK41"/>
      <c r="AL41"/>
      <c r="AM41"/>
      <c r="AN41"/>
      <c r="AO41"/>
      <c r="AP41"/>
      <c r="AQ41"/>
      <c r="AR41"/>
      <c r="AS41"/>
      <c r="AT41"/>
      <c r="AU41"/>
      <c r="AV41"/>
      <c r="AW41"/>
      <c r="AX41"/>
      <c r="AY41"/>
    </row>
    <row r="42" spans="1:51" ht="5.25" customHeight="1">
      <c r="AI42"/>
      <c r="AJ42"/>
      <c r="AK42"/>
      <c r="AL42"/>
      <c r="AM42"/>
      <c r="AN42"/>
      <c r="AO42"/>
      <c r="AP42"/>
      <c r="AQ42"/>
      <c r="AR42"/>
      <c r="AS42"/>
      <c r="AT42"/>
      <c r="AU42"/>
      <c r="AV42"/>
      <c r="AW42"/>
      <c r="AX42"/>
      <c r="AY42"/>
    </row>
    <row r="43" spans="1:51" ht="5.25" customHeight="1">
      <c r="AI43"/>
      <c r="AJ43"/>
      <c r="AK43"/>
      <c r="AL43"/>
      <c r="AM43"/>
      <c r="AN43"/>
      <c r="AO43"/>
      <c r="AP43"/>
      <c r="AQ43"/>
      <c r="AR43"/>
      <c r="AS43"/>
      <c r="AT43"/>
      <c r="AU43"/>
      <c r="AV43"/>
      <c r="AW43"/>
      <c r="AX43"/>
      <c r="AY43"/>
    </row>
    <row r="44" spans="1:51" ht="5.25" customHeight="1">
      <c r="AI44"/>
      <c r="AJ44"/>
      <c r="AK44"/>
      <c r="AL44"/>
      <c r="AM44"/>
      <c r="AN44"/>
      <c r="AO44"/>
      <c r="AP44"/>
      <c r="AQ44"/>
      <c r="AR44"/>
      <c r="AS44"/>
      <c r="AT44"/>
      <c r="AU44"/>
      <c r="AV44"/>
      <c r="AW44"/>
      <c r="AX44"/>
      <c r="AY44"/>
    </row>
    <row r="45" spans="1:51">
      <c r="A45" s="18" t="s">
        <v>177</v>
      </c>
      <c r="B45" s="3" t="e">
        <f ca="1">_xll.BDH($B$38,'Calc Data'!AW8,"-4fy","-0fy","Per=fy","Dir=H","DtFmt=B","Fill=-",BDH_OVERRIDES,BDH_OVERRIDES_DATA,"cols=5;rows=3")</f>
        <v>#NAME?</v>
      </c>
      <c r="C45" s="3">
        <v>44926</v>
      </c>
      <c r="D45" s="3">
        <v>45291</v>
      </c>
      <c r="E45" s="3">
        <v>45657</v>
      </c>
      <c r="F45" s="3">
        <v>46022</v>
      </c>
      <c r="G45" s="2" t="e">
        <f ca="1">_xll.BDP($B$38,"BEST_PERIOD_END_DATE","BEST_FPERIOD_OVERRIDE",'Calc Data'!AV78)</f>
        <v>#NAME?</v>
      </c>
      <c r="H45" s="2" t="e">
        <f ca="1">_xll.BDP($B$38,"BEST_PERIOD_END_DATE","BEST_FPERIOD_OVERRIDE",'Calc Data'!AW78)</f>
        <v>#NAME?</v>
      </c>
      <c r="I45" s="2" t="e">
        <f ca="1">_xll.BDP($B$38,"BEST_PERIOD_END_DATE","BEST_FPERIOD_OVERRIDE",'Calc Data'!AX78)</f>
        <v>#NAME?</v>
      </c>
      <c r="J45" s="2" t="e">
        <f ca="1">_xll.BDP($B$38,"BEST_PERIOD_END_DATE","BEST_FPERIOD_OVERRIDE",'Calc Data'!AY78)</f>
        <v>#NAME?</v>
      </c>
      <c r="AI45"/>
      <c r="AJ45"/>
      <c r="AK45"/>
      <c r="AL45"/>
      <c r="AM45"/>
      <c r="AN45"/>
      <c r="AO45"/>
      <c r="AP45"/>
      <c r="AQ45"/>
      <c r="AR45"/>
      <c r="AS45"/>
      <c r="AT45"/>
      <c r="AU45"/>
      <c r="AV45"/>
      <c r="AW45"/>
      <c r="AX45"/>
      <c r="AY45"/>
    </row>
    <row r="46" spans="1:51">
      <c r="B46" s="2" t="s">
        <v>621</v>
      </c>
      <c r="C46" s="2" t="s">
        <v>622</v>
      </c>
      <c r="D46" s="2" t="s">
        <v>623</v>
      </c>
      <c r="E46" s="2" t="s">
        <v>624</v>
      </c>
      <c r="F46" s="2" t="s">
        <v>625</v>
      </c>
      <c r="G46" s="2" t="e">
        <f ca="1">"FY1" &amp; " " &amp; YEAR(G45)</f>
        <v>#NAME?</v>
      </c>
      <c r="H46" s="2" t="e">
        <f ca="1">"FY1" &amp; " " &amp; YEAR(H45)</f>
        <v>#NAME?</v>
      </c>
      <c r="I46" s="2" t="e">
        <f ca="1">"FY1" &amp; " " &amp; YEAR(I45)</f>
        <v>#NAME?</v>
      </c>
      <c r="J46" s="2" t="e">
        <f ca="1">"FY1" &amp; " " &amp; YEAR(J45)</f>
        <v>#NAME?</v>
      </c>
      <c r="AI46"/>
      <c r="AJ46"/>
      <c r="AK46"/>
      <c r="AL46"/>
      <c r="AM46"/>
      <c r="AN46"/>
      <c r="AO46"/>
      <c r="AP46"/>
      <c r="AQ46"/>
      <c r="AR46"/>
      <c r="AS46"/>
      <c r="AT46"/>
      <c r="AU46"/>
      <c r="AV46"/>
      <c r="AW46"/>
      <c r="AX46"/>
      <c r="AY46"/>
    </row>
    <row r="47" spans="1:51">
      <c r="B47" s="2">
        <v>3123</v>
      </c>
      <c r="C47" s="2">
        <v>4546</v>
      </c>
      <c r="D47" s="2">
        <v>6624</v>
      </c>
      <c r="E47" s="2">
        <v>7184</v>
      </c>
      <c r="F47" s="2">
        <v>5573</v>
      </c>
      <c r="G47" s="2" t="e">
        <f ca="1">IF(LEFT(_xll.BDP($B$38,'Calc Data'!$AX$8,"BEST_FPERIOD_OVERRIDE",'Calc Data'!AV$78,BDP_OVERRIDES,BDP_OVERRIDES_DATA),4)="#N/A","-",_xll.BDP($B$38,'Calc Data'!$AX$8,"BEST_FPERIOD_OVERRIDE",'Calc Data'!AV$78,BDP_OVERRIDES,BDP_OVERRIDES_DATA))</f>
        <v>#NAME?</v>
      </c>
      <c r="H47" s="2" t="e">
        <f ca="1">IF(LEFT(_xll.BDP($B$38,'Calc Data'!$AX$8,"BEST_FPERIOD_OVERRIDE",'Calc Data'!AW$78,BDP_OVERRIDES,BDP_OVERRIDES_DATA),4)="#N/A","-",_xll.BDP($B$38,'Calc Data'!$AX$8,"BEST_FPERIOD_OVERRIDE",'Calc Data'!AW$78,BDP_OVERRIDES,BDP_OVERRIDES_DATA))</f>
        <v>#NAME?</v>
      </c>
      <c r="I47" s="2" t="e">
        <f ca="1">IF(LEFT(_xll.BDP($B$38,'Calc Data'!$AX$8,"BEST_FPERIOD_OVERRIDE",'Calc Data'!AX$78,BDP_OVERRIDES,BDP_OVERRIDES_DATA),4)="#N/A","-",_xll.BDP($B$38,'Calc Data'!$AX$8,"BEST_FPERIOD_OVERRIDE",'Calc Data'!AX$78,BDP_OVERRIDES,BDP_OVERRIDES_DATA))</f>
        <v>#NAME?</v>
      </c>
      <c r="J47" s="2" t="e">
        <f ca="1">IF(LEFT(_xll.BDP($B$38,'Calc Data'!$AX$8,"BEST_FPERIOD_OVERRIDE",'Calc Data'!AY$78,BDP_OVERRIDES,BDP_OVERRIDES_DATA),4)="#N/A","-",_xll.BDP($B$38,'Calc Data'!$AX$8,"BEST_FPERIOD_OVERRIDE",'Calc Data'!AY$78,BDP_OVERRIDES,BDP_OVERRIDES_DATA))</f>
        <v>#NAME?</v>
      </c>
      <c r="AI47"/>
      <c r="AJ47"/>
      <c r="AK47"/>
      <c r="AL47"/>
      <c r="AM47"/>
      <c r="AN47"/>
      <c r="AO47"/>
      <c r="AP47"/>
      <c r="AQ47"/>
      <c r="AR47"/>
      <c r="AS47"/>
      <c r="AT47"/>
      <c r="AU47"/>
      <c r="AV47"/>
      <c r="AW47"/>
      <c r="AX47"/>
      <c r="AY47"/>
    </row>
    <row r="48" spans="1:51">
      <c r="G48" s="2" t="e">
        <f ca="1">_xll.BDP($B$38,"BEST_FISCAL_PERIOD_DT","BEST_FPERIOD_OVERRIDE",'Calc Data'!AV78)</f>
        <v>#NAME?</v>
      </c>
      <c r="H48" s="2" t="e">
        <f ca="1">_xll.BDP($B$38,"BEST_FISCAL_PERIOD_DT","BEST_FPERIOD_OVERRIDE",'Calc Data'!AW78)</f>
        <v>#NAME?</v>
      </c>
      <c r="I48" s="2" t="e">
        <f ca="1">_xll.BDP($B$38,"BEST_FISCAL_PERIOD_DT","BEST_FPERIOD_OVERRIDE",'Calc Data'!AX78)</f>
        <v>#NAME?</v>
      </c>
      <c r="J48" s="2" t="e">
        <f ca="1">_xll.BDP($B$38,"BEST_FISCAL_PERIOD_DT","BEST_FPERIOD_OVERRIDE",'Calc Data'!AY78)</f>
        <v>#NAME?</v>
      </c>
      <c r="AI48"/>
      <c r="AJ48"/>
      <c r="AK48"/>
      <c r="AL48"/>
      <c r="AM48"/>
      <c r="AN48"/>
      <c r="AO48"/>
      <c r="AP48"/>
      <c r="AQ48"/>
      <c r="AR48"/>
      <c r="AS48"/>
      <c r="AT48"/>
      <c r="AU48"/>
      <c r="AV48"/>
      <c r="AW48"/>
      <c r="AX48"/>
      <c r="AY48"/>
    </row>
    <row r="49" spans="1:51" ht="6" customHeight="1">
      <c r="AI49"/>
      <c r="AJ49"/>
      <c r="AK49"/>
      <c r="AL49"/>
      <c r="AM49"/>
      <c r="AN49"/>
      <c r="AO49"/>
      <c r="AP49"/>
      <c r="AQ49"/>
      <c r="AR49"/>
      <c r="AS49"/>
      <c r="AT49"/>
      <c r="AU49"/>
      <c r="AV49"/>
      <c r="AW49"/>
      <c r="AX49"/>
      <c r="AY49"/>
    </row>
    <row r="50" spans="1:51" ht="6" customHeight="1">
      <c r="AI50"/>
      <c r="AJ50"/>
      <c r="AK50"/>
      <c r="AL50"/>
      <c r="AM50"/>
      <c r="AN50"/>
      <c r="AO50"/>
      <c r="AP50"/>
      <c r="AQ50"/>
      <c r="AR50"/>
      <c r="AS50"/>
      <c r="AT50"/>
      <c r="AU50"/>
      <c r="AV50"/>
      <c r="AW50"/>
      <c r="AX50"/>
      <c r="AY50"/>
    </row>
    <row r="51" spans="1:51" ht="6" customHeight="1">
      <c r="AI51"/>
      <c r="AJ51"/>
      <c r="AK51"/>
      <c r="AL51"/>
      <c r="AM51"/>
      <c r="AN51"/>
      <c r="AO51"/>
      <c r="AP51"/>
      <c r="AQ51"/>
      <c r="AR51"/>
      <c r="AS51"/>
      <c r="AT51"/>
      <c r="AU51"/>
      <c r="AV51"/>
      <c r="AW51"/>
      <c r="AX51"/>
      <c r="AY51"/>
    </row>
    <row r="52" spans="1:51">
      <c r="K52" s="2" t="e">
        <f ca="1">RIGHT(LEFT(K54,3),2)</f>
        <v>#NAME?</v>
      </c>
      <c r="L52" s="2" t="e">
        <f t="shared" ref="L52:R52" ca="1" si="5">RIGHT(LEFT(L54,3),2)</f>
        <v>#NAME?</v>
      </c>
      <c r="M52" s="2" t="e">
        <f t="shared" ca="1" si="5"/>
        <v>#NAME?</v>
      </c>
      <c r="N52" s="2" t="e">
        <f t="shared" ca="1" si="5"/>
        <v>#NAME?</v>
      </c>
      <c r="O52" s="2" t="e">
        <f t="shared" ca="1" si="5"/>
        <v>#NAME?</v>
      </c>
      <c r="P52" s="2" t="e">
        <f t="shared" ca="1" si="5"/>
        <v>#NAME?</v>
      </c>
      <c r="Q52" s="2" t="e">
        <f t="shared" ca="1" si="5"/>
        <v>#NAME?</v>
      </c>
      <c r="R52" s="2" t="e">
        <f t="shared" ca="1" si="5"/>
        <v>#NAME?</v>
      </c>
      <c r="AI52"/>
      <c r="AJ52"/>
      <c r="AK52"/>
      <c r="AL52"/>
      <c r="AM52"/>
      <c r="AN52"/>
      <c r="AO52"/>
      <c r="AP52"/>
      <c r="AQ52"/>
      <c r="AR52"/>
      <c r="AS52"/>
      <c r="AT52"/>
      <c r="AU52"/>
      <c r="AV52"/>
      <c r="AW52"/>
      <c r="AX52"/>
      <c r="AY52"/>
    </row>
    <row r="53" spans="1:51">
      <c r="A53" s="18" t="s">
        <v>178</v>
      </c>
      <c r="B53" s="3" t="e">
        <f ca="1">_xll.BDH($B$38,'Calc Data'!AW8,"-8fs","-0fs","Per=fs","Dir=H","DtFmt=B","Fill=-","cols=9;rows=3")</f>
        <v>#NAME?</v>
      </c>
      <c r="C53" s="3">
        <v>44742</v>
      </c>
      <c r="D53" s="3">
        <v>44926</v>
      </c>
      <c r="E53" s="3">
        <v>45107</v>
      </c>
      <c r="F53" s="3">
        <v>45291</v>
      </c>
      <c r="G53" s="3">
        <v>45473</v>
      </c>
      <c r="H53" s="3">
        <v>45657</v>
      </c>
      <c r="I53" s="3">
        <v>45838</v>
      </c>
      <c r="J53" s="3">
        <v>46022</v>
      </c>
      <c r="K53" s="2" t="e">
        <f ca="1">_xll.BDP($B$38,"BEST_PERIOD_END_DATE","BEST_FPERIOD_OVERRIDE",'Calc Data'!AV79)</f>
        <v>#NAME?</v>
      </c>
      <c r="L53" s="2" t="e">
        <f ca="1">_xll.BDP($B$38,"BEST_PERIOD_END_DATE","BEST_FPERIOD_OVERRIDE",'Calc Data'!AW79)</f>
        <v>#NAME?</v>
      </c>
      <c r="M53" s="2" t="e">
        <f ca="1">_xll.BDP($B$38,"BEST_PERIOD_END_DATE","BEST_FPERIOD_OVERRIDE",'Calc Data'!AX79)</f>
        <v>#NAME?</v>
      </c>
      <c r="N53" s="2" t="e">
        <f ca="1">_xll.BDP($B$38,"BEST_PERIOD_END_DATE","BEST_FPERIOD_OVERRIDE",'Calc Data'!AY79)</f>
        <v>#NAME?</v>
      </c>
      <c r="O53" s="2" t="e">
        <f ca="1">_xll.BDP($B$38,"BEST_PERIOD_END_DATE","BEST_FPERIOD_OVERRIDE",'Calc Data'!AZ79)</f>
        <v>#NAME?</v>
      </c>
      <c r="P53" s="2" t="e">
        <f ca="1">_xll.BDP($B$38,"BEST_PERIOD_END_DATE","BEST_FPERIOD_OVERRIDE",'Calc Data'!BA79)</f>
        <v>#NAME?</v>
      </c>
      <c r="Q53" s="2" t="e">
        <f ca="1">_xll.BDP($B$38,"BEST_PERIOD_END_DATE","BEST_FPERIOD_OVERRIDE",'Calc Data'!BB79)</f>
        <v>#NAME?</v>
      </c>
      <c r="R53" s="2" t="e">
        <f ca="1">_xll.BDP($B$38,"BEST_PERIOD_END_DATE","BEST_FPERIOD_OVERRIDE",'Calc Data'!BC79)</f>
        <v>#NAME?</v>
      </c>
      <c r="AI53"/>
      <c r="AJ53"/>
      <c r="AK53"/>
      <c r="AL53"/>
      <c r="AM53"/>
      <c r="AN53"/>
      <c r="AO53"/>
      <c r="AP53"/>
      <c r="AQ53"/>
      <c r="AR53"/>
      <c r="AS53"/>
      <c r="AT53"/>
      <c r="AU53"/>
      <c r="AV53"/>
      <c r="AW53"/>
      <c r="AX53"/>
      <c r="AY53"/>
    </row>
    <row r="54" spans="1:51">
      <c r="B54" s="2" t="s">
        <v>626</v>
      </c>
      <c r="C54" s="2" t="s">
        <v>627</v>
      </c>
      <c r="D54" s="2" t="s">
        <v>628</v>
      </c>
      <c r="E54" s="2" t="s">
        <v>629</v>
      </c>
      <c r="F54" s="2" t="s">
        <v>630</v>
      </c>
      <c r="G54" s="2" t="s">
        <v>631</v>
      </c>
      <c r="H54" s="2" t="s">
        <v>632</v>
      </c>
      <c r="I54" s="2" t="s">
        <v>633</v>
      </c>
      <c r="J54" s="2" t="s">
        <v>634</v>
      </c>
      <c r="K54" s="2" t="e">
        <f t="shared" ref="K54:R54" ca="1" si="6">"F" &amp; RIGHT(K56,2) &amp; " " &amp; YEAR(K53)+IF((LEFT(K56,2)&gt;LEFT($D$39,2)),1,0)</f>
        <v>#NAME?</v>
      </c>
      <c r="L54" s="2" t="e">
        <f t="shared" ca="1" si="6"/>
        <v>#NAME?</v>
      </c>
      <c r="M54" s="2" t="e">
        <f t="shared" ca="1" si="6"/>
        <v>#NAME?</v>
      </c>
      <c r="N54" s="2" t="e">
        <f t="shared" ca="1" si="6"/>
        <v>#NAME?</v>
      </c>
      <c r="O54" s="2" t="e">
        <f t="shared" ca="1" si="6"/>
        <v>#NAME?</v>
      </c>
      <c r="P54" s="2" t="e">
        <f t="shared" ca="1" si="6"/>
        <v>#NAME?</v>
      </c>
      <c r="Q54" s="2" t="e">
        <f t="shared" ca="1" si="6"/>
        <v>#NAME?</v>
      </c>
      <c r="R54" s="2" t="e">
        <f t="shared" ca="1" si="6"/>
        <v>#NAME?</v>
      </c>
      <c r="AI54"/>
      <c r="AJ54"/>
      <c r="AK54"/>
      <c r="AL54"/>
      <c r="AM54"/>
      <c r="AN54"/>
      <c r="AO54"/>
      <c r="AP54"/>
      <c r="AQ54"/>
      <c r="AR54"/>
      <c r="AS54"/>
      <c r="AT54"/>
      <c r="AU54"/>
      <c r="AV54"/>
      <c r="AW54"/>
      <c r="AX54"/>
      <c r="AY54"/>
    </row>
    <row r="55" spans="1:51">
      <c r="B55" s="2">
        <v>1347</v>
      </c>
      <c r="C55" s="2">
        <v>2114</v>
      </c>
      <c r="D55" s="2">
        <v>2432</v>
      </c>
      <c r="E55" s="2">
        <v>3243</v>
      </c>
      <c r="F55" s="2">
        <v>3381</v>
      </c>
      <c r="G55" s="2">
        <v>3508</v>
      </c>
      <c r="H55" s="2">
        <v>3676</v>
      </c>
      <c r="I55" s="2">
        <v>2799</v>
      </c>
      <c r="J55" s="2">
        <v>2774</v>
      </c>
      <c r="K55" s="2" t="e">
        <f ca="1">IF(LEFT(_xll.BDP($B$38,'Calc Data'!$AX$8,"BEST_FPERIOD_OVERRIDE",'Calc Data'!AV79,BEST_OVERRIDES, BEST_OVERRIDES_DATA),4)="#N/A",NA(),_xll.BDP($B$38,'Calc Data'!$AX$8,"BEST_FPERIOD_OVERRIDE",'Calc Data'!AV79,BEST_OVERRIDES, BEST_OVERRIDES_DATA))</f>
        <v>#NAME?</v>
      </c>
      <c r="L55" s="2" t="e">
        <f ca="1">IF(LEFT(_xll.BDP($B$38,'Calc Data'!$AX$8,"BEST_FPERIOD_OVERRIDE",'Calc Data'!AW79,BEST_OVERRIDES, BEST_OVERRIDES_DATA),4)="#N/A",NA(),_xll.BDP($B$38,'Calc Data'!$AX$8,"BEST_FPERIOD_OVERRIDE",'Calc Data'!AW79,BEST_OVERRIDES, BEST_OVERRIDES_DATA))</f>
        <v>#NAME?</v>
      </c>
      <c r="M55" s="2" t="e">
        <f ca="1">IF(LEFT(_xll.BDP($B$38,'Calc Data'!$AX$8,"BEST_FPERIOD_OVERRIDE",'Calc Data'!AX79,BEST_OVERRIDES, BEST_OVERRIDES_DATA),4)="#N/A",NA(),_xll.BDP($B$38,'Calc Data'!$AX$8,"BEST_FPERIOD_OVERRIDE",'Calc Data'!AX79,BEST_OVERRIDES, BEST_OVERRIDES_DATA))</f>
        <v>#NAME?</v>
      </c>
      <c r="N55" s="2" t="e">
        <f ca="1">IF(LEFT(_xll.BDP($B$38,'Calc Data'!$AX$8,"BEST_FPERIOD_OVERRIDE",'Calc Data'!AY79,BEST_OVERRIDES, BEST_OVERRIDES_DATA),4)="#N/A",NA(),_xll.BDP($B$38,'Calc Data'!$AX$8,"BEST_FPERIOD_OVERRIDE",'Calc Data'!AY79,BEST_OVERRIDES, BEST_OVERRIDES_DATA))</f>
        <v>#NAME?</v>
      </c>
      <c r="O55" s="2" t="e">
        <f ca="1">IF(LEFT(_xll.BDP($B$38,'Calc Data'!$AX$8,"BEST_FPERIOD_OVERRIDE",'Calc Data'!AZ79,BEST_OVERRIDES, BEST_OVERRIDES_DATA),4)="#N/A",NA(),_xll.BDP($B$38,'Calc Data'!$AX$8,"BEST_FPERIOD_OVERRIDE",'Calc Data'!AZ79,BEST_OVERRIDES, BEST_OVERRIDES_DATA))</f>
        <v>#NAME?</v>
      </c>
      <c r="P55" s="2" t="e">
        <f ca="1">IF(LEFT(_xll.BDP($B$38,'Calc Data'!$AX$8,"BEST_FPERIOD_OVERRIDE",'Calc Data'!BA79,BEST_OVERRIDES, BEST_OVERRIDES_DATA),4)="#N/A",NA(),_xll.BDP($B$38,'Calc Data'!$AX$8,"BEST_FPERIOD_OVERRIDE",'Calc Data'!BA79,BEST_OVERRIDES, BEST_OVERRIDES_DATA))</f>
        <v>#NAME?</v>
      </c>
      <c r="Q55" s="2" t="e">
        <f ca="1">IF(LEFT(_xll.BDP($B$38,'Calc Data'!$AX$8,"BEST_FPERIOD_OVERRIDE",'Calc Data'!BB79,BEST_OVERRIDES, BEST_OVERRIDES_DATA),4)="#N/A",NA(),_xll.BDP($B$38,'Calc Data'!$AX$8,"BEST_FPERIOD_OVERRIDE",'Calc Data'!BB79,BEST_OVERRIDES, BEST_OVERRIDES_DATA))</f>
        <v>#NAME?</v>
      </c>
      <c r="R55" s="2" t="e">
        <f ca="1">IF(LEFT(_xll.BDP($B$38,'Calc Data'!$AX$8,"BEST_FPERIOD_OVERRIDE",'Calc Data'!BC79,BEST_OVERRIDES, BEST_OVERRIDES_DATA),4)="#N/A",NA(),_xll.BDP($B$38,'Calc Data'!$AX$8,"BEST_FPERIOD_OVERRIDE",'Calc Data'!BC79,BEST_OVERRIDES, BEST_OVERRIDES_DATA))</f>
        <v>#NAME?</v>
      </c>
      <c r="AI55"/>
      <c r="AJ55"/>
      <c r="AK55"/>
      <c r="AL55"/>
      <c r="AM55"/>
      <c r="AN55"/>
      <c r="AO55"/>
      <c r="AP55"/>
      <c r="AQ55"/>
      <c r="AR55"/>
      <c r="AS55"/>
      <c r="AT55"/>
      <c r="AU55"/>
      <c r="AV55"/>
      <c r="AW55"/>
      <c r="AX55"/>
      <c r="AY55"/>
    </row>
    <row r="56" spans="1:51">
      <c r="K56" s="2" t="e">
        <f ca="1">_xll.BDP($B$38,"BEST_FISCAL_PERIOD_DT","BEST_FPERIOD_OVERRIDE",'Calc Data'!AV79)</f>
        <v>#NAME?</v>
      </c>
      <c r="L56" s="2" t="e">
        <f ca="1">_xll.BDP($B$38,"BEST_FISCAL_PERIOD_DT","BEST_FPERIOD_OVERRIDE",'Calc Data'!AW79)</f>
        <v>#NAME?</v>
      </c>
      <c r="M56" s="2" t="e">
        <f ca="1">_xll.BDP($B$38,"BEST_FISCAL_PERIOD_DT","BEST_FPERIOD_OVERRIDE",'Calc Data'!AX79)</f>
        <v>#NAME?</v>
      </c>
      <c r="N56" s="2" t="e">
        <f ca="1">_xll.BDP($B$38,"BEST_FISCAL_PERIOD_DT","BEST_FPERIOD_OVERRIDE",'Calc Data'!AY79)</f>
        <v>#NAME?</v>
      </c>
      <c r="O56" s="2" t="e">
        <f ca="1">_xll.BDP($B$38,"BEST_FISCAL_PERIOD_DT","BEST_FPERIOD_OVERRIDE",'Calc Data'!AZ79)</f>
        <v>#NAME?</v>
      </c>
      <c r="P56" s="2" t="e">
        <f ca="1">_xll.BDP($B$38,"BEST_FISCAL_PERIOD_DT","BEST_FPERIOD_OVERRIDE",'Calc Data'!BA79)</f>
        <v>#NAME?</v>
      </c>
      <c r="Q56" s="2" t="e">
        <f ca="1">_xll.BDP($B$38,"BEST_FISCAL_PERIOD_DT","BEST_FPERIOD_OVERRIDE",'Calc Data'!BB79)</f>
        <v>#NAME?</v>
      </c>
      <c r="R56" s="2" t="e">
        <f ca="1">_xll.BDP($B$38,"BEST_FISCAL_PERIOD_DT","BEST_FPERIOD_OVERRIDE",'Calc Data'!BC79)</f>
        <v>#NAME?</v>
      </c>
      <c r="AI56"/>
      <c r="AJ56"/>
      <c r="AK56"/>
      <c r="AL56"/>
      <c r="AM56"/>
      <c r="AN56"/>
      <c r="AO56"/>
      <c r="AP56"/>
      <c r="AQ56"/>
      <c r="AR56"/>
      <c r="AS56"/>
      <c r="AT56"/>
      <c r="AU56"/>
      <c r="AV56"/>
      <c r="AW56"/>
      <c r="AX56"/>
      <c r="AY56"/>
    </row>
    <row r="57" spans="1:51">
      <c r="J57" s="17"/>
      <c r="AI57"/>
      <c r="AJ57"/>
      <c r="AK57"/>
      <c r="AL57"/>
      <c r="AM57"/>
      <c r="AN57"/>
      <c r="AO57"/>
      <c r="AP57"/>
      <c r="AQ57"/>
      <c r="AR57"/>
      <c r="AS57"/>
      <c r="AT57"/>
      <c r="AU57"/>
      <c r="AV57"/>
      <c r="AW57"/>
      <c r="AX57"/>
      <c r="AY57"/>
    </row>
    <row r="58" spans="1:51" ht="3" customHeight="1">
      <c r="J58" s="17"/>
      <c r="AI58"/>
      <c r="AJ58"/>
      <c r="AK58"/>
      <c r="AL58"/>
      <c r="AM58"/>
      <c r="AN58"/>
      <c r="AO58"/>
      <c r="AP58"/>
      <c r="AQ58"/>
      <c r="AR58"/>
      <c r="AS58"/>
      <c r="AT58"/>
      <c r="AU58"/>
      <c r="AV58"/>
      <c r="AW58"/>
      <c r="AX58"/>
      <c r="AY58"/>
    </row>
    <row r="59" spans="1:51" ht="3" customHeight="1">
      <c r="J59" s="17"/>
      <c r="AI59"/>
      <c r="AJ59"/>
      <c r="AK59"/>
      <c r="AL59"/>
      <c r="AM59"/>
      <c r="AN59"/>
      <c r="AO59"/>
      <c r="AP59"/>
      <c r="AQ59"/>
      <c r="AR59"/>
      <c r="AS59"/>
      <c r="AT59"/>
      <c r="AU59"/>
      <c r="AV59"/>
      <c r="AW59"/>
      <c r="AX59"/>
      <c r="AY59"/>
    </row>
    <row r="60" spans="1:51" ht="3" customHeight="1">
      <c r="W60" s="2" t="str">
        <f>RIGHT(LEFT(S62,3),2)</f>
        <v>Q2</v>
      </c>
      <c r="X60" s="2" t="str">
        <f t="shared" ref="X60:AH60" si="7">RIGHT(LEFT(T62,3),2)</f>
        <v>Q3</v>
      </c>
      <c r="Y60" s="2" t="str">
        <f t="shared" si="7"/>
        <v>Q4</v>
      </c>
      <c r="Z60" s="2" t="str">
        <f t="shared" si="7"/>
        <v>Q1</v>
      </c>
      <c r="AA60" s="2" t="e">
        <f t="shared" ca="1" si="7"/>
        <v>#NAME?</v>
      </c>
      <c r="AB60" s="2" t="e">
        <f t="shared" ca="1" si="7"/>
        <v>#NAME?</v>
      </c>
      <c r="AC60" s="2" t="e">
        <f t="shared" ca="1" si="7"/>
        <v>#NAME?</v>
      </c>
      <c r="AD60" s="2" t="e">
        <f t="shared" ca="1" si="7"/>
        <v>#NAME?</v>
      </c>
      <c r="AE60" s="2" t="e">
        <f t="shared" ca="1" si="7"/>
        <v>#NAME?</v>
      </c>
      <c r="AF60" s="2" t="e">
        <f t="shared" ca="1" si="7"/>
        <v>#NAME?</v>
      </c>
      <c r="AG60" s="2" t="e">
        <f t="shared" ca="1" si="7"/>
        <v>#NAME?</v>
      </c>
      <c r="AH60" s="2" t="e">
        <f t="shared" ca="1" si="7"/>
        <v>#NAME?</v>
      </c>
      <c r="AI60"/>
      <c r="AJ60"/>
      <c r="AK60"/>
      <c r="AL60"/>
      <c r="AM60"/>
      <c r="AN60"/>
      <c r="AO60"/>
      <c r="AP60"/>
      <c r="AQ60"/>
      <c r="AR60"/>
      <c r="AS60"/>
      <c r="AT60"/>
      <c r="AU60"/>
      <c r="AV60"/>
      <c r="AW60"/>
      <c r="AX60"/>
      <c r="AY60"/>
    </row>
    <row r="61" spans="1:51">
      <c r="A61" s="18" t="s">
        <v>179</v>
      </c>
      <c r="B61" s="3" t="e">
        <f ca="1">_xll.BDH($B$38,'Calc Data'!AW8,"-20fq","-0fq","Per=fq","Dir=H","DtFmt=B","Fill=-",BDH_OVERRIDES,BDH_OVERRIDES_DATA,"cols=21;rows=3")</f>
        <v>#NAME?</v>
      </c>
      <c r="C61" s="3">
        <v>44377</v>
      </c>
      <c r="D61" s="3">
        <v>44469</v>
      </c>
      <c r="E61" s="3">
        <v>44561</v>
      </c>
      <c r="F61" s="3">
        <v>44651</v>
      </c>
      <c r="G61" s="3">
        <v>44742</v>
      </c>
      <c r="H61" s="3">
        <v>44834</v>
      </c>
      <c r="I61" s="3">
        <v>44926</v>
      </c>
      <c r="J61" s="3">
        <v>45016</v>
      </c>
      <c r="K61" s="3">
        <v>45107</v>
      </c>
      <c r="L61" s="3">
        <v>45199</v>
      </c>
      <c r="M61" s="3">
        <v>45291</v>
      </c>
      <c r="N61" s="3">
        <v>45382</v>
      </c>
      <c r="O61" s="3">
        <v>45473</v>
      </c>
      <c r="P61" s="3">
        <v>45565</v>
      </c>
      <c r="Q61" s="3">
        <v>45657</v>
      </c>
      <c r="R61" s="3">
        <v>45747</v>
      </c>
      <c r="S61" s="3">
        <v>45838</v>
      </c>
      <c r="T61" s="3">
        <v>45930</v>
      </c>
      <c r="U61" s="3">
        <v>46022</v>
      </c>
      <c r="V61" s="3">
        <v>46112</v>
      </c>
      <c r="W61" s="2" t="e">
        <f ca="1">_xll.BDP($B$38,"BEST_PERIOD_END_DATE","BEST_FPERIOD_OVERRIDE",'Calc Data'!AV80)</f>
        <v>#NAME?</v>
      </c>
      <c r="X61" s="2" t="e">
        <f ca="1">_xll.BDP($B$38,"BEST_PERIOD_END_DATE","BEST_FPERIOD_OVERRIDE",'Calc Data'!AW80)</f>
        <v>#NAME?</v>
      </c>
      <c r="Y61" s="2" t="e">
        <f ca="1">_xll.BDP($B$38,"BEST_PERIOD_END_DATE","BEST_FPERIOD_OVERRIDE",'Calc Data'!AX80)</f>
        <v>#NAME?</v>
      </c>
      <c r="Z61" s="2" t="e">
        <f ca="1">_xll.BDP($B$38,"BEST_PERIOD_END_DATE","BEST_FPERIOD_OVERRIDE",'Calc Data'!AY80)</f>
        <v>#NAME?</v>
      </c>
      <c r="AA61" s="2" t="e">
        <f ca="1">_xll.BDP($B$38,"BEST_PERIOD_END_DATE","BEST_FPERIOD_OVERRIDE",'Calc Data'!AZ80)</f>
        <v>#NAME?</v>
      </c>
      <c r="AB61" s="2" t="e">
        <f ca="1">_xll.BDP($B$38,"BEST_PERIOD_END_DATE","BEST_FPERIOD_OVERRIDE",'Calc Data'!BA80)</f>
        <v>#NAME?</v>
      </c>
      <c r="AC61" s="2" t="e">
        <f ca="1">_xll.BDP($B$38,"BEST_PERIOD_END_DATE","BEST_FPERIOD_OVERRIDE",'Calc Data'!BB80)</f>
        <v>#NAME?</v>
      </c>
      <c r="AD61" s="2" t="e">
        <f ca="1">_xll.BDP($B$38,"BEST_PERIOD_END_DATE","BEST_FPERIOD_OVERRIDE",'Calc Data'!BC80)</f>
        <v>#NAME?</v>
      </c>
      <c r="AE61" s="2" t="e">
        <f ca="1">_xll.BDP($B$38,"BEST_PERIOD_END_DATE","BEST_FPERIOD_OVERRIDE",'Calc Data'!BD80)</f>
        <v>#NAME?</v>
      </c>
      <c r="AF61" s="2" t="e">
        <f ca="1">_xll.BDP($B$38,"BEST_PERIOD_END_DATE","BEST_FPERIOD_OVERRIDE",'Calc Data'!BE80)</f>
        <v>#NAME?</v>
      </c>
      <c r="AG61" s="2" t="e">
        <f ca="1">_xll.BDP($B$38,"BEST_PERIOD_END_DATE","BEST_FPERIOD_OVERRIDE",'Calc Data'!BF80)</f>
        <v>#NAME?</v>
      </c>
      <c r="AH61" s="2" t="e">
        <f ca="1">_xll.BDP($B$38,"BEST_PERIOD_END_DATE","BEST_FPERIOD_OVERRIDE",'Calc Data'!BG80)</f>
        <v>#NAME?</v>
      </c>
      <c r="AI61" s="2" t="e">
        <f ca="1">_xll.BDP($B$38,"BEST_PERIOD_END_DATE","BEST_FPERIOD_OVERRIDE",'Calc Data'!BH80)</f>
        <v>#NAME?</v>
      </c>
      <c r="AJ61" s="2" t="e">
        <f ca="1">_xll.BDP($B$38,"BEST_PERIOD_END_DATE","BEST_FPERIOD_OVERRIDE",'Calc Data'!BI80)</f>
        <v>#NAME?</v>
      </c>
      <c r="AK61" s="2" t="e">
        <f ca="1">_xll.BDP($B$38,"BEST_PERIOD_END_DATE","BEST_FPERIOD_OVERRIDE",'Calc Data'!BJ80)</f>
        <v>#NAME?</v>
      </c>
      <c r="AL61" s="2" t="e">
        <f ca="1">_xll.BDP($B$38,"BEST_PERIOD_END_DATE","BEST_FPERIOD_OVERRIDE",'Calc Data'!BK80)</f>
        <v>#NAME?</v>
      </c>
      <c r="AM61" s="2" t="e">
        <f ca="1">_xll.BDP($B$38,"BEST_PERIOD_END_DATE","BEST_FPERIOD_OVERRIDE",'Calc Data'!BL80)</f>
        <v>#NAME?</v>
      </c>
      <c r="AN61" s="2" t="e">
        <f ca="1">_xll.BDP($B$38,"BEST_PERIOD_END_DATE","BEST_FPERIOD_OVERRIDE",'Calc Data'!BM80)</f>
        <v>#NAME?</v>
      </c>
    </row>
    <row r="62" spans="1:51">
      <c r="B62" s="2" t="s">
        <v>635</v>
      </c>
      <c r="C62" s="2" t="s">
        <v>636</v>
      </c>
      <c r="D62" s="2" t="s">
        <v>637</v>
      </c>
      <c r="E62" s="2" t="s">
        <v>638</v>
      </c>
      <c r="F62" s="2" t="s">
        <v>639</v>
      </c>
      <c r="G62" s="2" t="s">
        <v>640</v>
      </c>
      <c r="H62" s="2" t="s">
        <v>641</v>
      </c>
      <c r="I62" s="2" t="s">
        <v>642</v>
      </c>
      <c r="J62" s="2" t="s">
        <v>643</v>
      </c>
      <c r="K62" s="2" t="s">
        <v>644</v>
      </c>
      <c r="L62" s="2" t="s">
        <v>645</v>
      </c>
      <c r="M62" s="2" t="s">
        <v>646</v>
      </c>
      <c r="N62" s="2" t="s">
        <v>647</v>
      </c>
      <c r="O62" s="2" t="s">
        <v>648</v>
      </c>
      <c r="P62" s="2" t="s">
        <v>649</v>
      </c>
      <c r="Q62" s="2" t="s">
        <v>650</v>
      </c>
      <c r="R62" s="2" t="s">
        <v>651</v>
      </c>
      <c r="S62" s="2" t="s">
        <v>652</v>
      </c>
      <c r="T62" s="2" t="s">
        <v>653</v>
      </c>
      <c r="U62" s="2" t="s">
        <v>654</v>
      </c>
      <c r="V62" s="2" t="s">
        <v>655</v>
      </c>
      <c r="W62" s="2" t="e">
        <f ca="1">"F" &amp; RIGHT(W64,2) &amp; " " &amp; YEAR(W61)+IF((LEFT(W64,2)&gt;LEFT($D$39,2)),1,0)</f>
        <v>#NAME?</v>
      </c>
      <c r="X62" s="2" t="e">
        <f t="shared" ref="X62:AN62" ca="1" si="8">"F" &amp; RIGHT(X64,2) &amp; " " &amp; YEAR(X61)+IF((LEFT(X64,2)&gt;LEFT($D$39,2)),1,0)</f>
        <v>#NAME?</v>
      </c>
      <c r="Y62" s="2" t="e">
        <f t="shared" ca="1" si="8"/>
        <v>#NAME?</v>
      </c>
      <c r="Z62" s="2" t="e">
        <f t="shared" ca="1" si="8"/>
        <v>#NAME?</v>
      </c>
      <c r="AA62" s="2" t="e">
        <f t="shared" ca="1" si="8"/>
        <v>#NAME?</v>
      </c>
      <c r="AB62" s="2" t="e">
        <f t="shared" ca="1" si="8"/>
        <v>#NAME?</v>
      </c>
      <c r="AC62" s="2" t="e">
        <f t="shared" ca="1" si="8"/>
        <v>#NAME?</v>
      </c>
      <c r="AD62" s="2" t="e">
        <f t="shared" ca="1" si="8"/>
        <v>#NAME?</v>
      </c>
      <c r="AE62" s="2" t="e">
        <f t="shared" ca="1" si="8"/>
        <v>#NAME?</v>
      </c>
      <c r="AF62" s="2" t="e">
        <f t="shared" ca="1" si="8"/>
        <v>#NAME?</v>
      </c>
      <c r="AG62" s="2" t="e">
        <f t="shared" ca="1" si="8"/>
        <v>#NAME?</v>
      </c>
      <c r="AH62" s="2" t="e">
        <f t="shared" ca="1" si="8"/>
        <v>#NAME?</v>
      </c>
      <c r="AI62" s="2" t="e">
        <f t="shared" ca="1" si="8"/>
        <v>#NAME?</v>
      </c>
      <c r="AJ62" s="2" t="e">
        <f t="shared" ca="1" si="8"/>
        <v>#NAME?</v>
      </c>
      <c r="AK62" s="2" t="e">
        <f t="shared" ca="1" si="8"/>
        <v>#NAME?</v>
      </c>
      <c r="AL62" s="2" t="e">
        <f t="shared" ca="1" si="8"/>
        <v>#NAME?</v>
      </c>
      <c r="AM62" s="2" t="e">
        <f t="shared" ca="1" si="8"/>
        <v>#NAME?</v>
      </c>
      <c r="AN62" s="2" t="e">
        <f t="shared" ca="1" si="8"/>
        <v>#NAME?</v>
      </c>
    </row>
    <row r="63" spans="1:51">
      <c r="B63" s="2">
        <v>736</v>
      </c>
      <c r="C63" s="2">
        <v>1040</v>
      </c>
      <c r="D63" s="2">
        <v>873</v>
      </c>
      <c r="E63" s="2">
        <v>474</v>
      </c>
      <c r="F63" s="2">
        <v>1059</v>
      </c>
      <c r="G63" s="2">
        <v>1055</v>
      </c>
      <c r="H63" s="2">
        <v>719</v>
      </c>
      <c r="I63" s="2">
        <v>1713</v>
      </c>
      <c r="J63" s="2">
        <v>1531</v>
      </c>
      <c r="K63" s="2">
        <v>1712</v>
      </c>
      <c r="L63" s="2">
        <v>1599</v>
      </c>
      <c r="M63" s="2">
        <v>1782</v>
      </c>
      <c r="N63" s="2">
        <v>1756</v>
      </c>
      <c r="O63" s="2">
        <v>1752</v>
      </c>
      <c r="P63" s="2">
        <v>1767</v>
      </c>
      <c r="Q63" s="2">
        <v>1909</v>
      </c>
      <c r="R63" s="2">
        <v>1391</v>
      </c>
      <c r="S63" s="2">
        <v>1408</v>
      </c>
      <c r="T63" s="2">
        <v>1339</v>
      </c>
      <c r="U63" s="2">
        <v>1435</v>
      </c>
      <c r="V63" s="2">
        <v>994</v>
      </c>
      <c r="W63" s="2" t="e">
        <f ca="1">IF(LEFT(_xll.BDP($B$38,'Calc Data'!$AX$8,"BEST_FPERIOD_OVERRIDE",'Calc Data'!AV80,BDP_OVERRIDES,BDP_OVERRIDES_DATA),4)="#N/A",NA(),_xll.BDP($B$38,'Calc Data'!$AX$8,"BEST_FPERIOD_OVERRIDE",'Calc Data'!AV80,BDP_OVERRIDES,BDP_OVERRIDES_DATA))</f>
        <v>#NAME?</v>
      </c>
      <c r="X63" s="2" t="e">
        <f ca="1">IF(LEFT(_xll.BDP($B$38,'Calc Data'!$AX$8,"BEST_FPERIOD_OVERRIDE",'Calc Data'!AW80,BDP_OVERRIDES,BDP_OVERRIDES_DATA),4)="#N/A",NA(),_xll.BDP($B$38,'Calc Data'!$AX$8,"BEST_FPERIOD_OVERRIDE",'Calc Data'!AW80,BDP_OVERRIDES,BDP_OVERRIDES_DATA))</f>
        <v>#NAME?</v>
      </c>
      <c r="Y63" s="2" t="e">
        <f ca="1">IF(LEFT(_xll.BDP($B$38,'Calc Data'!$AX$8,"BEST_FPERIOD_OVERRIDE",'Calc Data'!AX80,BDP_OVERRIDES,BDP_OVERRIDES_DATA),4)="#N/A",NA(),_xll.BDP($B$38,'Calc Data'!$AX$8,"BEST_FPERIOD_OVERRIDE",'Calc Data'!AX80,BDP_OVERRIDES,BDP_OVERRIDES_DATA))</f>
        <v>#NAME?</v>
      </c>
      <c r="Z63" s="2" t="e">
        <f ca="1">IF(LEFT(_xll.BDP($B$38,'Calc Data'!$AX$8,"BEST_FPERIOD_OVERRIDE",'Calc Data'!AY80,BDP_OVERRIDES,BDP_OVERRIDES_DATA),4)="#N/A",NA(),_xll.BDP($B$38,'Calc Data'!$AX$8,"BEST_FPERIOD_OVERRIDE",'Calc Data'!AY80,BDP_OVERRIDES,BDP_OVERRIDES_DATA))</f>
        <v>#NAME?</v>
      </c>
      <c r="AA63" s="2" t="e">
        <f ca="1">IF(LEFT(_xll.BDP($B$38,'Calc Data'!$AX$8,"BEST_FPERIOD_OVERRIDE",'Calc Data'!AZ80,BDP_OVERRIDES,BDP_OVERRIDES_DATA),4)="#N/A",NA(),_xll.BDP($B$38,'Calc Data'!$AX$8,"BEST_FPERIOD_OVERRIDE",'Calc Data'!AZ80,BDP_OVERRIDES,BDP_OVERRIDES_DATA))</f>
        <v>#NAME?</v>
      </c>
      <c r="AB63" s="2" t="e">
        <f ca="1">IF(LEFT(_xll.BDP($B$38,'Calc Data'!$AX$8,"BEST_FPERIOD_OVERRIDE",'Calc Data'!BA80,BDP_OVERRIDES,BDP_OVERRIDES_DATA),4)="#N/A",NA(),_xll.BDP($B$38,'Calc Data'!$AX$8,"BEST_FPERIOD_OVERRIDE",'Calc Data'!BA80,BDP_OVERRIDES,BDP_OVERRIDES_DATA))</f>
        <v>#NAME?</v>
      </c>
      <c r="AC63" s="2" t="e">
        <f ca="1">IF(LEFT(_xll.BDP($B$38,'Calc Data'!$AX$8,"BEST_FPERIOD_OVERRIDE",'Calc Data'!BB80,BDP_OVERRIDES,BDP_OVERRIDES_DATA),4)="#N/A",NA(),_xll.BDP($B$38,'Calc Data'!$AX$8,"BEST_FPERIOD_OVERRIDE",'Calc Data'!BB80,BDP_OVERRIDES,BDP_OVERRIDES_DATA))</f>
        <v>#NAME?</v>
      </c>
      <c r="AD63" s="2" t="e">
        <f ca="1">IF(LEFT(_xll.BDP($B$38,'Calc Data'!$AX$8,"BEST_FPERIOD_OVERRIDE",'Calc Data'!BC80,BDP_OVERRIDES,BDP_OVERRIDES_DATA),4)="#N/A",NA(),_xll.BDP($B$38,'Calc Data'!$AX$8,"BEST_FPERIOD_OVERRIDE",'Calc Data'!BC80,BDP_OVERRIDES,BDP_OVERRIDES_DATA))</f>
        <v>#NAME?</v>
      </c>
      <c r="AE63" s="2" t="e">
        <f ca="1">IF(LEFT(_xll.BDP($B$38,'Calc Data'!$AX$8,"BEST_FPERIOD_OVERRIDE",'Calc Data'!BD80,BDP_OVERRIDES,BDP_OVERRIDES_DATA),4)="#N/A",NA(),_xll.BDP($B$38,'Calc Data'!$AX$8,"BEST_FPERIOD_OVERRIDE",'Calc Data'!BD80,BDP_OVERRIDES,BDP_OVERRIDES_DATA))</f>
        <v>#NAME?</v>
      </c>
      <c r="AF63" s="2" t="e">
        <f ca="1">IF(LEFT(_xll.BDP($B$38,'Calc Data'!$AX$8,"BEST_FPERIOD_OVERRIDE",'Calc Data'!BE80,BDP_OVERRIDES,BDP_OVERRIDES_DATA),4)="#N/A",NA(),_xll.BDP($B$38,'Calc Data'!$AX$8,"BEST_FPERIOD_OVERRIDE",'Calc Data'!BE80,BDP_OVERRIDES,BDP_OVERRIDES_DATA))</f>
        <v>#NAME?</v>
      </c>
      <c r="AG63" s="2" t="e">
        <f ca="1">IF(LEFT(_xll.BDP($B$38,'Calc Data'!$AX$8,"BEST_FPERIOD_OVERRIDE",'Calc Data'!BF80,BDP_OVERRIDES,BDP_OVERRIDES_DATA),4)="#N/A",NA(),_xll.BDP($B$38,'Calc Data'!$AX$8,"BEST_FPERIOD_OVERRIDE",'Calc Data'!BF80,BDP_OVERRIDES,BDP_OVERRIDES_DATA))</f>
        <v>#NAME?</v>
      </c>
      <c r="AH63" s="2" t="e">
        <f ca="1">IF(LEFT(_xll.BDP($B$38,'Calc Data'!$AX$8,"BEST_FPERIOD_OVERRIDE",'Calc Data'!BG80,BDP_OVERRIDES,BDP_OVERRIDES_DATA),4)="#N/A",NA(),_xll.BDP($B$38,'Calc Data'!$AX$8,"BEST_FPERIOD_OVERRIDE",'Calc Data'!BG80,BDP_OVERRIDES,BDP_OVERRIDES_DATA))</f>
        <v>#NAME?</v>
      </c>
      <c r="AI63" s="2" t="e">
        <f ca="1">IF(LEFT(_xll.BDP($B$38,'Calc Data'!$AX$8,"BEST_FPERIOD_OVERRIDE",'Calc Data'!BH80,BDP_OVERRIDES,BDP_OVERRIDES_DATA),4)="#N/A",NA(),_xll.BDP($B$38,'Calc Data'!$AX$8,"BEST_FPERIOD_OVERRIDE",'Calc Data'!BH80,BDP_OVERRIDES,BDP_OVERRIDES_DATA))</f>
        <v>#NAME?</v>
      </c>
      <c r="AJ63" s="2" t="e">
        <f ca="1">IF(LEFT(_xll.BDP($B$38,'Calc Data'!$AX$8,"BEST_FPERIOD_OVERRIDE",'Calc Data'!BI80,BDP_OVERRIDES,BDP_OVERRIDES_DATA),4)="#N/A",NA(),_xll.BDP($B$38,'Calc Data'!$AX$8,"BEST_FPERIOD_OVERRIDE",'Calc Data'!BI80,BDP_OVERRIDES,BDP_OVERRIDES_DATA))</f>
        <v>#NAME?</v>
      </c>
      <c r="AK63" s="2" t="e">
        <f ca="1">IF(LEFT(_xll.BDP($B$38,'Calc Data'!$AX$8,"BEST_FPERIOD_OVERRIDE",'Calc Data'!BJ80,BDP_OVERRIDES,BDP_OVERRIDES_DATA),4)="#N/A",NA(),_xll.BDP($B$38,'Calc Data'!$AX$8,"BEST_FPERIOD_OVERRIDE",'Calc Data'!BJ80,BDP_OVERRIDES,BDP_OVERRIDES_DATA))</f>
        <v>#NAME?</v>
      </c>
      <c r="AL63" s="2" t="e">
        <f ca="1">IF(LEFT(_xll.BDP($B$38,'Calc Data'!$AX$8,"BEST_FPERIOD_OVERRIDE",'Calc Data'!BK80,BDP_OVERRIDES,BDP_OVERRIDES_DATA),4)="#N/A",NA(),_xll.BDP($B$38,'Calc Data'!$AX$8,"BEST_FPERIOD_OVERRIDE",'Calc Data'!BK80,BDP_OVERRIDES,BDP_OVERRIDES_DATA))</f>
        <v>#NAME?</v>
      </c>
      <c r="AM63" s="2" t="e">
        <f ca="1">IF(LEFT(_xll.BDP($B$38,'Calc Data'!$AX$8,"BEST_FPERIOD_OVERRIDE",'Calc Data'!BL80,BDP_OVERRIDES,BDP_OVERRIDES_DATA),4)="#N/A",NA(),_xll.BDP($B$38,'Calc Data'!$AX$8,"BEST_FPERIOD_OVERRIDE",'Calc Data'!BL80,BDP_OVERRIDES,BDP_OVERRIDES_DATA))</f>
        <v>#NAME?</v>
      </c>
      <c r="AN63" s="2" t="e">
        <f ca="1">IF(LEFT(_xll.BDP($B$38,'Calc Data'!$AX$8,"BEST_FPERIOD_OVERRIDE",'Calc Data'!BM80,BDP_OVERRIDES,BDP_OVERRIDES_DATA),4)="#N/A",NA(),_xll.BDP($B$38,'Calc Data'!$AX$8,"BEST_FPERIOD_OVERRIDE",'Calc Data'!BM80,BDP_OVERRIDES,BDP_OVERRIDES_DATA))</f>
        <v>#NAME?</v>
      </c>
    </row>
    <row r="64" spans="1:51">
      <c r="W64" s="2" t="e">
        <f ca="1">_xll.BDP($B$38,"BEST_FISCAL_PERIOD_DT","BEST_FPERIOD_OVERRIDE",'Calc Data'!AV80)</f>
        <v>#NAME?</v>
      </c>
      <c r="X64" s="2" t="e">
        <f ca="1">_xll.BDP($B$38,"BEST_FISCAL_PERIOD_DT","BEST_FPERIOD_OVERRIDE",'Calc Data'!AW80)</f>
        <v>#NAME?</v>
      </c>
      <c r="Y64" s="2" t="e">
        <f ca="1">_xll.BDP($B$38,"BEST_FISCAL_PERIOD_DT","BEST_FPERIOD_OVERRIDE",'Calc Data'!AX80)</f>
        <v>#NAME?</v>
      </c>
      <c r="Z64" s="2" t="e">
        <f ca="1">_xll.BDP($B$38,"BEST_FISCAL_PERIOD_DT","BEST_FPERIOD_OVERRIDE",'Calc Data'!AY80)</f>
        <v>#NAME?</v>
      </c>
      <c r="AA64" s="2" t="e">
        <f ca="1">_xll.BDP($B$38,"BEST_FISCAL_PERIOD_DT","BEST_FPERIOD_OVERRIDE",'Calc Data'!AZ80)</f>
        <v>#NAME?</v>
      </c>
      <c r="AB64" s="2" t="e">
        <f ca="1">_xll.BDP($B$38,"BEST_FISCAL_PERIOD_DT","BEST_FPERIOD_OVERRIDE",'Calc Data'!BA80)</f>
        <v>#NAME?</v>
      </c>
      <c r="AC64" s="2" t="e">
        <f ca="1">_xll.BDP($B$38,"BEST_FISCAL_PERIOD_DT","BEST_FPERIOD_OVERRIDE",'Calc Data'!BB80)</f>
        <v>#NAME?</v>
      </c>
      <c r="AD64" s="2" t="e">
        <f ca="1">_xll.BDP($B$38,"BEST_FISCAL_PERIOD_DT","BEST_FPERIOD_OVERRIDE",'Calc Data'!BC80)</f>
        <v>#NAME?</v>
      </c>
      <c r="AE64" s="2" t="e">
        <f ca="1">_xll.BDP($B$38,"BEST_FISCAL_PERIOD_DT","BEST_FPERIOD_OVERRIDE",'Calc Data'!BD80)</f>
        <v>#NAME?</v>
      </c>
      <c r="AF64" s="2" t="e">
        <f ca="1">_xll.BDP($B$38,"BEST_FISCAL_PERIOD_DT","BEST_FPERIOD_OVERRIDE",'Calc Data'!BE80)</f>
        <v>#NAME?</v>
      </c>
      <c r="AG64" s="2" t="e">
        <f ca="1">_xll.BDP($B$38,"BEST_FISCAL_PERIOD_DT","BEST_FPERIOD_OVERRIDE",'Calc Data'!BF80)</f>
        <v>#NAME?</v>
      </c>
      <c r="AH64" s="2" t="e">
        <f ca="1">_xll.BDP($B$38,"BEST_FISCAL_PERIOD_DT","BEST_FPERIOD_OVERRIDE",'Calc Data'!BG80)</f>
        <v>#NAME?</v>
      </c>
      <c r="AI64" s="2" t="e">
        <f ca="1">_xll.BDP($B$38,"BEST_FISCAL_PERIOD_DT","BEST_FPERIOD_OVERRIDE",'Calc Data'!BH80)</f>
        <v>#NAME?</v>
      </c>
      <c r="AJ64" s="2" t="e">
        <f ca="1">_xll.BDP($B$38,"BEST_FISCAL_PERIOD_DT","BEST_FPERIOD_OVERRIDE",'Calc Data'!BI80)</f>
        <v>#NAME?</v>
      </c>
      <c r="AK64" s="2" t="e">
        <f ca="1">_xll.BDP($B$38,"BEST_FISCAL_PERIOD_DT","BEST_FPERIOD_OVERRIDE",'Calc Data'!BJ80)</f>
        <v>#NAME?</v>
      </c>
      <c r="AL64" s="2" t="e">
        <f ca="1">_xll.BDP($B$38,"BEST_FISCAL_PERIOD_DT","BEST_FPERIOD_OVERRIDE",'Calc Data'!BK80)</f>
        <v>#NAME?</v>
      </c>
      <c r="AM64" s="2" t="e">
        <f ca="1">_xll.BDP($B$38,"BEST_FISCAL_PERIOD_DT","BEST_FPERIOD_OVERRIDE",'Calc Data'!BL80)</f>
        <v>#NAME?</v>
      </c>
      <c r="AN64" s="2" t="e">
        <f ca="1">_xll.BDP($B$38,"BEST_FISCAL_PERIOD_DT","BEST_FPERIOD_OVERRIDE",'Calc Data'!BM80)</f>
        <v>#NAME?</v>
      </c>
    </row>
    <row r="65" spans="2:40">
      <c r="V65" s="17"/>
    </row>
    <row r="66" spans="2:40" ht="5.25" customHeight="1">
      <c r="V66" s="17"/>
    </row>
    <row r="67" spans="2:40" ht="5.25" customHeight="1"/>
    <row r="68" spans="2:40" ht="5.25" customHeight="1"/>
    <row r="73" spans="2:40">
      <c r="B73" t="str">
        <f>'EM Data'!B11</f>
        <v>FY1 2021</v>
      </c>
      <c r="C73" t="str">
        <f>'EM Data'!C11</f>
        <v>FY1 2022</v>
      </c>
      <c r="D73" t="str">
        <f>'EM Data'!D11</f>
        <v>FY1 2023</v>
      </c>
      <c r="E73" t="str">
        <f>'EM Data'!E11</f>
        <v>FY1 2024</v>
      </c>
      <c r="F73" t="str">
        <f>'EM Data'!F11</f>
        <v>FY1 2025</v>
      </c>
      <c r="G73" t="e">
        <f ca="1">'EM Data'!G11</f>
        <v>#NAME?</v>
      </c>
      <c r="H73" t="e">
        <f ca="1">'EM Data'!H11</f>
        <v>#NAME?</v>
      </c>
      <c r="I73" t="e">
        <f ca="1">'EM Data'!I11</f>
        <v>#NAME?</v>
      </c>
      <c r="J73" t="e">
        <f ca="1">'EM Data'!J11</f>
        <v>#NAME?</v>
      </c>
      <c r="K73">
        <f>'EM Data'!K11</f>
        <v>0</v>
      </c>
      <c r="L73">
        <f>'EM Data'!L11</f>
        <v>0</v>
      </c>
      <c r="M73">
        <f>'EM Data'!M11</f>
        <v>0</v>
      </c>
      <c r="N73">
        <f>'EM Data'!N11</f>
        <v>0</v>
      </c>
      <c r="O73">
        <f>'EM Data'!O11</f>
        <v>0</v>
      </c>
      <c r="P73">
        <f>'EM Data'!P11</f>
        <v>0</v>
      </c>
      <c r="Q73">
        <f>'EM Data'!Q11</f>
        <v>0</v>
      </c>
      <c r="R73">
        <f>'EM Data'!R11</f>
        <v>0</v>
      </c>
      <c r="S73">
        <f>'EM Data'!S11</f>
        <v>0</v>
      </c>
      <c r="T73">
        <f>'EM Data'!T11</f>
        <v>0</v>
      </c>
      <c r="U73">
        <f>'EM Data'!U11</f>
        <v>0</v>
      </c>
      <c r="V73">
        <f>'EM Data'!V11</f>
        <v>0</v>
      </c>
      <c r="W73">
        <f>'EM Data'!W11</f>
        <v>0</v>
      </c>
      <c r="X73">
        <f>'EM Data'!X11</f>
        <v>0</v>
      </c>
      <c r="Y73">
        <f>'EM Data'!Y11</f>
        <v>0</v>
      </c>
      <c r="Z73">
        <f>'EM Data'!Z11</f>
        <v>0</v>
      </c>
      <c r="AA73">
        <f>'EM Data'!AA11</f>
        <v>0</v>
      </c>
      <c r="AB73">
        <f>'EM Data'!AB11</f>
        <v>0</v>
      </c>
      <c r="AC73">
        <f>'EM Data'!AC11</f>
        <v>0</v>
      </c>
      <c r="AD73">
        <f>'EM Data'!AD11</f>
        <v>0</v>
      </c>
      <c r="AE73">
        <f>'EM Data'!AE11</f>
        <v>0</v>
      </c>
      <c r="AF73">
        <f>'EM Data'!AF11</f>
        <v>0</v>
      </c>
      <c r="AG73">
        <f>'EM Data'!AG11</f>
        <v>0</v>
      </c>
      <c r="AH73">
        <f>'EM Data'!AH11</f>
        <v>0</v>
      </c>
      <c r="AI73">
        <f>'EM Data'!AI11</f>
        <v>0</v>
      </c>
      <c r="AJ73">
        <f>'EM Data'!AJ11</f>
        <v>0</v>
      </c>
      <c r="AK73">
        <f>'EM Data'!AK11</f>
        <v>0</v>
      </c>
      <c r="AL73">
        <f>'EM Data'!AL11</f>
        <v>0</v>
      </c>
      <c r="AM73">
        <f>'EM Data'!AM11</f>
        <v>0</v>
      </c>
      <c r="AN73">
        <f>'EM Data'!AN11</f>
        <v>0</v>
      </c>
    </row>
    <row r="74" spans="2:40">
      <c r="B74" t="e">
        <f ca="1">IF('EM Data'!$B$6&lt;&gt;"S","-", 'EM Data'!B19)</f>
        <v>#NAME?</v>
      </c>
      <c r="C74" t="e">
        <f ca="1">IF('EM Data'!$B$6&lt;&gt;"S","-", 'EM Data'!C19)</f>
        <v>#NAME?</v>
      </c>
      <c r="D74" t="e">
        <f ca="1">IF('EM Data'!$B$6&lt;&gt;"S","-", 'EM Data'!D19)</f>
        <v>#NAME?</v>
      </c>
      <c r="E74" t="e">
        <f ca="1">IF('EM Data'!$B$6&lt;&gt;"S","-", 'EM Data'!E19)</f>
        <v>#NAME?</v>
      </c>
      <c r="F74" t="e">
        <f ca="1">IF('EM Data'!$B$6&lt;&gt;"S","-", 'EM Data'!F19)</f>
        <v>#NAME?</v>
      </c>
      <c r="G74" t="e">
        <f ca="1">IF('EM Data'!$B$6&lt;&gt;"S","-", 'EM Data'!G19)</f>
        <v>#NAME?</v>
      </c>
      <c r="H74" t="e">
        <f ca="1">IF('EM Data'!$B$6&lt;&gt;"S","-", 'EM Data'!H19)</f>
        <v>#NAME?</v>
      </c>
      <c r="I74" t="e">
        <f ca="1">IF('EM Data'!$B$6&lt;&gt;"S","-", 'EM Data'!I19)</f>
        <v>#NAME?</v>
      </c>
      <c r="J74" t="e">
        <f ca="1">IF('EM Data'!$B$6&lt;&gt;"S","-", 'EM Data'!J19)</f>
        <v>#NAME?</v>
      </c>
      <c r="K74" t="e">
        <f ca="1">IF('EM Data'!$B$6&lt;&gt;"S","-", 'EM Data'!K19)</f>
        <v>#NAME?</v>
      </c>
      <c r="L74" t="e">
        <f ca="1">IF('EM Data'!$B$6&lt;&gt;"S","-", 'EM Data'!L19)</f>
        <v>#NAME?</v>
      </c>
      <c r="M74" t="e">
        <f ca="1">IF('EM Data'!$B$6&lt;&gt;"S","-", 'EM Data'!M19)</f>
        <v>#NAME?</v>
      </c>
      <c r="N74" t="e">
        <f ca="1">IF('EM Data'!$B$6&lt;&gt;"S","-", 'EM Data'!N19)</f>
        <v>#NAME?</v>
      </c>
      <c r="O74" t="e">
        <f ca="1">IF('EM Data'!$B$6&lt;&gt;"S","-", 'EM Data'!O19)</f>
        <v>#NAME?</v>
      </c>
      <c r="P74" t="e">
        <f ca="1">IF('EM Data'!$B$6&lt;&gt;"S","-", 'EM Data'!P19)</f>
        <v>#NAME?</v>
      </c>
      <c r="Q74" t="e">
        <f ca="1">IF('EM Data'!$B$6&lt;&gt;"S","-", 'EM Data'!Q19)</f>
        <v>#NAME?</v>
      </c>
      <c r="R74" t="e">
        <f ca="1">IF('EM Data'!$B$6&lt;&gt;"S","-", 'EM Data'!R19)</f>
        <v>#NAME?</v>
      </c>
      <c r="S74" t="e">
        <f ca="1">IF('EM Data'!$B$6&lt;&gt;"S","-", 'EM Data'!S19)</f>
        <v>#NAME?</v>
      </c>
      <c r="T74" t="e">
        <f ca="1">IF('EM Data'!$B$6&lt;&gt;"S","-", 'EM Data'!T19)</f>
        <v>#NAME?</v>
      </c>
      <c r="U74" t="e">
        <f ca="1">IF('EM Data'!$B$6&lt;&gt;"S","-", 'EM Data'!U19)</f>
        <v>#NAME?</v>
      </c>
      <c r="V74" t="e">
        <f ca="1">IF('EM Data'!$B$6&lt;&gt;"S","-", 'EM Data'!V19)</f>
        <v>#NAME?</v>
      </c>
      <c r="W74" t="e">
        <f ca="1">IF('EM Data'!$B$6&lt;&gt;"S","-", 'EM Data'!W19)</f>
        <v>#NAME?</v>
      </c>
      <c r="X74" t="e">
        <f ca="1">IF('EM Data'!$B$6&lt;&gt;"S","-", 'EM Data'!X19)</f>
        <v>#NAME?</v>
      </c>
      <c r="Y74" t="e">
        <f ca="1">IF('EM Data'!$B$6&lt;&gt;"S","-", 'EM Data'!Y19)</f>
        <v>#NAME?</v>
      </c>
      <c r="Z74" t="e">
        <f ca="1">IF('EM Data'!$B$6&lt;&gt;"S","-", 'EM Data'!Z19)</f>
        <v>#NAME?</v>
      </c>
      <c r="AA74" t="e">
        <f ca="1">IF('EM Data'!$B$6&lt;&gt;"S","-", 'EM Data'!AA19)</f>
        <v>#NAME?</v>
      </c>
      <c r="AB74" t="e">
        <f ca="1">IF('EM Data'!$B$6&lt;&gt;"S","-", 'EM Data'!AB19)</f>
        <v>#NAME?</v>
      </c>
      <c r="AC74" t="e">
        <f ca="1">IF('EM Data'!$B$6&lt;&gt;"S","-", 'EM Data'!AC19)</f>
        <v>#NAME?</v>
      </c>
      <c r="AD74" t="e">
        <f ca="1">IF('EM Data'!$B$6&lt;&gt;"S","-", 'EM Data'!AD19)</f>
        <v>#NAME?</v>
      </c>
      <c r="AE74" t="e">
        <f ca="1">IF('EM Data'!$B$6&lt;&gt;"S","-", 'EM Data'!AE19)</f>
        <v>#NAME?</v>
      </c>
      <c r="AF74" t="e">
        <f ca="1">IF('EM Data'!$B$6&lt;&gt;"S","-", 'EM Data'!AF19)</f>
        <v>#NAME?</v>
      </c>
      <c r="AG74" t="e">
        <f ca="1">IF('EM Data'!$B$6&lt;&gt;"S","-", 'EM Data'!AG19)</f>
        <v>#NAME?</v>
      </c>
      <c r="AH74" t="e">
        <f ca="1">IF('EM Data'!$B$6&lt;&gt;"S","-", 'EM Data'!AH19)</f>
        <v>#NAME?</v>
      </c>
      <c r="AI74" t="e">
        <f ca="1">IF('EM Data'!$B$6&lt;&gt;"S","-", 'EM Data'!AI19)</f>
        <v>#NAME?</v>
      </c>
      <c r="AJ74" t="e">
        <f ca="1">IF('EM Data'!$B$6&lt;&gt;"S","-", 'EM Data'!AJ19)</f>
        <v>#NAME?</v>
      </c>
      <c r="AK74" t="e">
        <f ca="1">IF('EM Data'!$B$6&lt;&gt;"S","-", 'EM Data'!AK19)</f>
        <v>#NAME?</v>
      </c>
      <c r="AL74" t="e">
        <f ca="1">IF('EM Data'!$B$6&lt;&gt;"S","-", 'EM Data'!AL19)</f>
        <v>#NAME?</v>
      </c>
      <c r="AM74" t="e">
        <f ca="1">IF('EM Data'!$B$6&lt;&gt;"S","-", 'EM Data'!AM19)</f>
        <v>#NAME?</v>
      </c>
      <c r="AN74" t="e">
        <f ca="1">IF('EM Data'!$B$6&lt;&gt;"S","-", 'EM Data'!AN19)</f>
        <v>#NAME?</v>
      </c>
    </row>
    <row r="75" spans="2:40">
      <c r="B75" t="e">
        <f ca="1">IF('EM Data'!$B$6&lt;&gt;"Q","-",'EM Data'!B27)</f>
        <v>#NAME?</v>
      </c>
      <c r="C75" t="e">
        <f ca="1">IF('EM Data'!$B$6&lt;&gt;"Q","-",'EM Data'!C27)</f>
        <v>#NAME?</v>
      </c>
      <c r="D75" t="e">
        <f ca="1">IF('EM Data'!$B$6&lt;&gt;"Q","-",'EM Data'!D27)</f>
        <v>#NAME?</v>
      </c>
      <c r="E75" t="e">
        <f ca="1">IF('EM Data'!$B$6&lt;&gt;"Q","-",'EM Data'!E27)</f>
        <v>#NAME?</v>
      </c>
      <c r="F75" t="e">
        <f ca="1">IF('EM Data'!$B$6&lt;&gt;"Q","-",'EM Data'!F27)</f>
        <v>#NAME?</v>
      </c>
      <c r="G75" t="e">
        <f ca="1">IF('EM Data'!$B$6&lt;&gt;"Q","-",'EM Data'!G27)</f>
        <v>#NAME?</v>
      </c>
      <c r="H75" t="e">
        <f ca="1">IF('EM Data'!$B$6&lt;&gt;"Q","-",'EM Data'!H27)</f>
        <v>#NAME?</v>
      </c>
      <c r="I75" t="e">
        <f ca="1">IF('EM Data'!$B$6&lt;&gt;"Q","-",'EM Data'!I27)</f>
        <v>#NAME?</v>
      </c>
      <c r="J75" t="e">
        <f ca="1">IF('EM Data'!$B$6&lt;&gt;"Q","-",'EM Data'!J27)</f>
        <v>#NAME?</v>
      </c>
      <c r="K75" t="e">
        <f ca="1">IF('EM Data'!$B$6&lt;&gt;"Q","-",'EM Data'!K27)</f>
        <v>#NAME?</v>
      </c>
      <c r="L75" t="e">
        <f ca="1">IF('EM Data'!$B$6&lt;&gt;"Q","-",'EM Data'!L27)</f>
        <v>#NAME?</v>
      </c>
      <c r="M75" t="e">
        <f ca="1">IF('EM Data'!$B$6&lt;&gt;"Q","-",'EM Data'!M27)</f>
        <v>#NAME?</v>
      </c>
      <c r="N75" t="e">
        <f ca="1">IF('EM Data'!$B$6&lt;&gt;"Q","-",'EM Data'!N27)</f>
        <v>#NAME?</v>
      </c>
      <c r="O75" t="e">
        <f ca="1">IF('EM Data'!$B$6&lt;&gt;"Q","-",'EM Data'!O27)</f>
        <v>#NAME?</v>
      </c>
      <c r="P75" t="e">
        <f ca="1">IF('EM Data'!$B$6&lt;&gt;"Q","-",'EM Data'!P27)</f>
        <v>#NAME?</v>
      </c>
      <c r="Q75" t="e">
        <f ca="1">IF('EM Data'!$B$6&lt;&gt;"Q","-",'EM Data'!Q27)</f>
        <v>#NAME?</v>
      </c>
      <c r="R75" t="e">
        <f ca="1">IF('EM Data'!$B$6&lt;&gt;"Q","-",'EM Data'!R27)</f>
        <v>#NAME?</v>
      </c>
      <c r="S75" t="e">
        <f ca="1">IF('EM Data'!$B$6&lt;&gt;"Q","-",'EM Data'!S27)</f>
        <v>#NAME?</v>
      </c>
      <c r="T75" t="e">
        <f ca="1">IF('EM Data'!$B$6&lt;&gt;"Q","-",'EM Data'!T27)</f>
        <v>#NAME?</v>
      </c>
      <c r="U75" t="e">
        <f ca="1">IF('EM Data'!$B$6&lt;&gt;"Q","-",'EM Data'!U27)</f>
        <v>#NAME?</v>
      </c>
      <c r="V75" t="e">
        <f ca="1">IF('EM Data'!$B$6&lt;&gt;"Q","-",'EM Data'!V27)</f>
        <v>#NAME?</v>
      </c>
      <c r="W75" t="e">
        <f ca="1">IF('EM Data'!$B$6&lt;&gt;"Q","-",'EM Data'!W27)</f>
        <v>#NAME?</v>
      </c>
      <c r="X75" t="e">
        <f ca="1">IF('EM Data'!$B$6&lt;&gt;"Q","-",'EM Data'!X27)</f>
        <v>#NAME?</v>
      </c>
      <c r="Y75" t="e">
        <f ca="1">IF('EM Data'!$B$6&lt;&gt;"Q","-",'EM Data'!Y27)</f>
        <v>#NAME?</v>
      </c>
      <c r="Z75" t="e">
        <f ca="1">IF('EM Data'!$B$6&lt;&gt;"Q","-",'EM Data'!Z27)</f>
        <v>#NAME?</v>
      </c>
      <c r="AA75" t="e">
        <f ca="1">IF('EM Data'!$B$6&lt;&gt;"Q","-",'EM Data'!AA27)</f>
        <v>#NAME?</v>
      </c>
      <c r="AB75" t="e">
        <f ca="1">IF('EM Data'!$B$6&lt;&gt;"Q","-",'EM Data'!AB27)</f>
        <v>#NAME?</v>
      </c>
      <c r="AC75" t="e">
        <f ca="1">IF('EM Data'!$B$6&lt;&gt;"Q","-",'EM Data'!AC27)</f>
        <v>#NAME?</v>
      </c>
      <c r="AD75" t="e">
        <f ca="1">IF('EM Data'!$B$6&lt;&gt;"Q","-",'EM Data'!AD27)</f>
        <v>#NAME?</v>
      </c>
      <c r="AE75" t="e">
        <f ca="1">IF('EM Data'!$B$6&lt;&gt;"Q","-",'EM Data'!AE27)</f>
        <v>#NAME?</v>
      </c>
      <c r="AF75" t="e">
        <f ca="1">IF('EM Data'!$B$6&lt;&gt;"Q","-",'EM Data'!AF27)</f>
        <v>#NAME?</v>
      </c>
      <c r="AG75" t="e">
        <f ca="1">IF('EM Data'!$B$6&lt;&gt;"Q","-",'EM Data'!AG27)</f>
        <v>#NAME?</v>
      </c>
      <c r="AH75" t="e">
        <f ca="1">IF('EM Data'!$B$6&lt;&gt;"Q","-",'EM Data'!AH27)</f>
        <v>#NAME?</v>
      </c>
      <c r="AI75" t="e">
        <f ca="1">IF('EM Data'!$B$6&lt;&gt;"Q","-",'EM Data'!AI27)</f>
        <v>#NAME?</v>
      </c>
      <c r="AJ75" t="e">
        <f ca="1">IF('EM Data'!$B$6&lt;&gt;"Q","-",'EM Data'!AJ27)</f>
        <v>#NAME?</v>
      </c>
      <c r="AK75" t="e">
        <f ca="1">IF('EM Data'!$B$6&lt;&gt;"Q","-",'EM Data'!AK27)</f>
        <v>#NAME?</v>
      </c>
      <c r="AL75" t="e">
        <f ca="1">IF('EM Data'!$B$6&lt;&gt;"Q","-",'EM Data'!AL27)</f>
        <v>#NAME?</v>
      </c>
      <c r="AM75" t="e">
        <f ca="1">IF('EM Data'!$B$6&lt;&gt;"Q","-",'EM Data'!AM27)</f>
        <v>#NAME?</v>
      </c>
      <c r="AN75" t="e">
        <f ca="1">IF('EM Data'!$B$6&lt;&gt;"Q","-",'EM Data'!AN27)</f>
        <v>#NAME?</v>
      </c>
    </row>
    <row r="94" spans="3:22">
      <c r="C94" s="2" t="s">
        <v>180</v>
      </c>
      <c r="D94" s="2">
        <v>1.248</v>
      </c>
      <c r="E94" s="2">
        <v>1.331</v>
      </c>
      <c r="F94" s="2">
        <v>1.7189999999999999</v>
      </c>
      <c r="G94" s="2">
        <v>1.9569999999999999</v>
      </c>
      <c r="H94" s="2">
        <v>2.1930000000000001</v>
      </c>
      <c r="I94" s="2">
        <v>2.3929999999999998</v>
      </c>
      <c r="J94" s="2">
        <v>2.89</v>
      </c>
      <c r="K94" s="2">
        <v>3.2800000000000002</v>
      </c>
      <c r="L94" s="2">
        <v>3.556</v>
      </c>
      <c r="M94" s="2">
        <v>3.782</v>
      </c>
      <c r="N94" s="2">
        <v>4.4859999999999998</v>
      </c>
      <c r="O94" s="2">
        <v>4.5519999999999996</v>
      </c>
      <c r="P94" s="2">
        <v>4.734</v>
      </c>
      <c r="Q94" s="2">
        <v>4.7450000000000001</v>
      </c>
      <c r="R94" s="2">
        <v>4.9589999999999996</v>
      </c>
      <c r="S94" s="2">
        <v>4.9340000000000002</v>
      </c>
      <c r="T94" s="2">
        <v>5.077</v>
      </c>
      <c r="U94" s="2">
        <v>5.431</v>
      </c>
      <c r="V94" s="2">
        <v>6.4390000000000001</v>
      </c>
    </row>
  </sheetData>
  <phoneticPr fontId="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GEOData"/>
  <dimension ref="A1:EV43"/>
  <sheetViews>
    <sheetView workbookViewId="0">
      <selection activeCell="DF12" sqref="DF12:DF13"/>
    </sheetView>
  </sheetViews>
  <sheetFormatPr baseColWidth="10" defaultColWidth="8.88671875" defaultRowHeight="14.4"/>
  <cols>
    <col min="2" max="2" width="36.33203125" bestFit="1" customWidth="1"/>
    <col min="3" max="3" width="34" bestFit="1" customWidth="1"/>
    <col min="4" max="4" width="14.6640625" bestFit="1" customWidth="1"/>
    <col min="5" max="5" width="28.5546875" bestFit="1" customWidth="1"/>
    <col min="9" max="9" width="28.5546875" bestFit="1" customWidth="1"/>
    <col min="25" max="25" width="15.6640625" customWidth="1"/>
    <col min="29" max="29" width="17.33203125" customWidth="1"/>
    <col min="121" max="121" width="16.88671875" customWidth="1"/>
  </cols>
  <sheetData>
    <row r="1" spans="1:152">
      <c r="B1" s="4" t="s">
        <v>291</v>
      </c>
      <c r="C1" s="7" t="str">
        <f ca="1">IFBBERROR(IF(HLOOKUP('PGEO Data'!I$3,'PGEO Data'!$I$5:$IV$5,1,FALSE),HLOOKUP('PGEO Data'!I$3,'PGEO Data'!$I$5:$IV$5,1,FALSE),""),"")</f>
        <v/>
      </c>
      <c r="D1" s="7" t="str">
        <f ca="1">IFBBERROR(IF(HLOOKUP('PGEO Data'!J$3,'PGEO Data'!$I$5:$IV$5,1,FALSE),HLOOKUP('PGEO Data'!J$3,'PGEO Data'!$I$5:$IV$5,1,FALSE),""),"")</f>
        <v/>
      </c>
      <c r="E1" s="7" t="str">
        <f ca="1">IFBBERROR(IF(HLOOKUP('PGEO Data'!K$3,'PGEO Data'!$I$5:$IV$5,1,FALSE),HLOOKUP('PGEO Data'!K$3,'PGEO Data'!$I$5:$IV$5,1,FALSE),""),"")</f>
        <v/>
      </c>
      <c r="F1" s="7" t="str">
        <f ca="1">IFBBERROR(IF(HLOOKUP('PGEO Data'!L$3,'PGEO Data'!$I$5:$IV$5,1,FALSE),HLOOKUP('PGEO Data'!L$3,'PGEO Data'!$I$5:$IV$5,1,FALSE),""),"")</f>
        <v/>
      </c>
      <c r="G1" s="7" t="str">
        <f ca="1">IFBBERROR(IF(HLOOKUP('PGEO Data'!M$3,'PGEO Data'!$I$5:$IV$5,1,FALSE),HLOOKUP('PGEO Data'!M$3,'PGEO Data'!$I$5:$IV$5,1,FALSE),""),"")</f>
        <v/>
      </c>
      <c r="H1" s="7" t="str">
        <f ca="1">IFBBERROR(IF(HLOOKUP('PGEO Data'!N$3,'PGEO Data'!$I$5:$IV$5,1,FALSE),HLOOKUP('PGEO Data'!N$3,'PGEO Data'!$I$5:$IV$5,1,FALSE),""),"")</f>
        <v/>
      </c>
      <c r="I1" s="7" t="str">
        <f ca="1">IFBBERROR(IF(HLOOKUP('PGEO Data'!O$3,'PGEO Data'!$I$5:$IV$5,1,FALSE),HLOOKUP('PGEO Data'!O$3,'PGEO Data'!$I$5:$IV$5,1,FALSE),""),"")</f>
        <v/>
      </c>
    </row>
    <row r="3" spans="1:152">
      <c r="D3" s="7" t="e">
        <f ca="1">_xll.BDS(BB_TICKER,"PG_BULK_HEADER","NUMBER_OF_PERIODS=-1",,"cols=3;rows=1")</f>
        <v>#NAME?</v>
      </c>
      <c r="E3" s="7" t="s">
        <v>666</v>
      </c>
      <c r="F3" s="7" t="s">
        <v>667</v>
      </c>
      <c r="I3">
        <v>1</v>
      </c>
      <c r="J3">
        <v>2</v>
      </c>
      <c r="K3">
        <v>3</v>
      </c>
      <c r="L3">
        <v>4</v>
      </c>
      <c r="M3">
        <v>5</v>
      </c>
      <c r="N3">
        <v>6</v>
      </c>
      <c r="O3">
        <v>7</v>
      </c>
      <c r="P3">
        <v>8</v>
      </c>
      <c r="Q3">
        <v>9</v>
      </c>
      <c r="R3">
        <v>10</v>
      </c>
      <c r="S3">
        <v>11</v>
      </c>
      <c r="T3">
        <v>12</v>
      </c>
      <c r="U3">
        <v>13</v>
      </c>
      <c r="V3">
        <v>14</v>
      </c>
      <c r="W3">
        <v>15</v>
      </c>
      <c r="X3">
        <v>16</v>
      </c>
      <c r="Y3">
        <v>17</v>
      </c>
      <c r="Z3">
        <v>18</v>
      </c>
      <c r="AA3">
        <v>19</v>
      </c>
      <c r="AB3">
        <v>20</v>
      </c>
      <c r="AC3">
        <v>21</v>
      </c>
      <c r="AD3">
        <v>22</v>
      </c>
      <c r="AE3">
        <v>23</v>
      </c>
      <c r="AF3">
        <v>24</v>
      </c>
      <c r="AG3">
        <v>25</v>
      </c>
      <c r="AH3">
        <v>26</v>
      </c>
      <c r="AI3">
        <v>27</v>
      </c>
      <c r="AJ3">
        <v>28</v>
      </c>
      <c r="AK3">
        <v>29</v>
      </c>
      <c r="AL3">
        <v>30</v>
      </c>
      <c r="AM3">
        <v>31</v>
      </c>
      <c r="AN3">
        <v>32</v>
      </c>
      <c r="AO3">
        <v>33</v>
      </c>
      <c r="AP3">
        <v>34</v>
      </c>
      <c r="AQ3">
        <v>35</v>
      </c>
      <c r="AR3">
        <v>36</v>
      </c>
      <c r="AS3">
        <v>37</v>
      </c>
      <c r="AT3">
        <v>38</v>
      </c>
      <c r="AU3">
        <v>39</v>
      </c>
      <c r="AV3">
        <v>40</v>
      </c>
      <c r="AW3">
        <v>41</v>
      </c>
      <c r="AX3">
        <v>42</v>
      </c>
      <c r="AY3">
        <v>43</v>
      </c>
      <c r="AZ3">
        <v>44</v>
      </c>
      <c r="BA3">
        <v>45</v>
      </c>
      <c r="BB3">
        <v>46</v>
      </c>
      <c r="BC3">
        <v>47</v>
      </c>
      <c r="BD3">
        <v>48</v>
      </c>
      <c r="BE3">
        <v>49</v>
      </c>
      <c r="BF3">
        <v>50</v>
      </c>
      <c r="BG3">
        <v>51</v>
      </c>
      <c r="BH3">
        <v>52</v>
      </c>
      <c r="BI3">
        <v>53</v>
      </c>
      <c r="BJ3">
        <v>54</v>
      </c>
      <c r="BK3">
        <v>55</v>
      </c>
      <c r="BL3">
        <v>56</v>
      </c>
      <c r="BM3">
        <v>57</v>
      </c>
      <c r="BN3">
        <v>58</v>
      </c>
      <c r="BO3">
        <v>59</v>
      </c>
      <c r="BP3">
        <v>60</v>
      </c>
      <c r="BQ3">
        <v>61</v>
      </c>
      <c r="BR3">
        <v>62</v>
      </c>
      <c r="BS3">
        <v>63</v>
      </c>
      <c r="BT3">
        <v>64</v>
      </c>
      <c r="BU3">
        <v>65</v>
      </c>
      <c r="BV3">
        <v>66</v>
      </c>
      <c r="BW3">
        <v>67</v>
      </c>
      <c r="BX3">
        <v>68</v>
      </c>
      <c r="BY3">
        <v>69</v>
      </c>
      <c r="BZ3">
        <v>70</v>
      </c>
      <c r="CA3">
        <v>71</v>
      </c>
      <c r="CB3">
        <v>72</v>
      </c>
      <c r="CC3">
        <v>73</v>
      </c>
      <c r="CD3">
        <v>74</v>
      </c>
      <c r="CE3">
        <v>75</v>
      </c>
      <c r="CF3">
        <v>76</v>
      </c>
      <c r="CG3">
        <v>77</v>
      </c>
      <c r="CH3">
        <v>78</v>
      </c>
      <c r="CI3">
        <v>79</v>
      </c>
      <c r="CJ3">
        <v>80</v>
      </c>
      <c r="CK3">
        <v>81</v>
      </c>
      <c r="CL3">
        <v>82</v>
      </c>
      <c r="CM3">
        <v>83</v>
      </c>
      <c r="CN3">
        <v>84</v>
      </c>
      <c r="CO3">
        <v>85</v>
      </c>
      <c r="CP3">
        <v>86</v>
      </c>
      <c r="CQ3">
        <v>87</v>
      </c>
      <c r="CR3">
        <v>88</v>
      </c>
      <c r="CS3">
        <v>89</v>
      </c>
      <c r="CT3">
        <v>90</v>
      </c>
      <c r="CU3">
        <v>91</v>
      </c>
      <c r="CV3">
        <v>92</v>
      </c>
      <c r="CW3">
        <v>93</v>
      </c>
      <c r="CX3">
        <v>94</v>
      </c>
      <c r="CY3">
        <v>95</v>
      </c>
      <c r="CZ3">
        <v>96</v>
      </c>
      <c r="DA3">
        <v>97</v>
      </c>
      <c r="DB3">
        <v>98</v>
      </c>
      <c r="DC3">
        <v>99</v>
      </c>
      <c r="DD3">
        <v>100</v>
      </c>
      <c r="DE3">
        <v>101</v>
      </c>
      <c r="DF3">
        <v>102</v>
      </c>
      <c r="DG3">
        <v>103</v>
      </c>
      <c r="DH3">
        <v>104</v>
      </c>
      <c r="DI3">
        <v>105</v>
      </c>
      <c r="DJ3">
        <v>106</v>
      </c>
      <c r="DK3">
        <v>107</v>
      </c>
      <c r="DL3">
        <v>108</v>
      </c>
      <c r="DM3">
        <v>109</v>
      </c>
      <c r="DN3">
        <v>110</v>
      </c>
      <c r="DO3">
        <v>111</v>
      </c>
      <c r="DP3">
        <v>112</v>
      </c>
      <c r="DQ3">
        <v>113</v>
      </c>
      <c r="DR3">
        <v>114</v>
      </c>
      <c r="DS3">
        <v>115</v>
      </c>
      <c r="DT3">
        <v>116</v>
      </c>
      <c r="DU3">
        <v>117</v>
      </c>
      <c r="DV3">
        <v>118</v>
      </c>
      <c r="DW3">
        <v>119</v>
      </c>
      <c r="DX3">
        <v>120</v>
      </c>
      <c r="DY3">
        <v>121</v>
      </c>
      <c r="DZ3">
        <v>122</v>
      </c>
      <c r="EA3">
        <v>123</v>
      </c>
      <c r="EB3">
        <v>124</v>
      </c>
      <c r="EC3">
        <v>125</v>
      </c>
      <c r="ED3">
        <v>126</v>
      </c>
      <c r="EE3">
        <v>127</v>
      </c>
      <c r="EF3">
        <v>128</v>
      </c>
      <c r="EG3">
        <v>129</v>
      </c>
      <c r="EH3">
        <v>130</v>
      </c>
      <c r="EI3">
        <v>131</v>
      </c>
      <c r="EJ3">
        <v>132</v>
      </c>
      <c r="EK3">
        <v>133</v>
      </c>
      <c r="EL3">
        <v>134</v>
      </c>
      <c r="EM3">
        <v>135</v>
      </c>
      <c r="EN3">
        <v>136</v>
      </c>
      <c r="EO3">
        <v>137</v>
      </c>
      <c r="EP3">
        <v>138</v>
      </c>
      <c r="EQ3">
        <v>139</v>
      </c>
      <c r="ER3">
        <v>140</v>
      </c>
      <c r="ES3">
        <v>141</v>
      </c>
      <c r="ET3">
        <v>142</v>
      </c>
      <c r="EU3">
        <v>143</v>
      </c>
      <c r="EV3">
        <v>144</v>
      </c>
    </row>
    <row r="4" spans="1:152">
      <c r="I4" s="6"/>
      <c r="M4" s="6"/>
      <c r="Q4" s="6"/>
      <c r="U4" s="6"/>
      <c r="Y4" s="6"/>
      <c r="AC4" s="6"/>
      <c r="AG4" s="6"/>
      <c r="AK4" s="6"/>
      <c r="AO4" s="6"/>
      <c r="AS4" s="6"/>
      <c r="AW4" s="6"/>
      <c r="BA4" s="6"/>
      <c r="BE4" s="6"/>
      <c r="BI4" s="6"/>
      <c r="BM4" s="6"/>
      <c r="BQ4" s="6"/>
      <c r="BU4" s="6"/>
      <c r="BY4" s="6"/>
      <c r="CC4" s="6"/>
      <c r="CG4" s="6"/>
      <c r="CK4" s="6"/>
      <c r="CO4" s="6"/>
      <c r="CS4" s="6"/>
      <c r="CW4" s="6"/>
      <c r="DA4" s="6"/>
      <c r="DE4" s="6"/>
      <c r="DI4" s="6"/>
      <c r="DM4" s="6"/>
      <c r="DQ4" s="6"/>
      <c r="DU4" s="6"/>
      <c r="DY4" s="6"/>
      <c r="EC4" s="6"/>
      <c r="EG4" s="6"/>
      <c r="EK4" s="6"/>
      <c r="EO4" s="6"/>
      <c r="ES4" s="6"/>
    </row>
    <row r="5" spans="1:152">
      <c r="B5" s="443" t="s">
        <v>197</v>
      </c>
      <c r="C5" s="435"/>
      <c r="D5" s="4" t="s">
        <v>271</v>
      </c>
      <c r="E5" s="8" t="e">
        <f ca="1">MAX($I$7:$ES$7)</f>
        <v>#NAME?</v>
      </c>
      <c r="I5" t="e">
        <f ca="1">IF(I$6&lt;&gt;"",SUM($I$6:I6),"")</f>
        <v>#NAME?</v>
      </c>
      <c r="M5" t="e">
        <f ca="1">IF(M$6&lt;&gt;"",SUM($I$6:M6),"")</f>
        <v>#NAME?</v>
      </c>
      <c r="Q5" t="e">
        <f ca="1">IF(Q$6&lt;&gt;"",SUM($I$6:Q6),"")</f>
        <v>#NAME?</v>
      </c>
      <c r="U5" t="e">
        <f ca="1">IF(U$6&lt;&gt;"",SUM($I$6:U6),"")</f>
        <v>#NAME?</v>
      </c>
      <c r="Y5" t="e">
        <f ca="1">IF(Y$6&lt;&gt;"",SUM($I$6:Y6),"")</f>
        <v>#NAME?</v>
      </c>
      <c r="AC5" t="e">
        <f ca="1">IF(AC$6&lt;&gt;"",SUM($I$6:AC6),"")</f>
        <v>#NAME?</v>
      </c>
      <c r="AG5" t="e">
        <f ca="1">IF(AG$6&lt;&gt;"",SUM($I$6:AG6),"")</f>
        <v>#NAME?</v>
      </c>
      <c r="AK5" t="e">
        <f ca="1">IF(AK$6&lt;&gt;"",SUM($I$6:AK6),"")</f>
        <v>#NAME?</v>
      </c>
      <c r="AO5" t="e">
        <f ca="1">IF(AO$6&lt;&gt;"",SUM($I$6:AO6),"")</f>
        <v>#NAME?</v>
      </c>
      <c r="AS5" t="e">
        <f ca="1">IF(AS$6&lt;&gt;"",SUM($I$6:AS6),"")</f>
        <v>#NAME?</v>
      </c>
      <c r="AW5" t="e">
        <f ca="1">IF(AW$6&lt;&gt;"",SUM($I$6:AW6),"")</f>
        <v>#NAME?</v>
      </c>
      <c r="BA5" t="e">
        <f ca="1">IF(BA$6&lt;&gt;"",SUM($I$6:BA6),"")</f>
        <v>#NAME?</v>
      </c>
      <c r="BE5" t="e">
        <f ca="1">IF(BE$6&lt;&gt;"",SUM($I$6:BE6),"")</f>
        <v>#NAME?</v>
      </c>
      <c r="BI5" t="e">
        <f ca="1">IF(BI$6&lt;&gt;"",SUM($I$6:BI6),"")</f>
        <v>#NAME?</v>
      </c>
      <c r="BM5" t="e">
        <f ca="1">IF(BM$6&lt;&gt;"",SUM($I$6:BM6),"")</f>
        <v>#NAME?</v>
      </c>
      <c r="BQ5" t="e">
        <f ca="1">IF(BQ$6&lt;&gt;"",SUM($I$6:BQ6),"")</f>
        <v>#NAME?</v>
      </c>
      <c r="BU5" t="e">
        <f ca="1">IF(BU$6&lt;&gt;"",SUM($I$6:BU6),"")</f>
        <v>#NAME?</v>
      </c>
      <c r="BY5" t="e">
        <f ca="1">IF(BY$6&lt;&gt;"",SUM($I$6:BY6),"")</f>
        <v>#NAME?</v>
      </c>
      <c r="CC5" t="e">
        <f ca="1">IF(CC$6&lt;&gt;"",SUM($I$6:CC6),"")</f>
        <v>#NAME?</v>
      </c>
      <c r="CG5" t="e">
        <f ca="1">IF(CG$6&lt;&gt;"",SUM($I$6:CG6),"")</f>
        <v>#NAME?</v>
      </c>
      <c r="CK5" t="e">
        <f ca="1">IF(CK$6&lt;&gt;"",SUM($I$6:CK6),"")</f>
        <v>#NAME?</v>
      </c>
      <c r="CO5" t="e">
        <f ca="1">IF(CO$6&lt;&gt;"",SUM($I$6:CO6),"")</f>
        <v>#NAME?</v>
      </c>
      <c r="CS5" t="e">
        <f ca="1">IF(CS$6&lt;&gt;"",SUM($I$6:CS6),"")</f>
        <v>#NAME?</v>
      </c>
      <c r="CW5" t="e">
        <f ca="1">IF(CW$6&lt;&gt;"",SUM($I$6:CW6),"")</f>
        <v>#NAME?</v>
      </c>
      <c r="DA5" t="e">
        <f ca="1">IF(DA$6&lt;&gt;"",SUM($I$6:DA6),"")</f>
        <v>#NAME?</v>
      </c>
      <c r="DE5" t="e">
        <f ca="1">IF(DE$6&lt;&gt;"",SUM($I$6:DE6),"")</f>
        <v>#NAME?</v>
      </c>
      <c r="DI5" t="e">
        <f ca="1">IF(DI$6&lt;&gt;"",SUM($I$6:DI6),"")</f>
        <v>#NAME?</v>
      </c>
      <c r="DM5" t="e">
        <f ca="1">IF(DM$6&lt;&gt;"",SUM($I$6:DM6),"")</f>
        <v>#NAME?</v>
      </c>
      <c r="DQ5" t="e">
        <f ca="1">IF(DQ$6&lt;&gt;"",SUM($I$6:DQ6),"")</f>
        <v>#NAME?</v>
      </c>
      <c r="DU5" t="e">
        <f ca="1">IF(DU$6&lt;&gt;"",SUM($I$6:DU6),"")</f>
        <v>#NAME?</v>
      </c>
      <c r="DY5" t="e">
        <f ca="1">IF(DY$6&lt;&gt;"",SUM($I$6:DY6),"")</f>
        <v>#NAME?</v>
      </c>
      <c r="EC5" t="e">
        <f ca="1">IF(EC$6&lt;&gt;"",SUM($I$6:EC6),"")</f>
        <v>#NAME?</v>
      </c>
      <c r="EG5" t="e">
        <f ca="1">IF(EG$6&lt;&gt;"",SUM($I$6:EG6),"")</f>
        <v>#NAME?</v>
      </c>
      <c r="EK5" t="e">
        <f ca="1">IF(EK$6&lt;&gt;"",SUM($I$6:EK6),"")</f>
        <v>#NAME?</v>
      </c>
      <c r="EO5" t="e">
        <f ca="1">IF(EO$6&lt;&gt;"",SUM($I$6:EO6),"")</f>
        <v>#NAME?</v>
      </c>
      <c r="ES5" t="e">
        <f ca="1">IF(ES$6&lt;&gt;"",SUM($I$6:ES6),"")</f>
        <v>#NAME?</v>
      </c>
    </row>
    <row r="6" spans="1:152">
      <c r="A6">
        <v>1</v>
      </c>
      <c r="B6" t="s">
        <v>198</v>
      </c>
      <c r="C6" t="s">
        <v>236</v>
      </c>
      <c r="D6" s="9">
        <v>3</v>
      </c>
      <c r="E6" s="10" t="e">
        <f t="shared" ref="E6:E30" ca="1" si="0">OFFSET($I$10,$D6-1,MATCH($E$5,$I$7:$ES$7,0)-1)</f>
        <v>#NAME?</v>
      </c>
      <c r="I6" t="e">
        <f ca="1">IF(LEFT(I$12,1)="#","",1)</f>
        <v>#NAME?</v>
      </c>
      <c r="M6" t="e">
        <f ca="1">IF(LEFT(M$12,1)="#","",1)</f>
        <v>#NAME?</v>
      </c>
      <c r="Q6" t="e">
        <f ca="1">IF(LEFT(Q$12,1)="#","",1)</f>
        <v>#NAME?</v>
      </c>
      <c r="U6" t="e">
        <f ca="1">IF(LEFT(U$12,1)="#","",1)</f>
        <v>#NAME?</v>
      </c>
      <c r="Y6" t="e">
        <f ca="1">IF(LEFT(Y$12,1)="#","",1)</f>
        <v>#NAME?</v>
      </c>
      <c r="AC6" t="e">
        <f ca="1">IF(LEFT(AC$12,1)="#","",1)</f>
        <v>#NAME?</v>
      </c>
      <c r="AG6" t="e">
        <f ca="1">IF(LEFT(AG$12,1)="#","",1)</f>
        <v>#NAME?</v>
      </c>
      <c r="AK6" t="e">
        <f ca="1">IF(LEFT(AK$12,1)="#","",1)</f>
        <v>#NAME?</v>
      </c>
      <c r="AO6" t="e">
        <f ca="1">IF(LEFT(AO$12,1)="#","",1)</f>
        <v>#NAME?</v>
      </c>
      <c r="AS6" t="e">
        <f ca="1">IF(LEFT(AS$12,1)="#","",1)</f>
        <v>#NAME?</v>
      </c>
      <c r="AW6" t="e">
        <f ca="1">IF(LEFT(AW$12,1)="#","",1)</f>
        <v>#NAME?</v>
      </c>
      <c r="BA6" t="e">
        <f ca="1">IF(LEFT(BA$12,1)="#","",1)</f>
        <v>#NAME?</v>
      </c>
      <c r="BE6" t="e">
        <f ca="1">IF(LEFT(BE$12,1)="#","",1)</f>
        <v>#NAME?</v>
      </c>
      <c r="BI6" t="e">
        <f ca="1">IF(LEFT(BI$12,1)="#","",1)</f>
        <v>#NAME?</v>
      </c>
      <c r="BM6" t="e">
        <f ca="1">IF(LEFT(BM$12,1)="#","",1)</f>
        <v>#NAME?</v>
      </c>
      <c r="BQ6" t="e">
        <f ca="1">IF(LEFT(BQ$12,1)="#","",1)</f>
        <v>#NAME?</v>
      </c>
      <c r="BU6" t="e">
        <f ca="1">IF(LEFT(BU$12,1)="#","",1)</f>
        <v>#NAME?</v>
      </c>
      <c r="BY6" t="e">
        <f ca="1">IF(LEFT(BY$12,1)="#","",1)</f>
        <v>#NAME?</v>
      </c>
      <c r="CC6" t="e">
        <f ca="1">IF(LEFT(CC$12,1)="#","",1)</f>
        <v>#NAME?</v>
      </c>
      <c r="CG6" t="e">
        <f ca="1">IF(LEFT(CG$12,1)="#","",1)</f>
        <v>#NAME?</v>
      </c>
      <c r="CK6" t="e">
        <f ca="1">IF(LEFT(CK$12,1)="#","",1)</f>
        <v>#NAME?</v>
      </c>
      <c r="CO6" t="e">
        <f ca="1">IF(LEFT(CO$12,1)="#","",1)</f>
        <v>#NAME?</v>
      </c>
      <c r="CS6" t="e">
        <f ca="1">IF(LEFT(CS$12,1)="#","",1)</f>
        <v>#NAME?</v>
      </c>
      <c r="CW6" t="e">
        <f ca="1">IF(LEFT(CW$12,1)="#","",1)</f>
        <v>#NAME?</v>
      </c>
      <c r="DA6" t="e">
        <f ca="1">IF(LEFT(DA$12,1)="#","",1)</f>
        <v>#NAME?</v>
      </c>
      <c r="DE6" t="e">
        <f ca="1">IF(LEFT(DE$12,1)="#","",1)</f>
        <v>#NAME?</v>
      </c>
      <c r="DI6" t="e">
        <f ca="1">IF(LEFT(DI$12,1)="#","",1)</f>
        <v>#NAME?</v>
      </c>
      <c r="DM6" t="e">
        <f ca="1">IF(LEFT(DM$12,1)="#","",1)</f>
        <v>#NAME?</v>
      </c>
      <c r="DQ6" t="e">
        <f ca="1">IF(LEFT(DQ$12,1)="#","",1)</f>
        <v>#NAME?</v>
      </c>
      <c r="DU6" t="e">
        <f ca="1">IF(LEFT(DU$12,1)="#","",1)</f>
        <v>#NAME?</v>
      </c>
      <c r="DY6" t="e">
        <f ca="1">IF(LEFT(DY$12,1)="#","",1)</f>
        <v>#NAME?</v>
      </c>
      <c r="EC6" t="e">
        <f ca="1">IF(LEFT(EC$12,1)="#","",1)</f>
        <v>#NAME?</v>
      </c>
      <c r="EG6" t="e">
        <f ca="1">IF(LEFT(EG$12,1)="#","",1)</f>
        <v>#NAME?</v>
      </c>
      <c r="EK6" t="e">
        <f ca="1">IF(LEFT(EK$12,1)="#","",1)</f>
        <v>#NAME?</v>
      </c>
      <c r="EO6" t="e">
        <f ca="1">IF(LEFT(EO$12,1)="#","",1)</f>
        <v>#NAME?</v>
      </c>
      <c r="ES6" t="e">
        <f ca="1">IF(LEFT(ES$12,1)="#","",1)</f>
        <v>#NAME?</v>
      </c>
    </row>
    <row r="7" spans="1:152">
      <c r="A7">
        <v>2</v>
      </c>
      <c r="B7" t="s">
        <v>199</v>
      </c>
      <c r="C7" t="s">
        <v>237</v>
      </c>
      <c r="D7" s="11">
        <v>4</v>
      </c>
      <c r="E7" s="12" t="e">
        <f t="shared" ca="1" si="0"/>
        <v>#NAME?</v>
      </c>
      <c r="H7" s="8" t="s">
        <v>270</v>
      </c>
      <c r="I7" t="e">
        <f ca="1">IF(LEFT(I12,1)&lt;&gt;"#",DataRowCount(I12),"")</f>
        <v>#NAME?</v>
      </c>
      <c r="M7" t="e">
        <f ca="1">IF(LEFT(M12,1)&lt;&gt;"#",DataRowCount(M12),"")</f>
        <v>#NAME?</v>
      </c>
      <c r="Q7" t="e">
        <f ca="1">IF(LEFT(Q12,1)&lt;&gt;"#",DataRowCount(Q12),"")</f>
        <v>#NAME?</v>
      </c>
      <c r="U7" t="e">
        <f ca="1">IF(LEFT(U12,1)&lt;&gt;"#",DataRowCount(U12),"")</f>
        <v>#NAME?</v>
      </c>
      <c r="Y7" t="e">
        <f ca="1">IF(LEFT(Y12,1)&lt;&gt;"#",DataRowCount(Y12),"")</f>
        <v>#NAME?</v>
      </c>
      <c r="AC7" t="e">
        <f ca="1">IF(LEFT(AC12,1)&lt;&gt;"#",DataRowCount(AC12),"")</f>
        <v>#NAME?</v>
      </c>
      <c r="AG7" t="e">
        <f ca="1">IF(LEFT(AG12,1)&lt;&gt;"#",DataRowCount(AG12),"")</f>
        <v>#NAME?</v>
      </c>
      <c r="AK7" t="e">
        <f ca="1">IF(LEFT(AK12,1)&lt;&gt;"#",DataRowCount(AK12),"")</f>
        <v>#NAME?</v>
      </c>
      <c r="AO7" t="e">
        <f ca="1">IF(LEFT(AO12,1)&lt;&gt;"#",DataRowCount(AO12),"")</f>
        <v>#NAME?</v>
      </c>
      <c r="AS7" t="e">
        <f ca="1">IF(LEFT(AS12,1)&lt;&gt;"#",DataRowCount(AS12),"")</f>
        <v>#NAME?</v>
      </c>
      <c r="AW7" t="e">
        <f ca="1">IF(LEFT(AW12,1)&lt;&gt;"#",DataRowCount(AW12),"")</f>
        <v>#NAME?</v>
      </c>
      <c r="BA7" t="e">
        <f ca="1">IF(LEFT(BA12,1)&lt;&gt;"#",DataRowCount(BA12),"")</f>
        <v>#NAME?</v>
      </c>
      <c r="BE7" t="e">
        <f ca="1">IF(LEFT(BE12,1)&lt;&gt;"#",DataRowCount(BE12),"")</f>
        <v>#NAME?</v>
      </c>
      <c r="BI7" t="e">
        <f ca="1">IF(LEFT(BI12,1)&lt;&gt;"#",DataRowCount(BI12),"")</f>
        <v>#NAME?</v>
      </c>
      <c r="BM7" t="e">
        <f ca="1">IF(LEFT(BM12,1)&lt;&gt;"#",DataRowCount(BM12),"")</f>
        <v>#NAME?</v>
      </c>
      <c r="BQ7" t="e">
        <f ca="1">IF(LEFT(BQ12,1)&lt;&gt;"#",DataRowCount(BQ12),"")</f>
        <v>#NAME?</v>
      </c>
      <c r="BU7" t="e">
        <f ca="1">IF(LEFT(BU12,1)&lt;&gt;"#",DataRowCount(BU12),"")</f>
        <v>#NAME?</v>
      </c>
      <c r="BY7" t="e">
        <f ca="1">IF(LEFT(BY12,1)&lt;&gt;"#",DataRowCount(BY12),"")</f>
        <v>#NAME?</v>
      </c>
      <c r="CC7" t="e">
        <f ca="1">IF(LEFT(CC12,1)&lt;&gt;"#",DataRowCount(CC12),"")</f>
        <v>#NAME?</v>
      </c>
      <c r="CG7" t="e">
        <f ca="1">IF(LEFT(CG12,1)&lt;&gt;"#",DataRowCount(CG12),"")</f>
        <v>#NAME?</v>
      </c>
      <c r="CK7" t="e">
        <f ca="1">IF(LEFT(CK12,1)&lt;&gt;"#",DataRowCount(CK12),"")</f>
        <v>#NAME?</v>
      </c>
      <c r="CO7" t="e">
        <f ca="1">IF(LEFT(CO12,1)&lt;&gt;"#",getMyBBRow(CO12),"")</f>
        <v>#NAME?</v>
      </c>
      <c r="CS7" t="e">
        <f ca="1">IF(LEFT(CS12,1)&lt;&gt;"#",DataRowCount(CS12),"")</f>
        <v>#NAME?</v>
      </c>
      <c r="CW7" t="e">
        <f ca="1">IF(LEFT(CW12,1)&lt;&gt;"#",DataRowCount(CW12),"")</f>
        <v>#NAME?</v>
      </c>
      <c r="DA7" t="e">
        <f ca="1">IF(LEFT(DA12,1)&lt;&gt;"#",DataRowCount(DA12),"")</f>
        <v>#NAME?</v>
      </c>
      <c r="DE7" t="e">
        <f ca="1">IF(LEFT(DE12,1)&lt;&gt;"#",DataRowCount(DE12),"")</f>
        <v>#NAME?</v>
      </c>
      <c r="DI7" t="e">
        <f ca="1">IF(LEFT(DI12,1)&lt;&gt;"#",DataRowCount(DI12),"")</f>
        <v>#NAME?</v>
      </c>
      <c r="DM7" t="e">
        <f ca="1">IF(LEFT(DM12,1)&lt;&gt;"#",DataRowCount(DM12),"")</f>
        <v>#NAME?</v>
      </c>
      <c r="DQ7" t="e">
        <f ca="1">IF(LEFT(DQ12,1)&lt;&gt;"#",DataRowCount(DQ12),"")</f>
        <v>#NAME?</v>
      </c>
      <c r="DU7" t="e">
        <f ca="1">IF(LEFT(DU12,1)&lt;&gt;"#",DataRowCount(DU12),"")</f>
        <v>#NAME?</v>
      </c>
      <c r="DY7" t="e">
        <f ca="1">IF(LEFT(DY12,1)&lt;&gt;"#",DataRowCount(DY12),"")</f>
        <v>#NAME?</v>
      </c>
      <c r="EC7" t="e">
        <f ca="1">IF(LEFT(EC12,1)&lt;&gt;"#",DataRowCount(EC12),"")</f>
        <v>#NAME?</v>
      </c>
      <c r="EG7" t="e">
        <f ca="1">IF(LEFT(EG12,1)&lt;&gt;"#",DataRowCount(EG12),"")</f>
        <v>#NAME?</v>
      </c>
      <c r="EK7" t="e">
        <f ca="1">IF(LEFT(EK12,1)&lt;&gt;"#",DataRowCount(EK12),"")</f>
        <v>#NAME?</v>
      </c>
      <c r="EO7" t="e">
        <f ca="1">IF(LEFT(EO12,1)&lt;&gt;"#",DataRowCount(EO12),"")</f>
        <v>#NAME?</v>
      </c>
      <c r="ES7" t="e">
        <f ca="1">IF(LEFT(ES12,1)&lt;&gt;"#",DataRowCount(ES12),"")</f>
        <v>#NAME?</v>
      </c>
    </row>
    <row r="8" spans="1:152">
      <c r="A8">
        <v>3</v>
      </c>
      <c r="B8" t="s">
        <v>200</v>
      </c>
      <c r="C8" t="s">
        <v>238</v>
      </c>
      <c r="D8" s="11">
        <v>5</v>
      </c>
      <c r="E8" s="12" t="e">
        <f t="shared" ca="1" si="0"/>
        <v>#NAME?</v>
      </c>
    </row>
    <row r="9" spans="1:152">
      <c r="A9">
        <v>4</v>
      </c>
      <c r="B9" t="s">
        <v>201</v>
      </c>
      <c r="C9" t="s">
        <v>239</v>
      </c>
      <c r="D9" s="11">
        <v>6</v>
      </c>
      <c r="E9" s="12" t="e">
        <f t="shared" ca="1" si="0"/>
        <v>#NAME?</v>
      </c>
    </row>
    <row r="10" spans="1:152">
      <c r="A10">
        <v>5</v>
      </c>
      <c r="B10" t="s">
        <v>202</v>
      </c>
      <c r="C10" t="s">
        <v>245</v>
      </c>
      <c r="D10" s="11">
        <v>7</v>
      </c>
      <c r="E10" s="12" t="e">
        <f t="shared" ca="1" si="0"/>
        <v>#NAME?</v>
      </c>
      <c r="I10" t="str">
        <f>VLOOKUP(I$11,$B$6:$C$43,2,FALSE)</f>
        <v>Revenue</v>
      </c>
      <c r="M10" t="str">
        <f>VLOOKUP(M$11,$B$6:$C$43,2,FALSE)</f>
        <v>Revenue by Origin</v>
      </c>
      <c r="Q10" t="str">
        <f>VLOOKUP(Q$11,$B$6:$C$43,2,FALSE)</f>
        <v>Revenue Supplementary Breakdown</v>
      </c>
      <c r="U10" t="str">
        <f>VLOOKUP(U$11,$B$6:$C$43,2,FALSE)</f>
        <v>Revenue by Distribution Channel</v>
      </c>
      <c r="Y10" t="str">
        <f>VLOOKUP(Y$11,$B$6:$C$43,2,FALSE)</f>
        <v>Revenue by End User</v>
      </c>
      <c r="AC10" t="str">
        <f>VLOOKUP(AC$11,$B$6:$C$43,2,FALSE)</f>
        <v>Revenue - by Payor Source Name</v>
      </c>
      <c r="AG10" t="str">
        <f>VLOOKUP(AG$11,$B$6:$C$43,2,FALSE)</f>
        <v>Gross Profit</v>
      </c>
      <c r="AK10" t="str">
        <f>VLOOKUP(AK$11,$B$6:$C$43,2,FALSE)</f>
        <v>EBITDA</v>
      </c>
      <c r="AO10" t="str">
        <f>VLOOKUP(AO$11,$B$6:$C$43,2,FALSE)</f>
        <v>Depreciation/Amortization</v>
      </c>
      <c r="AS10" t="str">
        <f>VLOOKUP(AS$11,$B$6:$C$43,2,FALSE)</f>
        <v>Depreciation</v>
      </c>
      <c r="AW10" t="str">
        <f>VLOOKUP(AW$11,$B$6:$C$43,2,FALSE)</f>
        <v>R&amp;D Expenses</v>
      </c>
      <c r="BA10" t="str">
        <f>VLOOKUP(BA$11,$B$6:$C$43,2,FALSE)</f>
        <v>Operating Income</v>
      </c>
      <c r="BE10" t="str">
        <f>VLOOKUP(BE$11,$B$6:$C$43,2,FALSE)</f>
        <v>Interest Expense</v>
      </c>
      <c r="BI10" t="str">
        <f>VLOOKUP(BI$11,$B$6:$C$43,2,FALSE)</f>
        <v>Interest Income</v>
      </c>
      <c r="BM10" t="str">
        <f>VLOOKUP(BM$11,$B$6:$C$43,2,FALSE)</f>
        <v>Pretax Income</v>
      </c>
      <c r="BQ10" t="str">
        <f>VLOOKUP(BQ$11,$B$6:$C$43,2,FALSE)</f>
        <v>Income Taxes</v>
      </c>
      <c r="BU10" t="str">
        <f>VLOOKUP(BU$11,$B$6:$C$43,2,FALSE)</f>
        <v>Net Income</v>
      </c>
      <c r="BY10" t="str">
        <f>VLOOKUP(BY$11,$B$6:$C$43,2,FALSE)</f>
        <v>Sales 1 Year Growth</v>
      </c>
      <c r="CC10" t="str">
        <f>VLOOKUP(CC$11,$B$6:$C$43,2,FALSE)</f>
        <v>Gross Margin</v>
      </c>
      <c r="CG10" t="str">
        <f>VLOOKUP(CG$11,$B$6:$C$43,2,FALSE)</f>
        <v>Operating Margin</v>
      </c>
      <c r="CK10" t="str">
        <f>VLOOKUP(CK$11,$B$6:$C$43,2,FALSE)</f>
        <v>Profit Margin</v>
      </c>
      <c r="CO10" t="str">
        <f>VLOOKUP(CO$11,$B$6:$C$43,2,FALSE)</f>
        <v>Pretax Margin</v>
      </c>
      <c r="CS10" t="str">
        <f>VLOOKUP(CS$11,$B$6:$C$43,2,FALSE)</f>
        <v>Rental Income</v>
      </c>
      <c r="CW10" t="str">
        <f>VLOOKUP(CW$11,$B$6:$C$43,2,FALSE)</f>
        <v>Current Profit</v>
      </c>
      <c r="DA10" t="str">
        <f>VLOOKUP(DA$11,$B$6:$C$43,2,FALSE)</f>
        <v>Amount Produced</v>
      </c>
      <c r="DE10" t="str">
        <f>VLOOKUP(DE$11,$B$6:$C$43,2,FALSE)</f>
        <v>Assets</v>
      </c>
      <c r="DI10" t="str">
        <f>VLOOKUP(DI$11,$B$6:$C$43,2,FALSE)</f>
        <v>Cash, Cash Equivs &amp; Marketable Secs</v>
      </c>
      <c r="DM10" t="str">
        <f>VLOOKUP(DM$11,$B$6:$C$43,2,FALSE)</f>
        <v>Long Term Assets</v>
      </c>
      <c r="DQ10" t="str">
        <f>VLOOKUP(DQ$11,$B$6:$C$43,2,FALSE)</f>
        <v>Property/Plant/Equipment Name</v>
      </c>
      <c r="DU10" t="str">
        <f>VLOOKUP(DU$11,$B$6:$C$43,2,FALSE)</f>
        <v>Goodwill</v>
      </c>
      <c r="DY10" t="str">
        <f>VLOOKUP(DY$11,$B$6:$C$43,2,FALSE)</f>
        <v>Debt</v>
      </c>
      <c r="EC10" t="str">
        <f>VLOOKUP(EC$11,$B$6:$C$43,2,FALSE)</f>
        <v>Liabilities</v>
      </c>
      <c r="EG10" t="str">
        <f>VLOOKUP(EG$11,$B$6:$C$43,2,FALSE)</f>
        <v>Capital Employed</v>
      </c>
      <c r="EK10" t="str">
        <f>VLOOKUP(EK$11,$B$6:$C$43,2,FALSE)</f>
        <v>Order Backlog</v>
      </c>
      <c r="EO10" t="str">
        <f>VLOOKUP(EO$11,$B$6:$C$43,2,FALSE)</f>
        <v>Order Received</v>
      </c>
      <c r="ES10" t="str">
        <f>VLOOKUP(ES$11,$B$6:$C$43,2,FALSE)</f>
        <v>Capital Expenditures</v>
      </c>
    </row>
    <row r="11" spans="1:152">
      <c r="A11">
        <v>6</v>
      </c>
      <c r="B11" t="s">
        <v>203</v>
      </c>
      <c r="C11" t="s">
        <v>246</v>
      </c>
      <c r="D11" s="11">
        <v>8</v>
      </c>
      <c r="E11" s="12" t="e">
        <f t="shared" ca="1" si="0"/>
        <v>#NAME?</v>
      </c>
      <c r="I11" t="str">
        <f>$B$6</f>
        <v>PG_REVENUE</v>
      </c>
      <c r="M11" t="str">
        <f>$B$7</f>
        <v>PG_REVENUE_BY_ORIGIN</v>
      </c>
      <c r="Q11" t="str">
        <f>$B$8</f>
        <v>PG_REVENUE_SUPP_BREAKDOWN</v>
      </c>
      <c r="U11" t="str">
        <f>$B$9</f>
        <v>PG_REVENUE_DISTRIBUTION_CHANNEL</v>
      </c>
      <c r="Y11" t="str">
        <f>$B$10</f>
        <v>PG_REVENUE_END_USER</v>
      </c>
      <c r="AC11" t="str">
        <f>$B$11</f>
        <v>PG_REVENUE_BY_PAYOR_SOURCE</v>
      </c>
      <c r="AG11" t="str">
        <f>$B$12</f>
        <v>PG_GROSS_PROFIT</v>
      </c>
      <c r="AK11" t="str">
        <f>$B$13</f>
        <v>PG_EBITDA</v>
      </c>
      <c r="AO11" t="str">
        <f>$B$14</f>
        <v>PG_DEPR_AMORTIZATION</v>
      </c>
      <c r="AS11" t="str">
        <f>$B$15</f>
        <v>PG_DEPRECIATION</v>
      </c>
      <c r="AW11" t="str">
        <f>$B$16</f>
        <v>PG_RD_EXPENSES</v>
      </c>
      <c r="BA11" t="str">
        <f>$B$17</f>
        <v>PG_OPERATING_INCOME</v>
      </c>
      <c r="BE11" t="str">
        <f>$B$18</f>
        <v>PG_INTEREST_EXPENSE</v>
      </c>
      <c r="BI11" t="str">
        <f>$B$19</f>
        <v>PG_INTEREST_INCOME</v>
      </c>
      <c r="BM11" t="str">
        <f>$B$20</f>
        <v>PG_PRETAX_INCOME</v>
      </c>
      <c r="BQ11" t="str">
        <f>$B$21</f>
        <v>PG_INCOME_TAXES</v>
      </c>
      <c r="BU11" t="str">
        <f>$B$22</f>
        <v>PG_NET_INCOME</v>
      </c>
      <c r="BY11" t="str">
        <f>$B$23</f>
        <v>PG_SALES_1_YEAR_GROWTH</v>
      </c>
      <c r="CC11" t="str">
        <f>$B$24</f>
        <v>PG_GROSS_MARGIN</v>
      </c>
      <c r="CG11" t="str">
        <f>$B$25</f>
        <v>PG_OPERATING_MARGIN</v>
      </c>
      <c r="CK11" t="str">
        <f>$B$26</f>
        <v>PG_PROFIT_MARGIN</v>
      </c>
      <c r="CO11" t="str">
        <f>$B$27</f>
        <v>PG_PRETAX_MARGIN</v>
      </c>
      <c r="CS11" t="str">
        <f>$B$28</f>
        <v>PG_RENTAL_INCOME</v>
      </c>
      <c r="CW11" t="str">
        <f>$B$29</f>
        <v>PG_CURRENT_PROFIT</v>
      </c>
      <c r="DA11" t="str">
        <f>$B$30</f>
        <v>PG_AMOUNT_PRODUCED</v>
      </c>
      <c r="DE11" t="str">
        <f>$B$32</f>
        <v>PG_ASSETS</v>
      </c>
      <c r="DI11" t="str">
        <f>$B$33</f>
        <v>PG_CASH_CE_AND_MARKETABLE_SECS</v>
      </c>
      <c r="DM11" t="str">
        <f>$B$34</f>
        <v>PG_LT_ASSETS</v>
      </c>
      <c r="DQ11" t="str">
        <f>$B$35</f>
        <v>PG_PROPERTY_PLANT_EQUIP</v>
      </c>
      <c r="DU11" t="str">
        <f>$B$36</f>
        <v>PG_GOODWILL</v>
      </c>
      <c r="DY11" t="str">
        <f>$B$37</f>
        <v>PG_DEBT</v>
      </c>
      <c r="EC11" t="str">
        <f>$B$38</f>
        <v>PG_LIABILITIES</v>
      </c>
      <c r="EG11" t="str">
        <f>$B$39</f>
        <v>PG_CAPITAL_EMPLOYED</v>
      </c>
      <c r="EK11" t="str">
        <f>$B$40</f>
        <v>PG_ORDER_BACKLOG</v>
      </c>
      <c r="EO11" t="str">
        <f>$B$41</f>
        <v>PG_ORDER_RECEIVED</v>
      </c>
      <c r="ES11" t="str">
        <f>$B$43</f>
        <v>PG_CAPITAL_EXPENDITURES</v>
      </c>
    </row>
    <row r="12" spans="1:152">
      <c r="A12">
        <v>7</v>
      </c>
      <c r="B12" t="s">
        <v>204</v>
      </c>
      <c r="C12" t="s">
        <v>244</v>
      </c>
      <c r="D12" s="11">
        <v>9</v>
      </c>
      <c r="E12" s="12" t="e">
        <f t="shared" ca="1" si="0"/>
        <v>#NAME?</v>
      </c>
      <c r="I12" t="e">
        <f ca="1">_xll.BDS(BB_TICKER,I$11,"PG_HIERARCHY_LEVEL=1","NUMBER_OF_PERIODS=-1",BDP_OVERRIDES,BDP_OVERRIDES_DATA,"cols=3;rows=4")</f>
        <v>#NAME?</v>
      </c>
      <c r="J12">
        <v>1</v>
      </c>
      <c r="K12">
        <v>42049</v>
      </c>
      <c r="M12" t="e" cm="1">
        <f t="array" aca="1" ref="M12" ca="1">_xll.BDS(BB_TICKER,M$11,"PG_HIERARCHY_LEVEL=1","NUMBER_OF_PERIODS=-1",BDP_OVERRIDES,BDP_OVERRIDES_DATA)</f>
        <v>#NAME?</v>
      </c>
      <c r="Q12" t="e">
        <f ca="1">_xll.BDS(BB_TICKER,Q$11,"PG_HIERARCHY_LEVEL=1","NUMBER_OF_PERIODS=-1",BDP_OVERRIDES,BDP_OVERRIDES_DATA,"cols=3;rows=3")</f>
        <v>#NAME?</v>
      </c>
      <c r="R12">
        <v>1</v>
      </c>
      <c r="S12">
        <v>42536</v>
      </c>
      <c r="U12" t="e" cm="1">
        <f t="array" aca="1" ref="U12" ca="1">_xll.BDS(BB_TICKER,U$11,"PG_HIERARCHY_LEVEL=1","NUMBER_OF_PERIODS=-1",BDP_OVERRIDES,BDP_OVERRIDES_DATA)</f>
        <v>#NAME?</v>
      </c>
      <c r="Y12" t="e" cm="1">
        <f t="array" aca="1" ref="Y12" ca="1">_xll.BDS(BB_TICKER,Y$11,"PG_HIERARCHY_LEVEL=1","NUMBER_OF_PERIODS=-1",BDP_OVERRIDES,BDP_OVERRIDES_DATA)</f>
        <v>#NAME?</v>
      </c>
      <c r="AC12" t="e" cm="1">
        <f t="array" aca="1" ref="AC12" ca="1">_xll.BDS(BB_TICKER,AC$11,"PG_HIERARCHY_LEVEL=1","NUMBER_OF_PERIODS=-1",BDP_OVERRIDES,BDP_OVERRIDES_DATA)</f>
        <v>#NAME?</v>
      </c>
      <c r="AG12" t="e">
        <f ca="1">_xll.BDS(BB_TICKER,AG$11,"PG_HIERARCHY_LEVEL=1","NUMBER_OF_PERIODS=-1",BDP_OVERRIDES,BDP_OVERRIDES_DATA)</f>
        <v>#NAME?</v>
      </c>
      <c r="AK12" t="e" cm="1">
        <f t="array" aca="1" ref="AK12" ca="1">_xll.BDS(BB_TICKER,AK$11,"PG_HIERARCHY_LEVEL=1","NUMBER_OF_PERIODS=-1",BDP_OVERRIDES,BDP_OVERRIDES_DATA)</f>
        <v>#NAME?</v>
      </c>
      <c r="AO12" t="e">
        <f ca="1">_xll.BDS(BB_TICKER,AO$11,"PG_HIERARCHY_LEVEL=1","NUMBER_OF_PERIODS=-1",BDP_OVERRIDES,BDP_OVERRIDES_DATA,"cols=3;rows=2")</f>
        <v>#NAME?</v>
      </c>
      <c r="AP12">
        <v>1</v>
      </c>
      <c r="AQ12">
        <v>2803</v>
      </c>
      <c r="AS12" t="e" cm="1">
        <f t="array" aca="1" ref="AS12" ca="1">_xll.BDS(BB_TICKER,AS$11,"PG_HIERARCHY_LEVEL=1","NUMBER_OF_PERIODS=-1",BDP_OVERRIDES,BDP_OVERRIDES_DATA)</f>
        <v>#NAME?</v>
      </c>
      <c r="AW12" t="e">
        <f ca="1">_xll.BDS(BB_TICKER,AW$11,"PG_HIERARCHY_LEVEL=1","NUMBER_OF_PERIODS=-1",BDP_OVERRIDES,BDP_OVERRIDES_DATA)</f>
        <v>#NAME?</v>
      </c>
      <c r="BA12" t="e">
        <f ca="1">_xll.BDS(BB_TICKER,BA$11,"PG_HIERARCHY_LEVEL=1","NUMBER_OF_PERIODS=-1",BDP_OVERRIDES,BDP_OVERRIDES_DATA,"cols=3;rows=3")</f>
        <v>#NAME?</v>
      </c>
      <c r="BB12">
        <v>1</v>
      </c>
      <c r="BC12">
        <v>2745</v>
      </c>
      <c r="BE12" t="e" cm="1">
        <f t="array" aca="1" ref="BE12" ca="1">_xll.BDS(BB_TICKER,BE$11,"PG_HIERARCHY_LEVEL=1","NUMBER_OF_PERIODS=-1",BDP_OVERRIDES,BDP_OVERRIDES_DATA)</f>
        <v>#NAME?</v>
      </c>
      <c r="BI12" t="e" cm="1">
        <f t="array" aca="1" ref="BI12" ca="1">_xll.BDS(BB_TICKER,BI$11,"PG_HIERARCHY_LEVEL=1","NUMBER_OF_PERIODS=-1",BDP_OVERRIDES,BDP_OVERRIDES_DATA)</f>
        <v>#NAME?</v>
      </c>
      <c r="BM12" t="e">
        <f ca="1">_xll.BDS(BB_TICKER,BM$11,"PG_HIERARCHY_LEVEL=1","NUMBER_OF_PERIODS=-1",BDP_OVERRIDES,BDP_OVERRIDES_DATA,"cols=3;rows=3")</f>
        <v>#NAME?</v>
      </c>
      <c r="BN12">
        <v>1</v>
      </c>
      <c r="BO12">
        <v>173</v>
      </c>
      <c r="BQ12" t="e">
        <f ca="1">_xll.BDS(BB_TICKER,BQ$11,"PG_HIERARCHY_LEVEL=1","NUMBER_OF_PERIODS=-1",BDP_OVERRIDES,BDP_OVERRIDES_DATA,"cols=3;rows=3")</f>
        <v>#NAME?</v>
      </c>
      <c r="BR12">
        <v>1</v>
      </c>
      <c r="BS12">
        <v>694</v>
      </c>
      <c r="BU12" t="e">
        <f ca="1">_xll.BDS(BB_TICKER,BU$11,"PG_HIERARCHY_LEVEL=1","NUMBER_OF_PERIODS=-1",BDP_OVERRIDES,BDP_OVERRIDES_DATA,"cols=3;rows=3")</f>
        <v>#NAME?</v>
      </c>
      <c r="BV12">
        <v>1</v>
      </c>
      <c r="BW12">
        <v>1928</v>
      </c>
      <c r="BY12" t="e">
        <f ca="1">_xll.BDS(BB_TICKER,BY$11,"PG_HIERARCHY_LEVEL=1","NUMBER_OF_PERIODS=-1",BDP_OVERRIDES,BDP_OVERRIDES_DATA)</f>
        <v>#NAME?</v>
      </c>
      <c r="CC12" t="e" cm="1">
        <f t="array" aca="1" ref="CC12" ca="1">_xll.BDS(BB_TICKER,CC$11,"PG_HIERARCHY_LEVEL=1","NUMBER_OF_PERIODS=-1",BDP_OVERRIDES,BDP_OVERRIDES_DATA)</f>
        <v>#NAME?</v>
      </c>
      <c r="CG12" t="e" cm="1">
        <f t="array" aca="1" ref="CG12" ca="1">_xll.BDS(BB_TICKER,CG$11,"PG_HIERARCHY_LEVEL=1","NUMBER_OF_PERIODS=-1",BDP_OVERRIDES,BDP_OVERRIDES_DATA)</f>
        <v>#NAME?</v>
      </c>
      <c r="CK12" t="e" cm="1">
        <f t="array" aca="1" ref="CK12" ca="1">_xll.BDS(BB_TICKER,CK$11,"PG_HIERARCHY_LEVEL=1","NUMBER_OF_PERIODS=-1",BDP_OVERRIDES,BDP_OVERRIDES_DATA)</f>
        <v>#NAME?</v>
      </c>
      <c r="CO12" t="e" cm="1">
        <f t="array" aca="1" ref="CO12" ca="1">_xll.BDS(BB_TICKER,CO$11,"PG_HIERARCHY_LEVEL=1","NUMBER_OF_PERIODS=-1",BDP_OVERRIDES,BDP_OVERRIDES_DATA)</f>
        <v>#NAME?</v>
      </c>
      <c r="CS12" t="e" cm="1">
        <f t="array" aca="1" ref="CS12" ca="1">_xll.BDS(BB_TICKER,CS$11,"PG_HIERARCHY_LEVEL=1","NUMBER_OF_PERIODS=-1",BDP_OVERRIDES,BDP_OVERRIDES_DATA)</f>
        <v>#NAME?</v>
      </c>
      <c r="CW12" t="e" cm="1">
        <f t="array" aca="1" ref="CW12" ca="1">_xll.BDS(BB_TICKER,CW$11,"PG_HIERARCHY_LEVEL=1","NUMBER_OF_PERIODS=-1",BDP_OVERRIDES,BDP_OVERRIDES_DATA)</f>
        <v>#NAME?</v>
      </c>
      <c r="DA12" t="e" cm="1">
        <f t="array" aca="1" ref="DA12" ca="1">_xll.BDS(BB_TICKER,DA$11,"PG_HIERARCHY_LEVEL=1","NUMBER_OF_PERIODS=-1",BDP_OVERRIDES,BDP_OVERRIDES_DATA)</f>
        <v>#NAME?</v>
      </c>
      <c r="DE12" t="e">
        <f ca="1">_xll.BDS(BB_TICKER,DE$11,"PG_HIERARCHY_LEVEL=1","NUMBER_OF_PERIODS=-1",BDP_OVERRIDES,BDP_OVERRIDES_DATA,"cols=3;rows=3")</f>
        <v>#NAME?</v>
      </c>
      <c r="DF12">
        <v>1</v>
      </c>
      <c r="DG12">
        <v>45181</v>
      </c>
      <c r="DI12" t="e" cm="1">
        <f t="array" aca="1" ref="DI12" ca="1">_xll.BDS(BB_TICKER,DI$11,"PG_HIERARCHY_LEVEL=1","NUMBER_OF_PERIODS=-1",BDP_OVERRIDES,BDP_OVERRIDES_DATA)</f>
        <v>#NAME?</v>
      </c>
      <c r="DM12" t="e" cm="1">
        <f t="array" aca="1" ref="DM12" ca="1">_xll.BDS(BB_TICKER,DM$11,"PG_HIERARCHY_LEVEL=1","NUMBER_OF_PERIODS=-1",BDP_OVERRIDES,BDP_OVERRIDES_DATA)</f>
        <v>#NAME?</v>
      </c>
      <c r="DQ12" t="e" cm="1">
        <f t="array" aca="1" ref="DQ12" ca="1">_xll.BDS(BB_TICKER,DQ$11,"PG_HIERARCHY_LEVEL=1","NUMBER_OF_PERIODS=-1",BDP_OVERRIDES,BDP_OVERRIDES_DATA)</f>
        <v>#NAME?</v>
      </c>
      <c r="DU12" t="e" cm="1">
        <f t="array" aca="1" ref="DU12" ca="1">_xll.BDS(BB_TICKER,DU$11,"PG_HIERARCHY_LEVEL=1","NUMBER_OF_PERIODS=-1",BDP_OVERRIDES,BDP_OVERRIDES_DATA)</f>
        <v>#NAME?</v>
      </c>
      <c r="DY12" t="e">
        <f ca="1">_xll.BDS(BB_TICKER,DY$11,"PG_HIERARCHY_LEVEL=1","NUMBER_OF_PERIODS=-1",BDP_OVERRIDES,BDP_OVERRIDES_DATA,"cols=3;rows=3")</f>
        <v>#NAME?</v>
      </c>
      <c r="DZ12">
        <v>1</v>
      </c>
      <c r="EA12">
        <v>19952</v>
      </c>
      <c r="EC12" t="e">
        <f ca="1">_xll.BDS(BB_TICKER,EC$11,"PG_HIERARCHY_LEVEL=1","NUMBER_OF_PERIODS=-1",BDP_OVERRIDES,BDP_OVERRIDES_DATA)</f>
        <v>#NAME?</v>
      </c>
      <c r="EG12" t="e" cm="1">
        <f t="array" aca="1" ref="EG12" ca="1">_xll.BDS(BB_TICKER,EG$11,"PG_HIERARCHY_LEVEL=1","NUMBER_OF_PERIODS=-1",BDP_OVERRIDES,BDP_OVERRIDES_DATA)</f>
        <v>#NAME?</v>
      </c>
      <c r="EK12" t="e" cm="1">
        <f t="array" aca="1" ref="EK12" ca="1">_xll.BDS(BB_TICKER,EK$11,"PG_HIERARCHY_LEVEL=1","NUMBER_OF_PERIODS=-1",BDP_OVERRIDES,BDP_OVERRIDES_DATA)</f>
        <v>#NAME?</v>
      </c>
      <c r="EO12" t="e" cm="1">
        <f t="array" aca="1" ref="EO12" ca="1">_xll.BDS(BB_TICKER,EO$11,"PG_HIERARCHY_LEVEL=1","NUMBER_OF_PERIODS=-1",BDP_OVERRIDES,BDP_OVERRIDES_DATA)</f>
        <v>#NAME?</v>
      </c>
      <c r="ES12" t="e">
        <f ca="1">_xll.BDS(BB_TICKER,ES$11,"PG_HIERARCHY_LEVEL=1","NUMBER_OF_PERIODS=-1",BDP_OVERRIDES,BDP_OVERRIDES_DATA,"cols=3;rows=3")</f>
        <v>#NAME?</v>
      </c>
      <c r="ET12">
        <v>1</v>
      </c>
      <c r="EU12">
        <v>-5</v>
      </c>
    </row>
    <row r="13" spans="1:152">
      <c r="A13">
        <v>8</v>
      </c>
      <c r="B13" t="s">
        <v>205</v>
      </c>
      <c r="C13" t="s">
        <v>14</v>
      </c>
      <c r="D13" s="11">
        <v>10</v>
      </c>
      <c r="E13" s="12" t="e">
        <f t="shared" ca="1" si="0"/>
        <v>#NAME?</v>
      </c>
      <c r="I13" t="s">
        <v>706</v>
      </c>
      <c r="J13">
        <v>1</v>
      </c>
      <c r="K13">
        <v>2035</v>
      </c>
      <c r="Q13" t="s">
        <v>706</v>
      </c>
      <c r="R13">
        <v>1</v>
      </c>
      <c r="S13">
        <v>2188</v>
      </c>
      <c r="AO13" t="s">
        <v>706</v>
      </c>
      <c r="AP13">
        <v>1</v>
      </c>
      <c r="AQ13">
        <v>524</v>
      </c>
      <c r="BA13" t="s">
        <v>706</v>
      </c>
      <c r="BB13">
        <v>1</v>
      </c>
      <c r="BC13">
        <v>167</v>
      </c>
      <c r="BM13" t="s">
        <v>707</v>
      </c>
      <c r="BN13">
        <v>1</v>
      </c>
      <c r="BO13">
        <v>2.5129999999999999</v>
      </c>
      <c r="BQ13" t="s">
        <v>706</v>
      </c>
      <c r="BR13">
        <v>1</v>
      </c>
      <c r="BS13">
        <v>39</v>
      </c>
      <c r="BU13" t="s">
        <v>706</v>
      </c>
      <c r="BV13">
        <v>1</v>
      </c>
      <c r="BW13">
        <v>133</v>
      </c>
      <c r="DE13" t="s">
        <v>706</v>
      </c>
      <c r="DF13">
        <v>1</v>
      </c>
      <c r="DG13">
        <v>23419</v>
      </c>
      <c r="DY13" t="s">
        <v>707</v>
      </c>
      <c r="DZ13">
        <v>1</v>
      </c>
      <c r="EA13">
        <v>6317</v>
      </c>
      <c r="ES13" t="s">
        <v>706</v>
      </c>
      <c r="ET13">
        <v>1</v>
      </c>
      <c r="EU13">
        <v>-56</v>
      </c>
    </row>
    <row r="14" spans="1:152">
      <c r="A14">
        <v>9</v>
      </c>
      <c r="B14" t="s">
        <v>206</v>
      </c>
      <c r="C14" t="s">
        <v>243</v>
      </c>
      <c r="D14" s="11">
        <v>11</v>
      </c>
      <c r="E14" s="12" t="e">
        <f t="shared" ca="1" si="0"/>
        <v>#NAME?</v>
      </c>
      <c r="I14" t="s">
        <v>668</v>
      </c>
      <c r="J14">
        <v>1</v>
      </c>
      <c r="K14">
        <v>640</v>
      </c>
      <c r="Q14" t="s">
        <v>708</v>
      </c>
      <c r="R14">
        <v>1</v>
      </c>
      <c r="S14">
        <v>-672</v>
      </c>
      <c r="BA14" t="s">
        <v>708</v>
      </c>
      <c r="BB14">
        <v>1</v>
      </c>
      <c r="BC14">
        <v>-486</v>
      </c>
      <c r="BM14" t="s">
        <v>708</v>
      </c>
      <c r="BN14">
        <v>1</v>
      </c>
      <c r="BO14">
        <v>-768</v>
      </c>
      <c r="BQ14" t="s">
        <v>668</v>
      </c>
      <c r="BR14">
        <v>1</v>
      </c>
      <c r="BS14">
        <v>-254</v>
      </c>
      <c r="BU14" t="s">
        <v>668</v>
      </c>
      <c r="BV14">
        <v>1</v>
      </c>
      <c r="BW14">
        <v>-514</v>
      </c>
      <c r="DE14" t="s">
        <v>668</v>
      </c>
      <c r="DF14">
        <v>1</v>
      </c>
      <c r="DG14">
        <v>-398</v>
      </c>
      <c r="DY14" t="s">
        <v>668</v>
      </c>
      <c r="DZ14">
        <v>1</v>
      </c>
      <c r="EA14">
        <v>1122</v>
      </c>
      <c r="ES14" t="s">
        <v>707</v>
      </c>
      <c r="ET14">
        <v>1</v>
      </c>
      <c r="EU14">
        <v>-2800</v>
      </c>
    </row>
    <row r="15" spans="1:152">
      <c r="A15">
        <v>10</v>
      </c>
      <c r="B15" t="s">
        <v>207</v>
      </c>
      <c r="C15" t="s">
        <v>242</v>
      </c>
      <c r="D15" s="11">
        <v>12</v>
      </c>
      <c r="E15" s="12" t="e">
        <f t="shared" ca="1" si="0"/>
        <v>#NAME?</v>
      </c>
      <c r="I15" t="s">
        <v>708</v>
      </c>
      <c r="J15">
        <v>1</v>
      </c>
      <c r="K15">
        <v>-672</v>
      </c>
    </row>
    <row r="16" spans="1:152">
      <c r="A16">
        <v>11</v>
      </c>
      <c r="B16" t="s">
        <v>208</v>
      </c>
      <c r="C16" t="s">
        <v>241</v>
      </c>
      <c r="D16" s="11">
        <v>13</v>
      </c>
      <c r="E16" s="12" t="e">
        <f t="shared" ca="1" si="0"/>
        <v>#NAME?</v>
      </c>
    </row>
    <row r="17" spans="1:5">
      <c r="A17">
        <v>12</v>
      </c>
      <c r="B17" t="s">
        <v>209</v>
      </c>
      <c r="C17" t="s">
        <v>240</v>
      </c>
      <c r="D17" s="11">
        <v>14</v>
      </c>
      <c r="E17" s="12" t="e">
        <f t="shared" ca="1" si="0"/>
        <v>#NAME?</v>
      </c>
    </row>
    <row r="18" spans="1:5">
      <c r="A18">
        <v>13</v>
      </c>
      <c r="B18" t="s">
        <v>210</v>
      </c>
      <c r="C18" t="s">
        <v>247</v>
      </c>
      <c r="D18" s="11">
        <v>15</v>
      </c>
      <c r="E18" s="12" t="e">
        <f t="shared" ca="1" si="0"/>
        <v>#NAME?</v>
      </c>
    </row>
    <row r="19" spans="1:5">
      <c r="A19">
        <v>14</v>
      </c>
      <c r="B19" t="s">
        <v>211</v>
      </c>
      <c r="C19" t="s">
        <v>248</v>
      </c>
      <c r="D19" s="11">
        <v>16</v>
      </c>
      <c r="E19" s="12" t="e">
        <f t="shared" ca="1" si="0"/>
        <v>#NAME?</v>
      </c>
    </row>
    <row r="20" spans="1:5">
      <c r="A20">
        <v>15</v>
      </c>
      <c r="B20" t="s">
        <v>212</v>
      </c>
      <c r="C20" t="s">
        <v>249</v>
      </c>
      <c r="D20" s="11">
        <v>17</v>
      </c>
      <c r="E20" s="12" t="e">
        <f t="shared" ca="1" si="0"/>
        <v>#NAME?</v>
      </c>
    </row>
    <row r="21" spans="1:5">
      <c r="A21">
        <v>16</v>
      </c>
      <c r="B21" t="s">
        <v>213</v>
      </c>
      <c r="C21" t="s">
        <v>250</v>
      </c>
      <c r="D21" s="11">
        <v>18</v>
      </c>
      <c r="E21" s="12" t="e">
        <f t="shared" ca="1" si="0"/>
        <v>#NAME?</v>
      </c>
    </row>
    <row r="22" spans="1:5">
      <c r="A22">
        <v>17</v>
      </c>
      <c r="B22" t="s">
        <v>214</v>
      </c>
      <c r="C22" t="s">
        <v>22</v>
      </c>
      <c r="D22" s="11">
        <v>19</v>
      </c>
      <c r="E22" s="12" t="e">
        <f t="shared" ca="1" si="0"/>
        <v>#NAME?</v>
      </c>
    </row>
    <row r="23" spans="1:5">
      <c r="A23">
        <v>18</v>
      </c>
      <c r="B23" t="s">
        <v>215</v>
      </c>
      <c r="C23" t="s">
        <v>251</v>
      </c>
      <c r="D23" s="11">
        <v>20</v>
      </c>
      <c r="E23" s="12" t="e">
        <f t="shared" ca="1" si="0"/>
        <v>#NAME?</v>
      </c>
    </row>
    <row r="24" spans="1:5">
      <c r="A24">
        <v>19</v>
      </c>
      <c r="B24" t="s">
        <v>216</v>
      </c>
      <c r="C24" t="s">
        <v>252</v>
      </c>
      <c r="D24" s="11">
        <v>21</v>
      </c>
      <c r="E24" s="12" t="e">
        <f t="shared" ca="1" si="0"/>
        <v>#NAME?</v>
      </c>
    </row>
    <row r="25" spans="1:5">
      <c r="A25">
        <v>20</v>
      </c>
      <c r="B25" t="s">
        <v>217</v>
      </c>
      <c r="C25" t="s">
        <v>253</v>
      </c>
      <c r="D25" s="11">
        <v>22</v>
      </c>
      <c r="E25" s="12" t="e">
        <f t="shared" ca="1" si="0"/>
        <v>#NAME?</v>
      </c>
    </row>
    <row r="26" spans="1:5">
      <c r="A26">
        <v>21</v>
      </c>
      <c r="B26" t="s">
        <v>218</v>
      </c>
      <c r="C26" t="s">
        <v>254</v>
      </c>
      <c r="D26" s="11">
        <v>23</v>
      </c>
      <c r="E26" s="12" t="e">
        <f t="shared" ca="1" si="0"/>
        <v>#NAME?</v>
      </c>
    </row>
    <row r="27" spans="1:5">
      <c r="A27">
        <v>22</v>
      </c>
      <c r="B27" t="s">
        <v>219</v>
      </c>
      <c r="C27" t="s">
        <v>255</v>
      </c>
      <c r="D27" s="11">
        <v>24</v>
      </c>
      <c r="E27" s="12" t="e">
        <f t="shared" ca="1" si="0"/>
        <v>#NAME?</v>
      </c>
    </row>
    <row r="28" spans="1:5">
      <c r="A28">
        <v>23</v>
      </c>
      <c r="B28" t="s">
        <v>220</v>
      </c>
      <c r="C28" t="s">
        <v>256</v>
      </c>
      <c r="D28" s="11">
        <v>25</v>
      </c>
      <c r="E28" s="12" t="e">
        <f t="shared" ca="1" si="0"/>
        <v>#NAME?</v>
      </c>
    </row>
    <row r="29" spans="1:5">
      <c r="A29">
        <v>24</v>
      </c>
      <c r="B29" t="s">
        <v>221</v>
      </c>
      <c r="C29" t="s">
        <v>257</v>
      </c>
      <c r="D29" s="11">
        <v>26</v>
      </c>
      <c r="E29" s="12" t="e">
        <f t="shared" ca="1" si="0"/>
        <v>#NAME?</v>
      </c>
    </row>
    <row r="30" spans="1:5">
      <c r="A30">
        <v>25</v>
      </c>
      <c r="B30" t="s">
        <v>222</v>
      </c>
      <c r="C30" t="s">
        <v>258</v>
      </c>
      <c r="D30" s="13">
        <v>27</v>
      </c>
      <c r="E30" s="14" t="e">
        <f t="shared" ca="1" si="0"/>
        <v>#NAME?</v>
      </c>
    </row>
    <row r="31" spans="1:5">
      <c r="A31">
        <v>26</v>
      </c>
      <c r="B31" s="5" t="s">
        <v>223</v>
      </c>
    </row>
    <row r="32" spans="1:5">
      <c r="A32">
        <v>27</v>
      </c>
      <c r="B32" t="s">
        <v>224</v>
      </c>
      <c r="C32" t="s">
        <v>259</v>
      </c>
    </row>
    <row r="33" spans="1:3">
      <c r="A33">
        <v>28</v>
      </c>
      <c r="B33" t="s">
        <v>225</v>
      </c>
      <c r="C33" t="s">
        <v>260</v>
      </c>
    </row>
    <row r="34" spans="1:3">
      <c r="A34">
        <v>29</v>
      </c>
      <c r="B34" t="s">
        <v>226</v>
      </c>
      <c r="C34" t="s">
        <v>261</v>
      </c>
    </row>
    <row r="35" spans="1:3">
      <c r="A35">
        <v>30</v>
      </c>
      <c r="B35" t="s">
        <v>227</v>
      </c>
      <c r="C35" t="s">
        <v>262</v>
      </c>
    </row>
    <row r="36" spans="1:3">
      <c r="A36">
        <v>31</v>
      </c>
      <c r="B36" t="s">
        <v>228</v>
      </c>
      <c r="C36" t="s">
        <v>263</v>
      </c>
    </row>
    <row r="37" spans="1:3">
      <c r="A37">
        <v>32</v>
      </c>
      <c r="B37" t="s">
        <v>229</v>
      </c>
      <c r="C37" t="s">
        <v>264</v>
      </c>
    </row>
    <row r="38" spans="1:3">
      <c r="A38">
        <v>33</v>
      </c>
      <c r="B38" t="s">
        <v>230</v>
      </c>
      <c r="C38" t="s">
        <v>265</v>
      </c>
    </row>
    <row r="39" spans="1:3">
      <c r="A39">
        <v>34</v>
      </c>
      <c r="B39" t="s">
        <v>231</v>
      </c>
      <c r="C39" t="s">
        <v>266</v>
      </c>
    </row>
    <row r="40" spans="1:3">
      <c r="A40">
        <v>35</v>
      </c>
      <c r="B40" t="s">
        <v>232</v>
      </c>
      <c r="C40" t="s">
        <v>267</v>
      </c>
    </row>
    <row r="41" spans="1:3">
      <c r="A41">
        <v>36</v>
      </c>
      <c r="B41" t="s">
        <v>233</v>
      </c>
      <c r="C41" t="s">
        <v>268</v>
      </c>
    </row>
    <row r="42" spans="1:3">
      <c r="A42">
        <v>37</v>
      </c>
      <c r="B42" s="5" t="s">
        <v>234</v>
      </c>
    </row>
    <row r="43" spans="1:3">
      <c r="A43">
        <v>38</v>
      </c>
      <c r="B43" t="s">
        <v>235</v>
      </c>
      <c r="C43" t="s">
        <v>269</v>
      </c>
    </row>
  </sheetData>
  <mergeCells count="1">
    <mergeCell ref="B5:C5"/>
  </mergeCells>
  <phoneticPr fontId="1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Main"/>
  <dimension ref="B1:W564"/>
  <sheetViews>
    <sheetView showGridLines="0" workbookViewId="0">
      <selection activeCell="F19" sqref="F19"/>
    </sheetView>
  </sheetViews>
  <sheetFormatPr baseColWidth="10" defaultColWidth="8.88671875" defaultRowHeight="14.4"/>
  <cols>
    <col min="1" max="1" width="2.6640625" customWidth="1"/>
    <col min="2" max="2" width="20.109375" customWidth="1"/>
    <col min="3" max="3" width="22.33203125" customWidth="1"/>
    <col min="4" max="8" width="18.88671875" customWidth="1"/>
    <col min="9" max="9" width="2.33203125" customWidth="1"/>
    <col min="10" max="10" width="6.44140625" customWidth="1"/>
    <col min="11" max="11" width="2.44140625" customWidth="1"/>
    <col min="12" max="12" width="9.109375" style="102"/>
    <col min="13" max="13" width="14.6640625" style="102" bestFit="1" customWidth="1"/>
    <col min="14" max="23" width="9.109375" style="102"/>
  </cols>
  <sheetData>
    <row r="1" spans="2:15" ht="5.0999999999999996" customHeight="1"/>
    <row r="2" spans="2:15" ht="15" customHeight="1"/>
    <row r="3" spans="2:15" ht="15" customHeight="1"/>
    <row r="4" spans="2:15" ht="15" customHeight="1"/>
    <row r="5" spans="2:15" ht="5.0999999999999996" customHeight="1"/>
    <row r="7" spans="2:15" ht="15.6">
      <c r="E7" s="451" t="s">
        <v>577</v>
      </c>
      <c r="F7" s="452"/>
      <c r="G7" s="452"/>
    </row>
    <row r="8" spans="2:15">
      <c r="B8" s="319" t="s">
        <v>68</v>
      </c>
      <c r="C8" s="318" t="s">
        <v>703</v>
      </c>
      <c r="E8" s="453" t="s">
        <v>802</v>
      </c>
      <c r="F8" s="454"/>
      <c r="G8" s="317">
        <v>16750000000</v>
      </c>
    </row>
    <row r="9" spans="2:15">
      <c r="B9" s="312" t="s">
        <v>49</v>
      </c>
      <c r="C9" s="315" t="s">
        <v>803</v>
      </c>
      <c r="E9" s="455" t="s">
        <v>576</v>
      </c>
      <c r="F9" s="456"/>
      <c r="G9" s="316">
        <v>1000000000</v>
      </c>
    </row>
    <row r="10" spans="2:15">
      <c r="B10" s="312" t="s">
        <v>575</v>
      </c>
      <c r="C10" s="315" t="s">
        <v>804</v>
      </c>
      <c r="E10" s="455" t="s">
        <v>574</v>
      </c>
      <c r="F10" s="456"/>
      <c r="G10" s="314">
        <v>10000000000000</v>
      </c>
    </row>
    <row r="11" spans="2:15">
      <c r="B11" s="312" t="s">
        <v>573</v>
      </c>
      <c r="C11" s="311">
        <v>46204</v>
      </c>
      <c r="E11" s="457" t="s">
        <v>572</v>
      </c>
      <c r="F11" s="458"/>
      <c r="G11" s="313">
        <v>3</v>
      </c>
    </row>
    <row r="12" spans="2:15">
      <c r="B12" s="312" t="s">
        <v>571</v>
      </c>
      <c r="C12" s="311">
        <v>42908</v>
      </c>
      <c r="E12" s="457" t="s">
        <v>570</v>
      </c>
      <c r="F12" s="458"/>
      <c r="G12" s="310" t="s">
        <v>805</v>
      </c>
    </row>
    <row r="13" spans="2:15">
      <c r="B13" s="309" t="s">
        <v>390</v>
      </c>
      <c r="C13" s="308" t="s">
        <v>402</v>
      </c>
    </row>
    <row r="15" spans="2:15" ht="15">
      <c r="B15" s="331" t="s">
        <v>578</v>
      </c>
      <c r="D15" s="321" t="s">
        <v>69</v>
      </c>
      <c r="E15" s="321" t="s">
        <v>569</v>
      </c>
      <c r="F15" s="321" t="s">
        <v>568</v>
      </c>
      <c r="G15" s="321" t="s">
        <v>567</v>
      </c>
      <c r="H15" s="321" t="s">
        <v>75</v>
      </c>
      <c r="J15" s="307" t="s">
        <v>566</v>
      </c>
      <c r="L15" s="102" t="s">
        <v>806</v>
      </c>
      <c r="M15" s="102" t="s">
        <v>807</v>
      </c>
      <c r="N15" s="102" t="s">
        <v>808</v>
      </c>
      <c r="O15" s="102" t="s">
        <v>809</v>
      </c>
    </row>
    <row r="16" spans="2:15">
      <c r="D16" s="325"/>
      <c r="E16" s="325"/>
      <c r="F16" s="325"/>
      <c r="G16" s="325"/>
      <c r="H16" s="325"/>
      <c r="J16" s="322"/>
    </row>
    <row r="17" spans="2:18" ht="15" hidden="1" customHeight="1">
      <c r="D17" s="459" t="s">
        <v>810</v>
      </c>
      <c r="E17" s="460"/>
      <c r="F17" s="460"/>
      <c r="G17" s="460"/>
      <c r="H17" s="461"/>
      <c r="J17" s="322"/>
    </row>
    <row r="18" spans="2:18" ht="15.6">
      <c r="D18" s="462" t="s">
        <v>565</v>
      </c>
      <c r="E18" s="462"/>
      <c r="F18" s="462"/>
      <c r="G18" s="462"/>
      <c r="H18" s="462"/>
    </row>
    <row r="19" spans="2:18">
      <c r="B19" s="446">
        <v>46204</v>
      </c>
      <c r="C19" s="447"/>
      <c r="D19" s="326">
        <v>8.6281812538795783</v>
      </c>
      <c r="E19" s="327">
        <v>3.9971020092735703</v>
      </c>
      <c r="F19" s="327">
        <v>11.274659400544959</v>
      </c>
      <c r="G19" s="327">
        <v>0.47370349170005727</v>
      </c>
      <c r="H19" s="327">
        <v>0.88025753337907009</v>
      </c>
      <c r="J19" s="305"/>
      <c r="L19" s="102" t="b">
        <v>1</v>
      </c>
      <c r="M19" s="102" t="s">
        <v>811</v>
      </c>
      <c r="N19" s="328">
        <v>8.6281812538795783</v>
      </c>
      <c r="O19" s="328">
        <v>3.9971020092735703</v>
      </c>
      <c r="P19" s="328">
        <v>11.274659400544959</v>
      </c>
      <c r="Q19" s="328">
        <v>0.47370349170005727</v>
      </c>
      <c r="R19" s="328">
        <v>0.88025753337907009</v>
      </c>
    </row>
    <row r="20" spans="2:18">
      <c r="B20" s="446">
        <v>42908</v>
      </c>
      <c r="C20" s="447"/>
      <c r="D20" s="306" t="s">
        <v>812</v>
      </c>
      <c r="E20" s="305" t="s">
        <v>812</v>
      </c>
      <c r="F20" s="305" t="s">
        <v>812</v>
      </c>
      <c r="G20" s="305" t="s">
        <v>812</v>
      </c>
      <c r="H20" s="305" t="s">
        <v>812</v>
      </c>
      <c r="J20" s="305"/>
      <c r="L20" s="102" t="b">
        <v>0</v>
      </c>
      <c r="M20" s="102" t="s">
        <v>813</v>
      </c>
      <c r="N20" s="328">
        <v>0</v>
      </c>
      <c r="O20" s="328" t="s">
        <v>812</v>
      </c>
      <c r="P20" s="328" t="s">
        <v>812</v>
      </c>
      <c r="Q20" s="328" t="s">
        <v>812</v>
      </c>
      <c r="R20" s="328" t="s">
        <v>812</v>
      </c>
    </row>
    <row r="21" spans="2:18">
      <c r="B21" s="447" t="s">
        <v>564</v>
      </c>
      <c r="C21" s="447"/>
      <c r="D21" s="304" t="s">
        <v>758</v>
      </c>
      <c r="E21" s="303" t="s">
        <v>758</v>
      </c>
      <c r="F21" s="303" t="s">
        <v>758</v>
      </c>
      <c r="G21" s="303" t="s">
        <v>758</v>
      </c>
      <c r="H21" s="303" t="s">
        <v>758</v>
      </c>
    </row>
    <row r="22" spans="2:18">
      <c r="B22" s="323"/>
      <c r="C22" s="323"/>
      <c r="D22" s="324"/>
      <c r="E22" s="324"/>
      <c r="F22" s="324"/>
      <c r="G22" s="324"/>
      <c r="H22" s="324"/>
    </row>
    <row r="23" spans="2:18" ht="15" hidden="1" customHeight="1">
      <c r="B23" s="323"/>
      <c r="C23" s="323"/>
      <c r="D23" s="444" t="s">
        <v>814</v>
      </c>
      <c r="E23" s="444"/>
      <c r="F23" s="444"/>
      <c r="G23" s="444"/>
      <c r="H23" s="444"/>
    </row>
    <row r="24" spans="2:18" hidden="1">
      <c r="D24" s="444"/>
      <c r="E24" s="444"/>
      <c r="F24" s="444"/>
      <c r="G24" s="444"/>
      <c r="H24" s="444"/>
    </row>
    <row r="25" spans="2:18" hidden="1">
      <c r="D25" s="444"/>
      <c r="E25" s="444"/>
      <c r="F25" s="444"/>
      <c r="G25" s="444"/>
      <c r="H25" s="444"/>
    </row>
    <row r="26" spans="2:18" ht="15.6">
      <c r="D26" s="448" t="s">
        <v>815</v>
      </c>
      <c r="E26" s="449"/>
      <c r="F26" s="449"/>
      <c r="G26" s="449"/>
      <c r="H26" s="450"/>
    </row>
    <row r="27" spans="2:18">
      <c r="B27" s="446">
        <v>46204</v>
      </c>
      <c r="C27" s="447"/>
      <c r="D27" s="306">
        <v>36.803627632988203</v>
      </c>
      <c r="E27" s="305">
        <v>18.590905354238654</v>
      </c>
      <c r="F27" s="305">
        <v>27.036012321789791</v>
      </c>
      <c r="G27" s="305">
        <v>2.6165365894319983</v>
      </c>
      <c r="H27" s="305">
        <v>7.1194763473562821</v>
      </c>
      <c r="J27" s="305"/>
      <c r="L27" s="102" t="b">
        <v>1</v>
      </c>
      <c r="M27" s="102" t="s">
        <v>816</v>
      </c>
      <c r="N27" s="328">
        <v>36.803627632988203</v>
      </c>
      <c r="O27" s="328">
        <v>18.590905354238654</v>
      </c>
      <c r="P27" s="328">
        <v>27.036012321789791</v>
      </c>
      <c r="Q27" s="328">
        <v>2.6165365894319983</v>
      </c>
      <c r="R27" s="328">
        <v>7.1194763473562821</v>
      </c>
    </row>
    <row r="28" spans="2:18">
      <c r="B28" s="446">
        <v>42908</v>
      </c>
      <c r="C28" s="447"/>
      <c r="D28" s="306">
        <v>15.445949258038882</v>
      </c>
      <c r="E28" s="305">
        <v>10.386961822626636</v>
      </c>
      <c r="F28" s="305">
        <v>13.772077366641764</v>
      </c>
      <c r="G28" s="305">
        <v>1.2975481488310467</v>
      </c>
      <c r="H28" s="305">
        <v>2.6729801135709961</v>
      </c>
      <c r="J28" s="305"/>
      <c r="L28" s="102" t="b">
        <v>0</v>
      </c>
      <c r="M28" s="102" t="s">
        <v>817</v>
      </c>
      <c r="N28" s="328">
        <v>15.445949258038882</v>
      </c>
      <c r="O28" s="328">
        <v>10.386961822626636</v>
      </c>
      <c r="P28" s="328">
        <v>13.772077366641764</v>
      </c>
      <c r="Q28" s="328">
        <v>1.2975481488310467</v>
      </c>
      <c r="R28" s="328">
        <v>2.6729801135709961</v>
      </c>
    </row>
    <row r="29" spans="2:18">
      <c r="B29" s="447" t="s">
        <v>564</v>
      </c>
      <c r="C29" s="447"/>
      <c r="D29" s="304">
        <v>1.3827365361720108</v>
      </c>
      <c r="E29" s="304">
        <v>0.78983091222505508</v>
      </c>
      <c r="F29" s="304">
        <v>0.96310343037103885</v>
      </c>
      <c r="G29" s="304">
        <v>1.0165236964726283</v>
      </c>
      <c r="H29" s="304">
        <v>1.6634976860508486</v>
      </c>
      <c r="N29" s="328"/>
      <c r="O29" s="328"/>
      <c r="P29" s="328"/>
      <c r="Q29" s="328"/>
      <c r="R29" s="328"/>
    </row>
    <row r="30" spans="2:18">
      <c r="B30" s="447" t="s">
        <v>818</v>
      </c>
      <c r="C30" s="447"/>
      <c r="D30" s="304">
        <v>0.23443833689225457</v>
      </c>
      <c r="E30" s="303">
        <v>0.21500308527805218</v>
      </c>
      <c r="F30" s="303">
        <v>0.41702375580950962</v>
      </c>
      <c r="G30" s="303">
        <v>0.18104218133746394</v>
      </c>
      <c r="H30" s="303">
        <v>0.12364076940938801</v>
      </c>
    </row>
    <row r="31" spans="2:18">
      <c r="B31" s="447" t="s">
        <v>819</v>
      </c>
      <c r="C31" s="447"/>
      <c r="D31" s="304" t="s">
        <v>758</v>
      </c>
      <c r="E31" s="303" t="s">
        <v>758</v>
      </c>
      <c r="F31" s="303" t="s">
        <v>758</v>
      </c>
      <c r="G31" s="303" t="s">
        <v>758</v>
      </c>
      <c r="H31" s="303" t="s">
        <v>758</v>
      </c>
    </row>
    <row r="32" spans="2:18">
      <c r="B32" s="323"/>
      <c r="C32" s="323"/>
      <c r="D32" s="324"/>
      <c r="E32" s="324"/>
      <c r="F32" s="324"/>
      <c r="G32" s="324"/>
      <c r="H32" s="324"/>
    </row>
    <row r="33" spans="2:18" hidden="1">
      <c r="B33" s="323"/>
      <c r="C33" s="323"/>
      <c r="D33" s="444" t="s">
        <v>820</v>
      </c>
      <c r="E33" s="444"/>
      <c r="F33" s="444"/>
      <c r="G33" s="444"/>
      <c r="H33" s="444"/>
    </row>
    <row r="34" spans="2:18" hidden="1">
      <c r="D34" s="444"/>
      <c r="E34" s="444"/>
      <c r="F34" s="444"/>
      <c r="G34" s="444"/>
      <c r="H34" s="444"/>
    </row>
    <row r="35" spans="2:18" ht="15.6">
      <c r="D35" s="448" t="s">
        <v>803</v>
      </c>
      <c r="E35" s="449"/>
      <c r="F35" s="449"/>
      <c r="G35" s="449"/>
      <c r="H35" s="450"/>
    </row>
    <row r="36" spans="2:18">
      <c r="B36" s="446">
        <v>46204</v>
      </c>
      <c r="C36" s="447"/>
      <c r="D36" s="306">
        <v>25.712341670695263</v>
      </c>
      <c r="E36" s="305">
        <v>13.152616453860308</v>
      </c>
      <c r="F36" s="305">
        <v>33.378880293889999</v>
      </c>
      <c r="G36" s="305">
        <v>2.6096119086508121</v>
      </c>
      <c r="H36" s="305">
        <v>4.0424928048478055</v>
      </c>
      <c r="J36" s="305"/>
      <c r="L36" s="102" t="b">
        <v>1</v>
      </c>
      <c r="M36" s="102" t="s">
        <v>821</v>
      </c>
      <c r="N36" s="328">
        <v>25.712341670695263</v>
      </c>
      <c r="O36" s="328">
        <v>13.152616453860308</v>
      </c>
      <c r="P36" s="328">
        <v>33.378880293889999</v>
      </c>
      <c r="Q36" s="328">
        <v>2.6096119086508121</v>
      </c>
      <c r="R36" s="328">
        <v>4.0424928048478055</v>
      </c>
    </row>
    <row r="37" spans="2:18">
      <c r="B37" s="446">
        <v>42908</v>
      </c>
      <c r="C37" s="447"/>
      <c r="D37" s="306">
        <v>19.360027914362046</v>
      </c>
      <c r="E37" s="305">
        <v>8.9272831221250275</v>
      </c>
      <c r="F37" s="305">
        <v>13.082800896221071</v>
      </c>
      <c r="G37" s="305">
        <v>2.0853348855709775</v>
      </c>
      <c r="H37" s="305">
        <v>2.8422922205772361</v>
      </c>
      <c r="J37" s="305"/>
      <c r="L37" s="102" t="b">
        <v>0</v>
      </c>
      <c r="M37" s="102" t="s">
        <v>822</v>
      </c>
      <c r="N37" s="328">
        <v>19.360027914362046</v>
      </c>
      <c r="O37" s="328">
        <v>8.9272831221250275</v>
      </c>
      <c r="P37" s="328">
        <v>13.082800896221071</v>
      </c>
      <c r="Q37" s="328">
        <v>2.0853348855709775</v>
      </c>
      <c r="R37" s="328">
        <v>2.8422922205772361</v>
      </c>
    </row>
    <row r="38" spans="2:18">
      <c r="B38" s="447" t="s">
        <v>564</v>
      </c>
      <c r="C38" s="447"/>
      <c r="D38" s="304">
        <v>0.3281149068809357</v>
      </c>
      <c r="E38" s="304">
        <v>0.47330562657561281</v>
      </c>
      <c r="F38" s="304">
        <v>1.5513558265288125</v>
      </c>
      <c r="G38" s="304">
        <v>0.25141142878654921</v>
      </c>
      <c r="H38" s="304">
        <v>0.42226502102124552</v>
      </c>
      <c r="N38" s="328"/>
      <c r="O38" s="328"/>
      <c r="P38" s="328"/>
      <c r="Q38" s="328"/>
      <c r="R38" s="328"/>
    </row>
    <row r="39" spans="2:18">
      <c r="B39" s="447" t="s">
        <v>823</v>
      </c>
      <c r="C39" s="447"/>
      <c r="D39" s="304">
        <v>0.33556575143497119</v>
      </c>
      <c r="E39" s="303">
        <v>0.30390166270684615</v>
      </c>
      <c r="F39" s="303">
        <v>0.33777823885269104</v>
      </c>
      <c r="G39" s="303">
        <v>0.18152258200912538</v>
      </c>
      <c r="H39" s="303">
        <v>0.2177511688637899</v>
      </c>
    </row>
    <row r="40" spans="2:18">
      <c r="B40" s="447" t="s">
        <v>824</v>
      </c>
      <c r="C40" s="447"/>
      <c r="D40" s="304" t="s">
        <v>758</v>
      </c>
      <c r="E40" s="303" t="s">
        <v>758</v>
      </c>
      <c r="F40" s="303" t="s">
        <v>758</v>
      </c>
      <c r="G40" s="303" t="s">
        <v>758</v>
      </c>
      <c r="H40" s="303" t="s">
        <v>758</v>
      </c>
    </row>
    <row r="41" spans="2:18">
      <c r="B41" s="323"/>
      <c r="C41" s="323"/>
      <c r="D41" s="324"/>
      <c r="E41" s="324"/>
      <c r="F41" s="324"/>
      <c r="G41" s="324"/>
      <c r="H41" s="324"/>
    </row>
    <row r="42" spans="2:18" hidden="1">
      <c r="D42" s="445" t="s">
        <v>825</v>
      </c>
      <c r="E42" s="445"/>
      <c r="F42" s="445"/>
      <c r="G42" s="445"/>
      <c r="H42" s="445"/>
    </row>
    <row r="43" spans="2:18" hidden="1">
      <c r="D43" s="445"/>
      <c r="E43" s="445"/>
      <c r="F43" s="445"/>
      <c r="G43" s="445"/>
      <c r="H43" s="445"/>
    </row>
    <row r="44" spans="2:18" hidden="1">
      <c r="D44" s="445"/>
      <c r="E44" s="445"/>
      <c r="F44" s="445"/>
      <c r="G44" s="445"/>
      <c r="H44" s="445"/>
    </row>
    <row r="45" spans="2:18" hidden="1">
      <c r="D45" s="445"/>
      <c r="E45" s="445"/>
      <c r="F45" s="445"/>
      <c r="G45" s="445"/>
      <c r="H45" s="445"/>
    </row>
    <row r="46" spans="2:18" hidden="1">
      <c r="D46" s="445"/>
      <c r="E46" s="445"/>
      <c r="F46" s="445"/>
      <c r="G46" s="445"/>
      <c r="H46" s="445"/>
    </row>
    <row r="47" spans="2:18" hidden="1">
      <c r="D47" s="445"/>
      <c r="E47" s="445"/>
      <c r="F47" s="445"/>
      <c r="G47" s="445"/>
      <c r="H47" s="445"/>
    </row>
    <row r="48" spans="2:18" ht="15.6">
      <c r="D48" s="448" t="s">
        <v>826</v>
      </c>
      <c r="E48" s="449"/>
      <c r="F48" s="449"/>
      <c r="G48" s="449"/>
      <c r="H48" s="450"/>
    </row>
    <row r="49" spans="2:18">
      <c r="B49" s="446">
        <v>46204</v>
      </c>
      <c r="C49" s="447"/>
      <c r="D49" s="306" t="e">
        <v>#NAME?</v>
      </c>
      <c r="E49" s="306" t="e">
        <v>#NAME?</v>
      </c>
      <c r="F49" s="306" t="e">
        <v>#NAME?</v>
      </c>
      <c r="G49" s="306" t="e">
        <v>#NAME?</v>
      </c>
      <c r="H49" s="306" t="e">
        <v>#NAME?</v>
      </c>
      <c r="J49" s="305"/>
      <c r="L49" s="102" t="b">
        <v>0</v>
      </c>
      <c r="M49" s="102" t="s">
        <v>827</v>
      </c>
      <c r="N49" s="328" t="e">
        <v>#NAME?</v>
      </c>
      <c r="O49" s="328" t="e">
        <v>#NAME?</v>
      </c>
      <c r="P49" s="328" t="e">
        <v>#NAME?</v>
      </c>
      <c r="Q49" s="328" t="e">
        <v>#NAME?</v>
      </c>
      <c r="R49" s="328" t="e">
        <v>#NAME?</v>
      </c>
    </row>
    <row r="50" spans="2:18">
      <c r="B50" s="446">
        <v>42908</v>
      </c>
      <c r="C50" s="447"/>
      <c r="D50" s="306" t="e">
        <v>#NAME?</v>
      </c>
      <c r="E50" s="306" t="e">
        <v>#NAME?</v>
      </c>
      <c r="F50" s="306" t="e">
        <v>#NAME?</v>
      </c>
      <c r="G50" s="306" t="e">
        <v>#NAME?</v>
      </c>
      <c r="H50" s="306" t="e">
        <v>#NAME?</v>
      </c>
      <c r="J50" s="305"/>
      <c r="L50" s="102" t="b">
        <v>0</v>
      </c>
      <c r="M50" s="102" t="s">
        <v>828</v>
      </c>
      <c r="N50" s="328" t="e">
        <v>#NAME?</v>
      </c>
      <c r="O50" s="328" t="e">
        <v>#NAME?</v>
      </c>
      <c r="P50" s="328" t="e">
        <v>#NAME?</v>
      </c>
      <c r="Q50" s="328" t="e">
        <v>#NAME?</v>
      </c>
      <c r="R50" s="328" t="e">
        <v>#NAME?</v>
      </c>
    </row>
    <row r="51" spans="2:18">
      <c r="B51" s="447" t="s">
        <v>564</v>
      </c>
      <c r="C51" s="447"/>
      <c r="D51" s="304" t="s">
        <v>758</v>
      </c>
      <c r="E51" s="304" t="s">
        <v>758</v>
      </c>
      <c r="F51" s="304" t="s">
        <v>758</v>
      </c>
      <c r="G51" s="304" t="s">
        <v>758</v>
      </c>
      <c r="H51" s="304" t="s">
        <v>758</v>
      </c>
      <c r="N51" s="328"/>
      <c r="O51" s="328"/>
      <c r="P51" s="328"/>
      <c r="Q51" s="328"/>
      <c r="R51" s="328"/>
    </row>
    <row r="52" spans="2:18">
      <c r="B52" s="447" t="s">
        <v>829</v>
      </c>
      <c r="C52" s="447"/>
      <c r="D52" s="304" t="s">
        <v>758</v>
      </c>
      <c r="E52" s="303" t="s">
        <v>758</v>
      </c>
      <c r="F52" s="303" t="s">
        <v>758</v>
      </c>
      <c r="G52" s="303" t="s">
        <v>758</v>
      </c>
      <c r="H52" s="303" t="s">
        <v>758</v>
      </c>
    </row>
    <row r="53" spans="2:18">
      <c r="B53" s="447" t="s">
        <v>830</v>
      </c>
      <c r="C53" s="447"/>
      <c r="D53" s="304" t="s">
        <v>758</v>
      </c>
      <c r="E53" s="303" t="s">
        <v>758</v>
      </c>
      <c r="F53" s="303" t="s">
        <v>758</v>
      </c>
      <c r="G53" s="303" t="s">
        <v>758</v>
      </c>
      <c r="H53" s="303" t="s">
        <v>758</v>
      </c>
    </row>
    <row r="54" spans="2:18">
      <c r="D54" s="302"/>
      <c r="E54" s="302"/>
      <c r="F54" s="302"/>
      <c r="G54" s="302"/>
      <c r="H54" s="302"/>
    </row>
    <row r="55" spans="2:18">
      <c r="F55" s="300"/>
      <c r="M55" s="329"/>
    </row>
    <row r="56" spans="2:18">
      <c r="F56" s="300"/>
      <c r="M56" s="329"/>
    </row>
    <row r="57" spans="2:18">
      <c r="F57" s="300"/>
      <c r="G57" s="301"/>
      <c r="H57" s="301"/>
      <c r="M57" s="329"/>
    </row>
    <row r="58" spans="2:18">
      <c r="F58" s="300"/>
      <c r="G58" s="301"/>
      <c r="H58" s="320"/>
      <c r="M58" s="329"/>
    </row>
    <row r="59" spans="2:18">
      <c r="F59" s="300"/>
      <c r="G59" s="301"/>
      <c r="M59" s="329"/>
    </row>
    <row r="60" spans="2:18">
      <c r="D60" s="1"/>
      <c r="F60" s="300"/>
      <c r="G60" s="301"/>
      <c r="H60" s="320"/>
      <c r="M60" s="329"/>
    </row>
    <row r="61" spans="2:18">
      <c r="D61" s="1"/>
      <c r="F61" s="300"/>
      <c r="G61" s="301"/>
      <c r="M61" s="329"/>
    </row>
    <row r="62" spans="2:18">
      <c r="D62" s="1"/>
      <c r="E62" s="301"/>
      <c r="F62" s="300"/>
      <c r="G62" s="301"/>
      <c r="H62" s="301"/>
      <c r="M62" s="329"/>
    </row>
    <row r="63" spans="2:18">
      <c r="D63" s="1"/>
      <c r="E63" s="301"/>
      <c r="F63" s="300"/>
      <c r="G63" s="301"/>
      <c r="M63" s="329"/>
    </row>
    <row r="64" spans="2:18">
      <c r="D64" s="1"/>
      <c r="E64" s="301"/>
      <c r="F64" s="300"/>
      <c r="G64" s="301"/>
      <c r="M64" s="329"/>
    </row>
    <row r="65" spans="4:13">
      <c r="D65" s="1"/>
      <c r="E65" s="301" t="s">
        <v>581</v>
      </c>
      <c r="F65" s="300"/>
      <c r="G65" s="301"/>
      <c r="M65" s="329"/>
    </row>
    <row r="66" spans="4:13">
      <c r="D66" s="1"/>
      <c r="E66" s="301"/>
      <c r="F66" s="300"/>
      <c r="G66" s="301"/>
      <c r="M66" s="329"/>
    </row>
    <row r="67" spans="4:13">
      <c r="D67" s="1"/>
      <c r="E67" s="301"/>
      <c r="F67" s="300"/>
      <c r="G67" s="301"/>
      <c r="M67" s="329"/>
    </row>
    <row r="68" spans="4:13">
      <c r="D68" s="1"/>
      <c r="E68" s="301"/>
      <c r="F68" s="300"/>
      <c r="G68" s="301"/>
      <c r="M68" s="329"/>
    </row>
    <row r="69" spans="4:13">
      <c r="D69" s="1"/>
      <c r="E69" s="301"/>
      <c r="F69" s="300"/>
      <c r="G69" s="301"/>
      <c r="M69" s="329"/>
    </row>
    <row r="70" spans="4:13">
      <c r="D70" s="1"/>
      <c r="E70" s="301"/>
      <c r="F70" s="300"/>
      <c r="G70" s="301"/>
      <c r="M70" s="329"/>
    </row>
    <row r="71" spans="4:13">
      <c r="D71" s="1"/>
      <c r="E71" s="301"/>
      <c r="F71" s="300"/>
      <c r="G71" s="301"/>
      <c r="M71" s="329"/>
    </row>
    <row r="72" spans="4:13">
      <c r="D72" s="1"/>
      <c r="E72" s="301"/>
      <c r="F72" s="300"/>
      <c r="G72" s="301"/>
      <c r="M72" s="329"/>
    </row>
    <row r="73" spans="4:13">
      <c r="D73" s="1"/>
      <c r="E73" s="301"/>
      <c r="F73" s="300"/>
      <c r="G73" s="301"/>
      <c r="M73" s="329"/>
    </row>
    <row r="74" spans="4:13">
      <c r="D74" s="1"/>
      <c r="E74" s="301"/>
      <c r="F74" s="300"/>
      <c r="G74" s="301"/>
      <c r="M74" s="329"/>
    </row>
    <row r="75" spans="4:13">
      <c r="D75" s="1"/>
      <c r="E75" s="301"/>
      <c r="F75" s="300"/>
      <c r="G75" s="301"/>
      <c r="M75" s="329"/>
    </row>
    <row r="76" spans="4:13">
      <c r="D76" s="1"/>
      <c r="E76" s="301"/>
      <c r="F76" s="300"/>
      <c r="G76" s="301"/>
      <c r="M76" s="329"/>
    </row>
    <row r="77" spans="4:13">
      <c r="D77" s="1"/>
      <c r="E77" s="301"/>
      <c r="F77" s="300"/>
      <c r="G77" s="301"/>
      <c r="M77" s="329"/>
    </row>
    <row r="78" spans="4:13">
      <c r="D78" s="1"/>
      <c r="E78" s="301"/>
      <c r="F78" s="300"/>
      <c r="G78" s="301"/>
      <c r="M78" s="329"/>
    </row>
    <row r="79" spans="4:13">
      <c r="D79" s="1"/>
      <c r="E79" s="301"/>
      <c r="F79" s="300"/>
      <c r="G79" s="301"/>
      <c r="M79" s="329"/>
    </row>
    <row r="80" spans="4:13">
      <c r="D80" s="1"/>
      <c r="E80" s="301"/>
      <c r="F80" s="300"/>
      <c r="G80" s="301"/>
      <c r="M80" s="329"/>
    </row>
    <row r="81" spans="4:13">
      <c r="D81" s="1"/>
      <c r="E81" s="301"/>
      <c r="F81" s="300"/>
      <c r="G81" s="301"/>
      <c r="M81" s="329"/>
    </row>
    <row r="82" spans="4:13">
      <c r="D82" s="1"/>
      <c r="E82" s="301"/>
      <c r="F82" s="300"/>
      <c r="G82" s="301"/>
      <c r="M82" s="329"/>
    </row>
    <row r="83" spans="4:13">
      <c r="D83" s="1"/>
      <c r="E83" s="301"/>
      <c r="F83" s="300"/>
      <c r="G83" s="301"/>
      <c r="M83" s="329"/>
    </row>
    <row r="84" spans="4:13">
      <c r="D84" s="1"/>
      <c r="E84" s="301"/>
      <c r="F84" s="300"/>
      <c r="G84" s="301"/>
      <c r="M84" s="329"/>
    </row>
    <row r="85" spans="4:13">
      <c r="D85" s="1"/>
      <c r="E85" s="301"/>
      <c r="F85" s="300"/>
      <c r="G85" s="301"/>
      <c r="M85" s="329"/>
    </row>
    <row r="86" spans="4:13">
      <c r="D86" s="1"/>
      <c r="E86" s="301"/>
      <c r="F86" s="300"/>
      <c r="G86" s="301"/>
      <c r="M86" s="329"/>
    </row>
    <row r="87" spans="4:13">
      <c r="D87" s="1"/>
      <c r="E87" s="301"/>
      <c r="F87" s="300"/>
      <c r="G87" s="301"/>
      <c r="M87" s="329"/>
    </row>
    <row r="88" spans="4:13">
      <c r="D88" s="1"/>
      <c r="E88" s="301"/>
      <c r="F88" s="300"/>
      <c r="G88" s="301"/>
      <c r="M88" s="329"/>
    </row>
    <row r="89" spans="4:13">
      <c r="D89" s="1"/>
      <c r="E89" s="301"/>
      <c r="F89" s="300"/>
      <c r="G89" s="301"/>
      <c r="M89" s="329"/>
    </row>
    <row r="90" spans="4:13">
      <c r="D90" s="1"/>
      <c r="E90" s="301"/>
      <c r="F90" s="300"/>
      <c r="G90" s="301"/>
      <c r="M90" s="329"/>
    </row>
    <row r="91" spans="4:13">
      <c r="D91" s="1"/>
      <c r="E91" s="301"/>
      <c r="F91" s="300"/>
      <c r="G91" s="301"/>
      <c r="M91" s="329"/>
    </row>
    <row r="92" spans="4:13">
      <c r="D92" s="1"/>
      <c r="E92" s="301"/>
      <c r="F92" s="300"/>
      <c r="G92" s="301"/>
      <c r="M92" s="329"/>
    </row>
    <row r="93" spans="4:13">
      <c r="D93" s="1"/>
      <c r="E93" s="301"/>
      <c r="F93" s="300"/>
      <c r="G93" s="301"/>
      <c r="M93" s="329"/>
    </row>
    <row r="94" spans="4:13">
      <c r="D94" s="1"/>
      <c r="E94" s="301"/>
      <c r="F94" s="300"/>
      <c r="G94" s="301"/>
      <c r="M94" s="329"/>
    </row>
    <row r="95" spans="4:13">
      <c r="D95" s="1"/>
      <c r="E95" s="301"/>
      <c r="F95" s="300"/>
      <c r="G95" s="301"/>
      <c r="M95" s="329"/>
    </row>
    <row r="96" spans="4:13">
      <c r="D96" s="1"/>
      <c r="E96" s="301"/>
      <c r="F96" s="300"/>
      <c r="G96" s="301"/>
      <c r="M96" s="329"/>
    </row>
    <row r="97" spans="4:13">
      <c r="D97" s="1"/>
      <c r="E97" s="301"/>
      <c r="F97" s="300"/>
      <c r="G97" s="301"/>
      <c r="M97" s="329"/>
    </row>
    <row r="98" spans="4:13">
      <c r="D98" s="1"/>
      <c r="E98" s="301"/>
      <c r="F98" s="300"/>
      <c r="G98" s="301"/>
      <c r="M98" s="329"/>
    </row>
    <row r="99" spans="4:13">
      <c r="D99" s="1"/>
      <c r="E99" s="301"/>
      <c r="F99" s="300"/>
      <c r="G99" s="301"/>
      <c r="M99" s="329"/>
    </row>
    <row r="100" spans="4:13">
      <c r="D100" s="1"/>
      <c r="E100" s="301"/>
      <c r="F100" s="300"/>
      <c r="G100" s="301"/>
      <c r="M100" s="329"/>
    </row>
    <row r="101" spans="4:13">
      <c r="D101" s="1"/>
      <c r="E101" s="301"/>
      <c r="F101" s="300"/>
      <c r="G101" s="301"/>
      <c r="M101" s="329"/>
    </row>
    <row r="102" spans="4:13">
      <c r="D102" s="1"/>
      <c r="E102" s="301"/>
      <c r="F102" s="300"/>
      <c r="G102" s="301"/>
      <c r="M102" s="329"/>
    </row>
    <row r="103" spans="4:13">
      <c r="D103" s="1"/>
      <c r="E103" s="301"/>
      <c r="F103" s="300"/>
      <c r="G103" s="301"/>
      <c r="M103" s="329"/>
    </row>
    <row r="104" spans="4:13">
      <c r="D104" s="1"/>
      <c r="E104" s="301"/>
      <c r="F104" s="300"/>
      <c r="G104" s="301"/>
      <c r="M104" s="329"/>
    </row>
    <row r="105" spans="4:13">
      <c r="D105" s="1"/>
      <c r="E105" s="301"/>
      <c r="F105" s="300"/>
      <c r="G105" s="301"/>
      <c r="M105" s="329"/>
    </row>
    <row r="106" spans="4:13">
      <c r="D106" s="1"/>
      <c r="E106" s="301"/>
      <c r="F106" s="300"/>
      <c r="G106" s="301"/>
      <c r="M106" s="329"/>
    </row>
    <row r="107" spans="4:13">
      <c r="D107" s="1"/>
      <c r="E107" s="301"/>
      <c r="F107" s="300"/>
      <c r="G107" s="301"/>
      <c r="M107" s="329"/>
    </row>
    <row r="108" spans="4:13">
      <c r="D108" s="1"/>
      <c r="E108" s="301"/>
      <c r="F108" s="300"/>
      <c r="G108" s="301"/>
      <c r="M108" s="329"/>
    </row>
    <row r="109" spans="4:13">
      <c r="D109" s="1"/>
      <c r="E109" s="301"/>
      <c r="F109" s="300"/>
      <c r="G109" s="301"/>
      <c r="M109" s="329"/>
    </row>
    <row r="110" spans="4:13">
      <c r="D110" s="1"/>
      <c r="E110" s="301"/>
      <c r="F110" s="300"/>
      <c r="G110" s="301"/>
      <c r="M110" s="329"/>
    </row>
    <row r="111" spans="4:13">
      <c r="D111" s="1"/>
      <c r="E111" s="301"/>
      <c r="F111" s="300"/>
      <c r="G111" s="301"/>
      <c r="M111" s="329"/>
    </row>
    <row r="112" spans="4:13">
      <c r="D112" s="1"/>
      <c r="E112" s="301"/>
      <c r="F112" s="300"/>
      <c r="G112" s="301"/>
      <c r="M112" s="329"/>
    </row>
    <row r="113" spans="4:13">
      <c r="D113" s="1"/>
      <c r="E113" s="301"/>
      <c r="F113" s="300"/>
      <c r="G113" s="301"/>
      <c r="M113" s="329"/>
    </row>
    <row r="114" spans="4:13">
      <c r="D114" s="1"/>
      <c r="E114" s="301"/>
      <c r="F114" s="300"/>
      <c r="G114" s="301"/>
      <c r="M114" s="329"/>
    </row>
    <row r="115" spans="4:13">
      <c r="D115" s="1"/>
      <c r="E115" s="301"/>
      <c r="F115" s="300"/>
      <c r="G115" s="301"/>
      <c r="M115" s="329"/>
    </row>
    <row r="116" spans="4:13">
      <c r="D116" s="1"/>
      <c r="E116" s="301"/>
      <c r="F116" s="300"/>
      <c r="G116" s="301"/>
      <c r="M116" s="329"/>
    </row>
    <row r="117" spans="4:13">
      <c r="D117" s="1"/>
      <c r="E117" s="301"/>
      <c r="F117" s="300"/>
      <c r="G117" s="301"/>
      <c r="M117" s="329"/>
    </row>
    <row r="118" spans="4:13">
      <c r="D118" s="1"/>
      <c r="E118" s="301"/>
      <c r="F118" s="300"/>
      <c r="G118" s="301"/>
      <c r="M118" s="329"/>
    </row>
    <row r="119" spans="4:13">
      <c r="D119" s="1"/>
      <c r="E119" s="301"/>
      <c r="F119" s="300"/>
      <c r="G119" s="301"/>
      <c r="M119" s="329"/>
    </row>
    <row r="120" spans="4:13">
      <c r="D120" s="1"/>
      <c r="E120" s="301"/>
      <c r="F120" s="300"/>
      <c r="G120" s="301"/>
      <c r="M120" s="329"/>
    </row>
    <row r="121" spans="4:13">
      <c r="D121" s="1"/>
      <c r="E121" s="301"/>
      <c r="F121" s="300"/>
      <c r="G121" s="301"/>
      <c r="M121" s="329"/>
    </row>
    <row r="122" spans="4:13">
      <c r="D122" s="1"/>
      <c r="E122" s="301"/>
      <c r="F122" s="300"/>
      <c r="G122" s="301"/>
      <c r="M122" s="329"/>
    </row>
    <row r="123" spans="4:13">
      <c r="D123" s="1"/>
      <c r="E123" s="301"/>
      <c r="F123" s="300"/>
      <c r="G123" s="301"/>
      <c r="M123" s="329"/>
    </row>
    <row r="124" spans="4:13">
      <c r="D124" s="1"/>
      <c r="E124" s="301"/>
      <c r="F124" s="300"/>
      <c r="G124" s="301"/>
      <c r="M124" s="329"/>
    </row>
    <row r="125" spans="4:13">
      <c r="D125" s="1"/>
      <c r="E125" s="301"/>
      <c r="F125" s="300"/>
      <c r="G125" s="301"/>
      <c r="M125" s="329"/>
    </row>
    <row r="126" spans="4:13">
      <c r="D126" s="1"/>
      <c r="E126" s="301"/>
      <c r="F126" s="300"/>
      <c r="G126" s="301"/>
      <c r="M126" s="329"/>
    </row>
    <row r="127" spans="4:13">
      <c r="D127" s="1"/>
      <c r="E127" s="301"/>
      <c r="F127" s="300"/>
      <c r="G127" s="301"/>
      <c r="M127" s="329"/>
    </row>
    <row r="128" spans="4:13">
      <c r="D128" s="1"/>
      <c r="E128" s="301"/>
      <c r="F128" s="300"/>
      <c r="G128" s="301"/>
      <c r="M128" s="329"/>
    </row>
    <row r="129" spans="4:13">
      <c r="D129" s="1"/>
      <c r="F129" s="300"/>
      <c r="G129" s="301"/>
      <c r="M129" s="329"/>
    </row>
    <row r="130" spans="4:13">
      <c r="D130" s="1"/>
      <c r="F130" s="300"/>
      <c r="G130" s="301"/>
      <c r="M130" s="329"/>
    </row>
    <row r="131" spans="4:13">
      <c r="D131" s="1"/>
      <c r="F131" s="300"/>
      <c r="G131" s="301"/>
      <c r="M131" s="329"/>
    </row>
    <row r="132" spans="4:13">
      <c r="D132" s="1"/>
      <c r="F132" s="300"/>
      <c r="G132" s="301"/>
      <c r="M132" s="329"/>
    </row>
    <row r="133" spans="4:13">
      <c r="D133" s="1"/>
      <c r="F133" s="300"/>
      <c r="G133" s="301"/>
      <c r="M133" s="329"/>
    </row>
    <row r="134" spans="4:13">
      <c r="D134" s="1"/>
      <c r="F134" s="300"/>
      <c r="G134" s="301"/>
      <c r="M134" s="329"/>
    </row>
    <row r="135" spans="4:13">
      <c r="D135" s="1"/>
      <c r="F135" s="300"/>
      <c r="G135" s="301"/>
      <c r="M135" s="329"/>
    </row>
    <row r="136" spans="4:13">
      <c r="D136" s="1"/>
      <c r="F136" s="300"/>
      <c r="G136" s="301"/>
      <c r="M136" s="329"/>
    </row>
    <row r="137" spans="4:13">
      <c r="D137" s="1"/>
      <c r="F137" s="300"/>
      <c r="G137" s="301"/>
      <c r="M137" s="329"/>
    </row>
    <row r="138" spans="4:13">
      <c r="D138" s="1"/>
      <c r="F138" s="300"/>
      <c r="G138" s="301"/>
      <c r="M138" s="329"/>
    </row>
    <row r="139" spans="4:13">
      <c r="D139" s="1"/>
      <c r="F139" s="300"/>
      <c r="G139" s="301"/>
      <c r="M139" s="329"/>
    </row>
    <row r="140" spans="4:13">
      <c r="D140" s="1"/>
      <c r="F140" s="300"/>
      <c r="G140" s="301"/>
      <c r="M140" s="329"/>
    </row>
    <row r="141" spans="4:13">
      <c r="D141" s="1"/>
      <c r="F141" s="300"/>
      <c r="G141" s="301"/>
      <c r="M141" s="329"/>
    </row>
    <row r="142" spans="4:13">
      <c r="D142" s="1"/>
      <c r="F142" s="300"/>
      <c r="G142" s="301"/>
      <c r="M142" s="329"/>
    </row>
    <row r="143" spans="4:13">
      <c r="D143" s="1"/>
      <c r="F143" s="300"/>
      <c r="G143" s="301"/>
      <c r="M143" s="329"/>
    </row>
    <row r="144" spans="4:13">
      <c r="D144" s="1"/>
      <c r="F144" s="300"/>
      <c r="G144" s="301"/>
    </row>
    <row r="145" spans="4:7">
      <c r="D145" s="1"/>
      <c r="F145" s="300"/>
      <c r="G145" s="301"/>
    </row>
    <row r="146" spans="4:7">
      <c r="D146" s="1"/>
      <c r="F146" s="300"/>
      <c r="G146" s="301"/>
    </row>
    <row r="147" spans="4:7">
      <c r="D147" s="1"/>
      <c r="F147" s="300"/>
      <c r="G147" s="301"/>
    </row>
    <row r="148" spans="4:7">
      <c r="D148" s="1"/>
      <c r="F148" s="300"/>
      <c r="G148" s="301"/>
    </row>
    <row r="149" spans="4:7">
      <c r="D149" s="1"/>
      <c r="F149" s="300"/>
      <c r="G149" s="301"/>
    </row>
    <row r="150" spans="4:7">
      <c r="D150" s="1"/>
      <c r="F150" s="300"/>
      <c r="G150" s="301"/>
    </row>
    <row r="151" spans="4:7">
      <c r="D151" s="1"/>
      <c r="F151" s="300"/>
      <c r="G151" s="301"/>
    </row>
    <row r="152" spans="4:7">
      <c r="D152" s="1"/>
      <c r="F152" s="300"/>
      <c r="G152" s="301"/>
    </row>
    <row r="153" spans="4:7">
      <c r="D153" s="1"/>
      <c r="F153" s="300"/>
      <c r="G153" s="301"/>
    </row>
    <row r="154" spans="4:7">
      <c r="D154" s="1"/>
      <c r="F154" s="300"/>
      <c r="G154" s="301"/>
    </row>
    <row r="155" spans="4:7">
      <c r="D155" s="1"/>
      <c r="F155" s="300"/>
      <c r="G155" s="301"/>
    </row>
    <row r="156" spans="4:7">
      <c r="D156" s="1"/>
      <c r="F156" s="300"/>
      <c r="G156" s="301"/>
    </row>
    <row r="157" spans="4:7">
      <c r="D157" s="1"/>
      <c r="F157" s="300"/>
      <c r="G157" s="301"/>
    </row>
    <row r="158" spans="4:7">
      <c r="D158" s="1"/>
      <c r="F158" s="300"/>
      <c r="G158" s="301"/>
    </row>
    <row r="159" spans="4:7">
      <c r="D159" s="1"/>
      <c r="F159" s="300"/>
      <c r="G159" s="301"/>
    </row>
    <row r="160" spans="4:7">
      <c r="D160" s="1"/>
      <c r="F160" s="300"/>
      <c r="G160" s="301"/>
    </row>
    <row r="161" spans="4:7">
      <c r="D161" s="1"/>
      <c r="F161" s="300"/>
      <c r="G161" s="301"/>
    </row>
    <row r="162" spans="4:7">
      <c r="D162" s="1"/>
      <c r="F162" s="300"/>
      <c r="G162" s="301"/>
    </row>
    <row r="163" spans="4:7">
      <c r="D163" s="1"/>
      <c r="F163" s="300"/>
      <c r="G163" s="301"/>
    </row>
    <row r="164" spans="4:7">
      <c r="D164" s="1"/>
      <c r="F164" s="300"/>
      <c r="G164" s="301"/>
    </row>
    <row r="165" spans="4:7">
      <c r="D165" s="1"/>
      <c r="F165" s="300"/>
      <c r="G165" s="301"/>
    </row>
    <row r="166" spans="4:7">
      <c r="D166" s="1"/>
      <c r="F166" s="300"/>
      <c r="G166" s="301"/>
    </row>
    <row r="167" spans="4:7">
      <c r="D167" s="1"/>
      <c r="F167" s="300"/>
      <c r="G167" s="301"/>
    </row>
    <row r="168" spans="4:7">
      <c r="D168" s="1"/>
      <c r="F168" s="300"/>
      <c r="G168" s="301"/>
    </row>
    <row r="169" spans="4:7">
      <c r="D169" s="1"/>
      <c r="F169" s="300"/>
      <c r="G169" s="301"/>
    </row>
    <row r="170" spans="4:7">
      <c r="D170" s="1"/>
      <c r="F170" s="300"/>
      <c r="G170" s="301"/>
    </row>
    <row r="171" spans="4:7">
      <c r="D171" s="1"/>
      <c r="F171" s="300"/>
      <c r="G171" s="301"/>
    </row>
    <row r="172" spans="4:7">
      <c r="D172" s="1"/>
      <c r="F172" s="300"/>
      <c r="G172" s="301"/>
    </row>
    <row r="173" spans="4:7">
      <c r="D173" s="1"/>
      <c r="F173" s="300"/>
      <c r="G173" s="301"/>
    </row>
    <row r="174" spans="4:7">
      <c r="D174" s="1"/>
      <c r="F174" s="300"/>
      <c r="G174" s="301"/>
    </row>
    <row r="175" spans="4:7">
      <c r="D175" s="1"/>
      <c r="F175" s="300"/>
      <c r="G175" s="301"/>
    </row>
    <row r="176" spans="4:7">
      <c r="D176" s="1"/>
      <c r="F176" s="300"/>
      <c r="G176" s="301"/>
    </row>
    <row r="177" spans="4:7">
      <c r="D177" s="1"/>
      <c r="F177" s="300"/>
      <c r="G177" s="301"/>
    </row>
    <row r="178" spans="4:7">
      <c r="D178" s="1"/>
      <c r="F178" s="300"/>
      <c r="G178" s="301"/>
    </row>
    <row r="179" spans="4:7">
      <c r="D179" s="1"/>
      <c r="F179" s="300"/>
      <c r="G179" s="301"/>
    </row>
    <row r="180" spans="4:7">
      <c r="D180" s="1"/>
      <c r="F180" s="300"/>
      <c r="G180" s="301"/>
    </row>
    <row r="181" spans="4:7">
      <c r="D181" s="1"/>
      <c r="F181" s="300"/>
      <c r="G181" s="301"/>
    </row>
    <row r="182" spans="4:7">
      <c r="D182" s="1"/>
      <c r="F182" s="300"/>
      <c r="G182" s="301"/>
    </row>
    <row r="183" spans="4:7">
      <c r="D183" s="1"/>
      <c r="F183" s="300"/>
      <c r="G183" s="301"/>
    </row>
    <row r="184" spans="4:7">
      <c r="D184" s="1"/>
      <c r="F184" s="300"/>
      <c r="G184" s="301"/>
    </row>
    <row r="185" spans="4:7">
      <c r="D185" s="1"/>
      <c r="F185" s="300"/>
      <c r="G185" s="301"/>
    </row>
    <row r="186" spans="4:7">
      <c r="D186" s="1"/>
      <c r="F186" s="300"/>
      <c r="G186" s="301"/>
    </row>
    <row r="187" spans="4:7">
      <c r="D187" s="1"/>
      <c r="F187" s="300"/>
      <c r="G187" s="301"/>
    </row>
    <row r="188" spans="4:7">
      <c r="D188" s="1"/>
      <c r="F188" s="300"/>
      <c r="G188" s="301"/>
    </row>
    <row r="189" spans="4:7">
      <c r="D189" s="1"/>
      <c r="F189" s="300"/>
      <c r="G189" s="301"/>
    </row>
    <row r="190" spans="4:7">
      <c r="D190" s="1"/>
      <c r="F190" s="300"/>
      <c r="G190" s="301"/>
    </row>
    <row r="191" spans="4:7">
      <c r="D191" s="1"/>
      <c r="F191" s="300"/>
      <c r="G191" s="301"/>
    </row>
    <row r="192" spans="4:7">
      <c r="D192" s="1"/>
      <c r="F192" s="300"/>
      <c r="G192" s="301"/>
    </row>
    <row r="193" spans="4:7">
      <c r="D193" s="1"/>
      <c r="F193" s="300"/>
      <c r="G193" s="301"/>
    </row>
    <row r="194" spans="4:7">
      <c r="D194" s="1"/>
      <c r="F194" s="300"/>
      <c r="G194" s="301"/>
    </row>
    <row r="195" spans="4:7">
      <c r="D195" s="1"/>
      <c r="F195" s="300"/>
      <c r="G195" s="301"/>
    </row>
    <row r="196" spans="4:7">
      <c r="D196" s="1"/>
      <c r="F196" s="300"/>
      <c r="G196" s="301"/>
    </row>
    <row r="197" spans="4:7">
      <c r="D197" s="1"/>
      <c r="F197" s="300"/>
      <c r="G197" s="301"/>
    </row>
    <row r="198" spans="4:7">
      <c r="D198" s="1"/>
      <c r="F198" s="300"/>
      <c r="G198" s="301"/>
    </row>
    <row r="199" spans="4:7">
      <c r="D199" s="1"/>
      <c r="F199" s="300"/>
      <c r="G199" s="301"/>
    </row>
    <row r="200" spans="4:7">
      <c r="D200" s="1"/>
      <c r="F200" s="300"/>
      <c r="G200" s="301"/>
    </row>
    <row r="201" spans="4:7">
      <c r="D201" s="1"/>
      <c r="F201" s="300"/>
      <c r="G201" s="301"/>
    </row>
    <row r="202" spans="4:7">
      <c r="D202" s="1"/>
      <c r="F202" s="300"/>
      <c r="G202" s="301"/>
    </row>
    <row r="203" spans="4:7">
      <c r="D203" s="1"/>
      <c r="F203" s="300"/>
      <c r="G203" s="301"/>
    </row>
    <row r="204" spans="4:7">
      <c r="D204" s="1"/>
      <c r="F204" s="300"/>
      <c r="G204" s="301"/>
    </row>
    <row r="205" spans="4:7">
      <c r="D205" s="1"/>
      <c r="F205" s="300"/>
      <c r="G205" s="301"/>
    </row>
    <row r="206" spans="4:7">
      <c r="D206" s="1"/>
      <c r="F206" s="300"/>
      <c r="G206" s="301"/>
    </row>
    <row r="207" spans="4:7">
      <c r="D207" s="1"/>
      <c r="F207" s="300"/>
      <c r="G207" s="301"/>
    </row>
    <row r="208" spans="4:7">
      <c r="D208" s="1"/>
      <c r="F208" s="300"/>
      <c r="G208" s="301"/>
    </row>
    <row r="209" spans="4:7">
      <c r="D209" s="1"/>
      <c r="F209" s="300"/>
      <c r="G209" s="301"/>
    </row>
    <row r="210" spans="4:7">
      <c r="D210" s="1"/>
      <c r="F210" s="300"/>
      <c r="G210" s="301"/>
    </row>
    <row r="211" spans="4:7">
      <c r="D211" s="1"/>
      <c r="F211" s="300"/>
      <c r="G211" s="301"/>
    </row>
    <row r="212" spans="4:7">
      <c r="D212" s="1"/>
      <c r="F212" s="300"/>
      <c r="G212" s="301"/>
    </row>
    <row r="213" spans="4:7">
      <c r="D213" s="1"/>
      <c r="F213" s="300"/>
      <c r="G213" s="301"/>
    </row>
    <row r="214" spans="4:7">
      <c r="D214" s="1"/>
      <c r="F214" s="300"/>
      <c r="G214" s="301"/>
    </row>
    <row r="215" spans="4:7">
      <c r="F215" s="300"/>
      <c r="G215" s="301"/>
    </row>
    <row r="216" spans="4:7">
      <c r="F216" s="300"/>
      <c r="G216" s="301"/>
    </row>
    <row r="217" spans="4:7">
      <c r="F217" s="300"/>
      <c r="G217" s="301"/>
    </row>
    <row r="218" spans="4:7">
      <c r="F218" s="300"/>
      <c r="G218" s="301"/>
    </row>
    <row r="219" spans="4:7">
      <c r="F219" s="300"/>
      <c r="G219" s="301"/>
    </row>
    <row r="220" spans="4:7">
      <c r="F220" s="300"/>
      <c r="G220" s="301"/>
    </row>
    <row r="221" spans="4:7">
      <c r="F221" s="300"/>
      <c r="G221" s="301"/>
    </row>
    <row r="222" spans="4:7">
      <c r="F222" s="300"/>
      <c r="G222" s="301"/>
    </row>
    <row r="223" spans="4:7">
      <c r="F223" s="300"/>
      <c r="G223" s="301"/>
    </row>
    <row r="224" spans="4:7">
      <c r="F224" s="300"/>
      <c r="G224" s="301"/>
    </row>
    <row r="225" spans="6:7">
      <c r="F225" s="300"/>
      <c r="G225" s="301"/>
    </row>
    <row r="226" spans="6:7">
      <c r="F226" s="300"/>
      <c r="G226" s="301"/>
    </row>
    <row r="227" spans="6:7">
      <c r="F227" s="300"/>
      <c r="G227" s="301"/>
    </row>
    <row r="228" spans="6:7">
      <c r="F228" s="300"/>
      <c r="G228" s="301"/>
    </row>
    <row r="229" spans="6:7">
      <c r="F229" s="300"/>
      <c r="G229" s="301"/>
    </row>
    <row r="230" spans="6:7">
      <c r="F230" s="300"/>
      <c r="G230" s="301"/>
    </row>
    <row r="231" spans="6:7">
      <c r="F231" s="300"/>
      <c r="G231" s="301"/>
    </row>
    <row r="232" spans="6:7">
      <c r="F232" s="300"/>
      <c r="G232" s="301"/>
    </row>
    <row r="233" spans="6:7">
      <c r="F233" s="300"/>
      <c r="G233" s="301"/>
    </row>
    <row r="234" spans="6:7">
      <c r="F234" s="300"/>
      <c r="G234" s="301"/>
    </row>
    <row r="235" spans="6:7">
      <c r="F235" s="300"/>
      <c r="G235" s="301"/>
    </row>
    <row r="236" spans="6:7">
      <c r="F236" s="300"/>
      <c r="G236" s="301"/>
    </row>
    <row r="237" spans="6:7">
      <c r="F237" s="300"/>
      <c r="G237" s="301"/>
    </row>
    <row r="238" spans="6:7">
      <c r="F238" s="300"/>
      <c r="G238" s="301"/>
    </row>
    <row r="239" spans="6:7">
      <c r="F239" s="300"/>
      <c r="G239" s="301"/>
    </row>
    <row r="240" spans="6:7">
      <c r="F240" s="300"/>
      <c r="G240" s="301"/>
    </row>
    <row r="241" spans="6:7">
      <c r="F241" s="300"/>
      <c r="G241" s="301"/>
    </row>
    <row r="242" spans="6:7">
      <c r="F242" s="300"/>
      <c r="G242" s="301"/>
    </row>
    <row r="243" spans="6:7">
      <c r="F243" s="300"/>
      <c r="G243" s="301"/>
    </row>
    <row r="244" spans="6:7">
      <c r="F244" s="300"/>
      <c r="G244" s="301"/>
    </row>
    <row r="245" spans="6:7">
      <c r="F245" s="300"/>
      <c r="G245" s="301"/>
    </row>
    <row r="246" spans="6:7">
      <c r="F246" s="300"/>
      <c r="G246" s="301"/>
    </row>
    <row r="247" spans="6:7">
      <c r="F247" s="300"/>
      <c r="G247" s="301"/>
    </row>
    <row r="248" spans="6:7">
      <c r="F248" s="300"/>
      <c r="G248" s="301"/>
    </row>
    <row r="249" spans="6:7">
      <c r="F249" s="300"/>
      <c r="G249" s="301"/>
    </row>
    <row r="250" spans="6:7">
      <c r="F250" s="300"/>
      <c r="G250" s="301"/>
    </row>
    <row r="251" spans="6:7">
      <c r="F251" s="300"/>
      <c r="G251" s="301"/>
    </row>
    <row r="252" spans="6:7">
      <c r="F252" s="300"/>
      <c r="G252" s="301"/>
    </row>
    <row r="253" spans="6:7">
      <c r="F253" s="300"/>
      <c r="G253" s="301"/>
    </row>
    <row r="254" spans="6:7">
      <c r="F254" s="300"/>
      <c r="G254" s="301"/>
    </row>
    <row r="255" spans="6:7">
      <c r="F255" s="300"/>
      <c r="G255" s="301"/>
    </row>
    <row r="256" spans="6:7">
      <c r="F256" s="300"/>
      <c r="G256" s="301"/>
    </row>
    <row r="257" spans="6:7">
      <c r="F257" s="300"/>
      <c r="G257" s="301"/>
    </row>
    <row r="258" spans="6:7">
      <c r="F258" s="300"/>
      <c r="G258" s="301"/>
    </row>
    <row r="259" spans="6:7">
      <c r="F259" s="300"/>
      <c r="G259" s="301"/>
    </row>
    <row r="260" spans="6:7">
      <c r="F260" s="300"/>
      <c r="G260" s="301"/>
    </row>
    <row r="261" spans="6:7">
      <c r="F261" s="300"/>
      <c r="G261" s="301"/>
    </row>
    <row r="262" spans="6:7">
      <c r="F262" s="300"/>
      <c r="G262" s="301"/>
    </row>
    <row r="263" spans="6:7">
      <c r="F263" s="300"/>
      <c r="G263" s="301"/>
    </row>
    <row r="264" spans="6:7">
      <c r="F264" s="300"/>
      <c r="G264" s="301"/>
    </row>
    <row r="265" spans="6:7">
      <c r="F265" s="300"/>
      <c r="G265" s="301"/>
    </row>
    <row r="266" spans="6:7">
      <c r="F266" s="300"/>
      <c r="G266" s="301"/>
    </row>
    <row r="267" spans="6:7">
      <c r="F267" s="300"/>
      <c r="G267" s="301"/>
    </row>
    <row r="268" spans="6:7">
      <c r="F268" s="300"/>
      <c r="G268" s="301"/>
    </row>
    <row r="269" spans="6:7">
      <c r="F269" s="300"/>
      <c r="G269" s="301"/>
    </row>
    <row r="270" spans="6:7">
      <c r="F270" s="300"/>
      <c r="G270" s="301"/>
    </row>
    <row r="271" spans="6:7">
      <c r="F271" s="300"/>
      <c r="G271" s="301"/>
    </row>
    <row r="272" spans="6:7">
      <c r="F272" s="300"/>
      <c r="G272" s="301"/>
    </row>
    <row r="273" spans="6:13">
      <c r="F273" s="300"/>
      <c r="G273" s="301"/>
    </row>
    <row r="274" spans="6:13">
      <c r="F274" s="300"/>
      <c r="G274" s="301"/>
    </row>
    <row r="275" spans="6:13">
      <c r="F275" s="300"/>
      <c r="G275" s="301"/>
      <c r="M275" s="328"/>
    </row>
    <row r="276" spans="6:13">
      <c r="F276" s="300"/>
      <c r="G276" s="301"/>
    </row>
    <row r="277" spans="6:13">
      <c r="F277" s="300"/>
      <c r="G277" s="301"/>
    </row>
    <row r="278" spans="6:13">
      <c r="F278" s="300"/>
      <c r="G278" s="301"/>
    </row>
    <row r="279" spans="6:13">
      <c r="F279" s="300"/>
      <c r="G279" s="301"/>
    </row>
    <row r="280" spans="6:13">
      <c r="F280" s="300"/>
      <c r="G280" s="301"/>
    </row>
    <row r="281" spans="6:13">
      <c r="F281" s="300"/>
      <c r="G281" s="301"/>
    </row>
    <row r="282" spans="6:13">
      <c r="F282" s="300"/>
      <c r="G282" s="301"/>
    </row>
    <row r="283" spans="6:13">
      <c r="F283" s="300"/>
      <c r="G283" s="301"/>
    </row>
    <row r="284" spans="6:13">
      <c r="F284" s="300"/>
      <c r="G284" s="301"/>
    </row>
    <row r="285" spans="6:13">
      <c r="F285" s="300"/>
      <c r="G285" s="301"/>
    </row>
    <row r="286" spans="6:13">
      <c r="F286" s="300"/>
      <c r="G286" s="301"/>
    </row>
    <row r="287" spans="6:13">
      <c r="F287" s="300"/>
      <c r="G287" s="301"/>
    </row>
    <row r="288" spans="6:13">
      <c r="F288" s="300"/>
      <c r="G288" s="301"/>
    </row>
    <row r="289" spans="6:7">
      <c r="F289" s="300"/>
      <c r="G289" s="301"/>
    </row>
    <row r="290" spans="6:7">
      <c r="F290" s="300"/>
      <c r="G290" s="301"/>
    </row>
    <row r="291" spans="6:7">
      <c r="F291" s="300"/>
      <c r="G291" s="301"/>
    </row>
    <row r="292" spans="6:7">
      <c r="F292" s="300"/>
      <c r="G292" s="301"/>
    </row>
    <row r="293" spans="6:7">
      <c r="F293" s="300"/>
      <c r="G293" s="301"/>
    </row>
    <row r="294" spans="6:7">
      <c r="F294" s="300"/>
      <c r="G294" s="301"/>
    </row>
    <row r="295" spans="6:7">
      <c r="F295" s="300"/>
      <c r="G295" s="301"/>
    </row>
    <row r="296" spans="6:7">
      <c r="F296" s="300"/>
      <c r="G296" s="301"/>
    </row>
    <row r="297" spans="6:7">
      <c r="F297" s="300"/>
      <c r="G297" s="301"/>
    </row>
    <row r="298" spans="6:7">
      <c r="F298" s="300"/>
      <c r="G298" s="301"/>
    </row>
    <row r="299" spans="6:7">
      <c r="F299" s="300"/>
      <c r="G299" s="301"/>
    </row>
    <row r="300" spans="6:7">
      <c r="F300" s="300"/>
      <c r="G300" s="301"/>
    </row>
    <row r="301" spans="6:7">
      <c r="F301" s="300"/>
      <c r="G301" s="301"/>
    </row>
    <row r="302" spans="6:7">
      <c r="F302" s="300"/>
      <c r="G302" s="301"/>
    </row>
    <row r="303" spans="6:7">
      <c r="F303" s="300"/>
      <c r="G303" s="301"/>
    </row>
    <row r="304" spans="6:7">
      <c r="F304" s="300"/>
      <c r="G304" s="301"/>
    </row>
    <row r="305" spans="6:7">
      <c r="F305" s="300"/>
      <c r="G305" s="301"/>
    </row>
    <row r="306" spans="6:7">
      <c r="F306" s="300"/>
      <c r="G306" s="301"/>
    </row>
    <row r="307" spans="6:7">
      <c r="F307" s="300"/>
      <c r="G307" s="301"/>
    </row>
    <row r="308" spans="6:7">
      <c r="F308" s="300"/>
      <c r="G308" s="301"/>
    </row>
    <row r="309" spans="6:7">
      <c r="F309" s="300"/>
      <c r="G309" s="301"/>
    </row>
    <row r="310" spans="6:7">
      <c r="F310" s="300"/>
      <c r="G310" s="301"/>
    </row>
    <row r="311" spans="6:7">
      <c r="F311" s="300"/>
      <c r="G311" s="301"/>
    </row>
    <row r="312" spans="6:7">
      <c r="F312" s="300"/>
      <c r="G312" s="301"/>
    </row>
    <row r="313" spans="6:7">
      <c r="F313" s="300"/>
      <c r="G313" s="301"/>
    </row>
    <row r="314" spans="6:7">
      <c r="F314" s="300"/>
      <c r="G314" s="301"/>
    </row>
    <row r="315" spans="6:7">
      <c r="F315" s="300"/>
      <c r="G315" s="301"/>
    </row>
    <row r="316" spans="6:7">
      <c r="F316" s="300"/>
      <c r="G316" s="301"/>
    </row>
    <row r="317" spans="6:7">
      <c r="F317" s="300"/>
      <c r="G317" s="301"/>
    </row>
    <row r="318" spans="6:7">
      <c r="F318" s="300"/>
      <c r="G318" s="301"/>
    </row>
    <row r="319" spans="6:7">
      <c r="F319" s="300"/>
      <c r="G319" s="301"/>
    </row>
    <row r="320" spans="6:7">
      <c r="F320" s="300"/>
      <c r="G320" s="301"/>
    </row>
    <row r="321" spans="6:7">
      <c r="F321" s="300"/>
      <c r="G321" s="301"/>
    </row>
    <row r="322" spans="6:7">
      <c r="F322" s="300"/>
      <c r="G322" s="301"/>
    </row>
    <row r="323" spans="6:7">
      <c r="F323" s="300"/>
      <c r="G323" s="301"/>
    </row>
    <row r="324" spans="6:7">
      <c r="F324" s="300"/>
      <c r="G324" s="301"/>
    </row>
    <row r="325" spans="6:7">
      <c r="F325" s="300"/>
      <c r="G325" s="301"/>
    </row>
    <row r="326" spans="6:7">
      <c r="F326" s="300"/>
      <c r="G326" s="301"/>
    </row>
    <row r="327" spans="6:7">
      <c r="F327" s="300"/>
      <c r="G327" s="301"/>
    </row>
    <row r="328" spans="6:7">
      <c r="F328" s="300"/>
      <c r="G328" s="301"/>
    </row>
    <row r="329" spans="6:7">
      <c r="F329" s="300"/>
      <c r="G329" s="301"/>
    </row>
    <row r="330" spans="6:7">
      <c r="F330" s="300"/>
      <c r="G330" s="301"/>
    </row>
    <row r="331" spans="6:7">
      <c r="F331" s="300"/>
      <c r="G331" s="301"/>
    </row>
    <row r="332" spans="6:7">
      <c r="F332" s="300"/>
      <c r="G332" s="301"/>
    </row>
    <row r="333" spans="6:7">
      <c r="F333" s="300"/>
      <c r="G333" s="301"/>
    </row>
    <row r="334" spans="6:7">
      <c r="F334" s="300"/>
      <c r="G334" s="301"/>
    </row>
    <row r="335" spans="6:7">
      <c r="F335" s="300"/>
      <c r="G335" s="301"/>
    </row>
    <row r="336" spans="6:7">
      <c r="F336" s="300"/>
      <c r="G336" s="301"/>
    </row>
    <row r="337" spans="6:7">
      <c r="F337" s="300"/>
      <c r="G337" s="301"/>
    </row>
    <row r="338" spans="6:7">
      <c r="F338" s="300"/>
      <c r="G338" s="301"/>
    </row>
    <row r="339" spans="6:7">
      <c r="F339" s="300"/>
      <c r="G339" s="301"/>
    </row>
    <row r="340" spans="6:7">
      <c r="F340" s="300"/>
      <c r="G340" s="301"/>
    </row>
    <row r="341" spans="6:7">
      <c r="F341" s="300"/>
      <c r="G341" s="301"/>
    </row>
    <row r="342" spans="6:7">
      <c r="F342" s="300"/>
      <c r="G342" s="301"/>
    </row>
    <row r="343" spans="6:7">
      <c r="F343" s="300"/>
      <c r="G343" s="301"/>
    </row>
    <row r="344" spans="6:7">
      <c r="F344" s="300"/>
      <c r="G344" s="301"/>
    </row>
    <row r="345" spans="6:7">
      <c r="F345" s="300"/>
      <c r="G345" s="301"/>
    </row>
    <row r="346" spans="6:7">
      <c r="F346" s="300"/>
      <c r="G346" s="301"/>
    </row>
    <row r="347" spans="6:7">
      <c r="F347" s="300"/>
      <c r="G347" s="301"/>
    </row>
    <row r="348" spans="6:7">
      <c r="F348" s="300"/>
      <c r="G348" s="301"/>
    </row>
    <row r="349" spans="6:7">
      <c r="F349" s="300"/>
      <c r="G349" s="301"/>
    </row>
    <row r="350" spans="6:7">
      <c r="F350" s="300"/>
      <c r="G350" s="301"/>
    </row>
    <row r="351" spans="6:7">
      <c r="F351" s="300"/>
      <c r="G351" s="301"/>
    </row>
    <row r="352" spans="6:7">
      <c r="F352" s="300"/>
      <c r="G352" s="301"/>
    </row>
    <row r="353" spans="6:7">
      <c r="F353" s="300"/>
      <c r="G353" s="301"/>
    </row>
    <row r="354" spans="6:7">
      <c r="F354" s="300"/>
      <c r="G354" s="301"/>
    </row>
    <row r="355" spans="6:7">
      <c r="F355" s="300"/>
      <c r="G355" s="301"/>
    </row>
    <row r="356" spans="6:7">
      <c r="F356" s="300"/>
      <c r="G356" s="301"/>
    </row>
    <row r="357" spans="6:7">
      <c r="F357" s="300"/>
      <c r="G357" s="301"/>
    </row>
    <row r="358" spans="6:7">
      <c r="F358" s="300"/>
      <c r="G358" s="301"/>
    </row>
    <row r="359" spans="6:7">
      <c r="F359" s="300"/>
      <c r="G359" s="301"/>
    </row>
    <row r="360" spans="6:7">
      <c r="F360" s="300"/>
      <c r="G360" s="301"/>
    </row>
    <row r="361" spans="6:7">
      <c r="F361" s="300"/>
      <c r="G361" s="301"/>
    </row>
    <row r="362" spans="6:7">
      <c r="F362" s="300"/>
      <c r="G362" s="301"/>
    </row>
    <row r="363" spans="6:7">
      <c r="F363" s="300"/>
      <c r="G363" s="301"/>
    </row>
    <row r="364" spans="6:7">
      <c r="F364" s="300"/>
      <c r="G364" s="301"/>
    </row>
    <row r="365" spans="6:7">
      <c r="F365" s="300"/>
      <c r="G365" s="301"/>
    </row>
    <row r="366" spans="6:7">
      <c r="F366" s="300"/>
      <c r="G366" s="301"/>
    </row>
    <row r="367" spans="6:7">
      <c r="F367" s="300"/>
      <c r="G367" s="301"/>
    </row>
    <row r="368" spans="6:7">
      <c r="F368" s="300"/>
      <c r="G368" s="301"/>
    </row>
    <row r="369" spans="6:7">
      <c r="F369" s="300"/>
      <c r="G369" s="301"/>
    </row>
    <row r="370" spans="6:7">
      <c r="F370" s="300"/>
      <c r="G370" s="301"/>
    </row>
    <row r="371" spans="6:7">
      <c r="F371" s="300"/>
      <c r="G371" s="301"/>
    </row>
    <row r="372" spans="6:7">
      <c r="F372" s="300"/>
      <c r="G372" s="301"/>
    </row>
    <row r="373" spans="6:7">
      <c r="F373" s="300"/>
      <c r="G373" s="301"/>
    </row>
    <row r="374" spans="6:7">
      <c r="F374" s="300"/>
      <c r="G374" s="301"/>
    </row>
    <row r="375" spans="6:7">
      <c r="F375" s="300"/>
      <c r="G375" s="301"/>
    </row>
    <row r="376" spans="6:7">
      <c r="F376" s="300"/>
      <c r="G376" s="301"/>
    </row>
    <row r="377" spans="6:7">
      <c r="F377" s="300"/>
      <c r="G377" s="301"/>
    </row>
    <row r="378" spans="6:7">
      <c r="F378" s="300"/>
      <c r="G378" s="301"/>
    </row>
    <row r="379" spans="6:7">
      <c r="F379" s="300"/>
      <c r="G379" s="301"/>
    </row>
    <row r="380" spans="6:7">
      <c r="F380" s="300"/>
      <c r="G380" s="301"/>
    </row>
    <row r="381" spans="6:7">
      <c r="F381" s="300"/>
      <c r="G381" s="301"/>
    </row>
    <row r="382" spans="6:7">
      <c r="F382" s="300"/>
      <c r="G382" s="301"/>
    </row>
    <row r="383" spans="6:7">
      <c r="F383" s="300"/>
      <c r="G383" s="301"/>
    </row>
    <row r="384" spans="6:7">
      <c r="F384" s="300"/>
      <c r="G384" s="301"/>
    </row>
    <row r="385" spans="6:7">
      <c r="F385" s="300"/>
      <c r="G385" s="301"/>
    </row>
    <row r="386" spans="6:7">
      <c r="F386" s="300"/>
      <c r="G386" s="301"/>
    </row>
    <row r="387" spans="6:7">
      <c r="F387" s="300"/>
      <c r="G387" s="301"/>
    </row>
    <row r="388" spans="6:7">
      <c r="F388" s="300"/>
      <c r="G388" s="301"/>
    </row>
    <row r="389" spans="6:7">
      <c r="F389" s="300"/>
      <c r="G389" s="301"/>
    </row>
    <row r="390" spans="6:7">
      <c r="F390" s="300"/>
      <c r="G390" s="301"/>
    </row>
    <row r="391" spans="6:7">
      <c r="F391" s="300"/>
      <c r="G391" s="301"/>
    </row>
    <row r="392" spans="6:7">
      <c r="F392" s="300"/>
      <c r="G392" s="301"/>
    </row>
    <row r="393" spans="6:7">
      <c r="F393" s="300"/>
      <c r="G393" s="301"/>
    </row>
    <row r="394" spans="6:7">
      <c r="F394" s="300"/>
      <c r="G394" s="301"/>
    </row>
    <row r="395" spans="6:7">
      <c r="F395" s="300"/>
      <c r="G395" s="301"/>
    </row>
    <row r="396" spans="6:7">
      <c r="F396" s="300"/>
      <c r="G396" s="301"/>
    </row>
    <row r="397" spans="6:7">
      <c r="F397" s="300"/>
      <c r="G397" s="301"/>
    </row>
    <row r="398" spans="6:7">
      <c r="F398" s="300"/>
      <c r="G398" s="301"/>
    </row>
    <row r="399" spans="6:7">
      <c r="F399" s="300"/>
      <c r="G399" s="301"/>
    </row>
    <row r="400" spans="6:7">
      <c r="F400" s="300"/>
      <c r="G400" s="301"/>
    </row>
    <row r="401" spans="6:7">
      <c r="F401" s="300"/>
      <c r="G401" s="301"/>
    </row>
    <row r="402" spans="6:7">
      <c r="F402" s="300"/>
      <c r="G402" s="301"/>
    </row>
    <row r="403" spans="6:7">
      <c r="F403" s="300"/>
      <c r="G403" s="301"/>
    </row>
    <row r="404" spans="6:7">
      <c r="F404" s="300"/>
      <c r="G404" s="301"/>
    </row>
    <row r="405" spans="6:7">
      <c r="F405" s="300"/>
      <c r="G405" s="301"/>
    </row>
    <row r="406" spans="6:7">
      <c r="F406" s="300"/>
      <c r="G406" s="301"/>
    </row>
    <row r="407" spans="6:7">
      <c r="F407" s="300"/>
      <c r="G407" s="301"/>
    </row>
    <row r="408" spans="6:7">
      <c r="F408" s="300"/>
      <c r="G408" s="301"/>
    </row>
    <row r="409" spans="6:7">
      <c r="F409" s="300"/>
      <c r="G409" s="301"/>
    </row>
    <row r="410" spans="6:7">
      <c r="F410" s="300"/>
      <c r="G410" s="301"/>
    </row>
    <row r="411" spans="6:7">
      <c r="F411" s="300"/>
      <c r="G411" s="301"/>
    </row>
    <row r="412" spans="6:7">
      <c r="F412" s="300"/>
      <c r="G412" s="301"/>
    </row>
    <row r="413" spans="6:7">
      <c r="F413" s="300"/>
      <c r="G413" s="301"/>
    </row>
    <row r="414" spans="6:7">
      <c r="F414" s="300"/>
      <c r="G414" s="301"/>
    </row>
    <row r="415" spans="6:7">
      <c r="F415" s="300"/>
      <c r="G415" s="301"/>
    </row>
    <row r="416" spans="6:7">
      <c r="F416" s="300"/>
      <c r="G416" s="301"/>
    </row>
    <row r="417" spans="6:7">
      <c r="F417" s="300"/>
      <c r="G417" s="301"/>
    </row>
    <row r="418" spans="6:7">
      <c r="F418" s="300"/>
      <c r="G418" s="301"/>
    </row>
    <row r="419" spans="6:7">
      <c r="F419" s="300"/>
      <c r="G419" s="301"/>
    </row>
    <row r="420" spans="6:7">
      <c r="F420" s="300"/>
      <c r="G420" s="301"/>
    </row>
    <row r="421" spans="6:7">
      <c r="F421" s="300"/>
      <c r="G421" s="301"/>
    </row>
    <row r="422" spans="6:7">
      <c r="F422" s="300"/>
      <c r="G422" s="301"/>
    </row>
    <row r="423" spans="6:7">
      <c r="F423" s="300"/>
      <c r="G423" s="301"/>
    </row>
    <row r="424" spans="6:7">
      <c r="F424" s="300"/>
      <c r="G424" s="301"/>
    </row>
    <row r="425" spans="6:7">
      <c r="F425" s="300"/>
      <c r="G425" s="301"/>
    </row>
    <row r="426" spans="6:7">
      <c r="F426" s="300"/>
      <c r="G426" s="301"/>
    </row>
    <row r="427" spans="6:7">
      <c r="F427" s="300"/>
      <c r="G427" s="301"/>
    </row>
    <row r="428" spans="6:7">
      <c r="F428" s="300"/>
      <c r="G428" s="301"/>
    </row>
    <row r="429" spans="6:7">
      <c r="F429" s="300"/>
      <c r="G429" s="301"/>
    </row>
    <row r="430" spans="6:7">
      <c r="F430" s="300"/>
      <c r="G430" s="301"/>
    </row>
    <row r="431" spans="6:7">
      <c r="F431" s="300"/>
      <c r="G431" s="301"/>
    </row>
    <row r="432" spans="6:7">
      <c r="F432" s="300"/>
      <c r="G432" s="301"/>
    </row>
    <row r="433" spans="6:7">
      <c r="F433" s="300"/>
      <c r="G433" s="301"/>
    </row>
    <row r="434" spans="6:7">
      <c r="F434" s="300"/>
      <c r="G434" s="301"/>
    </row>
    <row r="435" spans="6:7">
      <c r="F435" s="300"/>
      <c r="G435" s="301"/>
    </row>
    <row r="436" spans="6:7">
      <c r="F436" s="300"/>
      <c r="G436" s="301"/>
    </row>
    <row r="437" spans="6:7">
      <c r="F437" s="300"/>
      <c r="G437" s="301"/>
    </row>
    <row r="438" spans="6:7">
      <c r="F438" s="300"/>
      <c r="G438" s="301"/>
    </row>
    <row r="439" spans="6:7">
      <c r="F439" s="300"/>
      <c r="G439" s="301"/>
    </row>
    <row r="440" spans="6:7">
      <c r="F440" s="300"/>
      <c r="G440" s="301"/>
    </row>
    <row r="441" spans="6:7">
      <c r="F441" s="300"/>
      <c r="G441" s="301"/>
    </row>
    <row r="442" spans="6:7">
      <c r="F442" s="300"/>
      <c r="G442" s="301"/>
    </row>
    <row r="443" spans="6:7">
      <c r="F443" s="300"/>
      <c r="G443" s="301"/>
    </row>
    <row r="444" spans="6:7">
      <c r="F444" s="300"/>
      <c r="G444" s="301"/>
    </row>
    <row r="445" spans="6:7">
      <c r="F445" s="300"/>
      <c r="G445" s="301"/>
    </row>
    <row r="446" spans="6:7">
      <c r="F446" s="300"/>
      <c r="G446" s="301"/>
    </row>
    <row r="447" spans="6:7">
      <c r="F447" s="300"/>
      <c r="G447" s="301"/>
    </row>
    <row r="448" spans="6:7">
      <c r="F448" s="300"/>
      <c r="G448" s="301"/>
    </row>
    <row r="449" spans="6:7">
      <c r="F449" s="300"/>
      <c r="G449" s="301"/>
    </row>
    <row r="450" spans="6:7">
      <c r="F450" s="300"/>
      <c r="G450" s="301"/>
    </row>
    <row r="451" spans="6:7">
      <c r="F451" s="300"/>
      <c r="G451" s="301"/>
    </row>
    <row r="452" spans="6:7">
      <c r="F452" s="300"/>
      <c r="G452" s="301"/>
    </row>
    <row r="453" spans="6:7">
      <c r="F453" s="300"/>
      <c r="G453" s="301"/>
    </row>
    <row r="454" spans="6:7">
      <c r="F454" s="300"/>
      <c r="G454" s="301"/>
    </row>
    <row r="455" spans="6:7">
      <c r="F455" s="300"/>
      <c r="G455" s="301"/>
    </row>
    <row r="456" spans="6:7">
      <c r="F456" s="300"/>
      <c r="G456" s="301"/>
    </row>
    <row r="457" spans="6:7">
      <c r="F457" s="300"/>
      <c r="G457" s="301"/>
    </row>
    <row r="458" spans="6:7">
      <c r="F458" s="300"/>
      <c r="G458" s="301"/>
    </row>
    <row r="459" spans="6:7">
      <c r="F459" s="300"/>
      <c r="G459" s="301"/>
    </row>
    <row r="460" spans="6:7">
      <c r="F460" s="300"/>
      <c r="G460" s="301"/>
    </row>
    <row r="461" spans="6:7">
      <c r="F461" s="300"/>
      <c r="G461" s="301"/>
    </row>
    <row r="462" spans="6:7">
      <c r="F462" s="300"/>
      <c r="G462" s="301"/>
    </row>
    <row r="463" spans="6:7">
      <c r="F463" s="300"/>
      <c r="G463" s="301"/>
    </row>
    <row r="464" spans="6:7">
      <c r="F464" s="300"/>
      <c r="G464" s="301"/>
    </row>
    <row r="465" spans="6:7">
      <c r="F465" s="300"/>
      <c r="G465" s="301"/>
    </row>
    <row r="466" spans="6:7">
      <c r="F466" s="300"/>
      <c r="G466" s="301"/>
    </row>
    <row r="467" spans="6:7">
      <c r="F467" s="300"/>
      <c r="G467" s="301"/>
    </row>
    <row r="468" spans="6:7">
      <c r="F468" s="300"/>
      <c r="G468" s="301"/>
    </row>
    <row r="469" spans="6:7">
      <c r="F469" s="300"/>
      <c r="G469" s="301"/>
    </row>
    <row r="470" spans="6:7">
      <c r="F470" s="300"/>
      <c r="G470" s="301"/>
    </row>
    <row r="471" spans="6:7">
      <c r="F471" s="300"/>
      <c r="G471" s="301"/>
    </row>
    <row r="472" spans="6:7">
      <c r="F472" s="300"/>
      <c r="G472" s="301"/>
    </row>
    <row r="473" spans="6:7">
      <c r="F473" s="300"/>
      <c r="G473" s="301"/>
    </row>
    <row r="474" spans="6:7">
      <c r="F474" s="300"/>
      <c r="G474" s="301"/>
    </row>
    <row r="475" spans="6:7">
      <c r="F475" s="300"/>
      <c r="G475" s="301"/>
    </row>
    <row r="476" spans="6:7">
      <c r="F476" s="300"/>
      <c r="G476" s="301"/>
    </row>
    <row r="477" spans="6:7">
      <c r="F477" s="300"/>
      <c r="G477" s="301"/>
    </row>
    <row r="478" spans="6:7">
      <c r="F478" s="300"/>
      <c r="G478" s="301"/>
    </row>
    <row r="479" spans="6:7">
      <c r="F479" s="300"/>
      <c r="G479" s="301"/>
    </row>
    <row r="480" spans="6:7">
      <c r="F480" s="300"/>
      <c r="G480" s="301"/>
    </row>
    <row r="481" spans="6:7">
      <c r="F481" s="300"/>
      <c r="G481" s="301"/>
    </row>
    <row r="482" spans="6:7">
      <c r="F482" s="300"/>
      <c r="G482" s="301"/>
    </row>
    <row r="483" spans="6:7">
      <c r="F483" s="300"/>
      <c r="G483" s="301"/>
    </row>
    <row r="484" spans="6:7">
      <c r="F484" s="300"/>
      <c r="G484" s="301"/>
    </row>
    <row r="485" spans="6:7">
      <c r="F485" s="300"/>
      <c r="G485" s="301"/>
    </row>
    <row r="486" spans="6:7">
      <c r="F486" s="300"/>
      <c r="G486" s="301"/>
    </row>
    <row r="487" spans="6:7">
      <c r="F487" s="300"/>
      <c r="G487" s="301"/>
    </row>
    <row r="488" spans="6:7">
      <c r="F488" s="300"/>
      <c r="G488" s="301"/>
    </row>
    <row r="489" spans="6:7">
      <c r="F489" s="300"/>
      <c r="G489" s="301"/>
    </row>
    <row r="490" spans="6:7">
      <c r="F490" s="300"/>
      <c r="G490" s="301"/>
    </row>
    <row r="491" spans="6:7">
      <c r="F491" s="300"/>
      <c r="G491" s="301"/>
    </row>
    <row r="492" spans="6:7">
      <c r="F492" s="300"/>
      <c r="G492" s="301"/>
    </row>
    <row r="493" spans="6:7">
      <c r="F493" s="300"/>
      <c r="G493" s="301"/>
    </row>
    <row r="494" spans="6:7">
      <c r="F494" s="300"/>
      <c r="G494" s="301"/>
    </row>
    <row r="495" spans="6:7">
      <c r="F495" s="300"/>
      <c r="G495" s="301"/>
    </row>
    <row r="496" spans="6:7">
      <c r="F496" s="300"/>
      <c r="G496" s="301"/>
    </row>
    <row r="497" spans="6:7">
      <c r="F497" s="300"/>
      <c r="G497" s="301"/>
    </row>
    <row r="498" spans="6:7">
      <c r="F498" s="300"/>
      <c r="G498" s="301"/>
    </row>
    <row r="499" spans="6:7">
      <c r="F499" s="300"/>
      <c r="G499" s="301"/>
    </row>
    <row r="500" spans="6:7">
      <c r="F500" s="300"/>
      <c r="G500" s="301"/>
    </row>
    <row r="501" spans="6:7">
      <c r="F501" s="300"/>
      <c r="G501" s="301"/>
    </row>
    <row r="502" spans="6:7">
      <c r="F502" s="300"/>
      <c r="G502" s="301"/>
    </row>
    <row r="503" spans="6:7">
      <c r="F503" s="300"/>
      <c r="G503" s="301"/>
    </row>
    <row r="504" spans="6:7">
      <c r="F504" s="300"/>
      <c r="G504" s="301"/>
    </row>
    <row r="505" spans="6:7">
      <c r="F505" s="300"/>
      <c r="G505" s="301"/>
    </row>
    <row r="506" spans="6:7">
      <c r="F506" s="300"/>
      <c r="G506" s="301"/>
    </row>
    <row r="507" spans="6:7">
      <c r="F507" s="300"/>
      <c r="G507" s="301"/>
    </row>
    <row r="508" spans="6:7">
      <c r="F508" s="300"/>
      <c r="G508" s="301"/>
    </row>
    <row r="509" spans="6:7">
      <c r="F509" s="300"/>
      <c r="G509" s="301"/>
    </row>
    <row r="510" spans="6:7">
      <c r="F510" s="300"/>
      <c r="G510" s="301"/>
    </row>
    <row r="511" spans="6:7">
      <c r="F511" s="300"/>
      <c r="G511" s="301"/>
    </row>
    <row r="512" spans="6:7">
      <c r="F512" s="300"/>
      <c r="G512" s="301"/>
    </row>
    <row r="513" spans="6:7">
      <c r="F513" s="300"/>
      <c r="G513" s="301"/>
    </row>
    <row r="514" spans="6:7">
      <c r="F514" s="300"/>
      <c r="G514" s="301"/>
    </row>
    <row r="515" spans="6:7">
      <c r="F515" s="300"/>
      <c r="G515" s="301"/>
    </row>
    <row r="516" spans="6:7">
      <c r="F516" s="300"/>
      <c r="G516" s="301"/>
    </row>
    <row r="517" spans="6:7">
      <c r="F517" s="300"/>
      <c r="G517" s="301"/>
    </row>
    <row r="518" spans="6:7">
      <c r="F518" s="300"/>
      <c r="G518" s="301"/>
    </row>
    <row r="519" spans="6:7">
      <c r="F519" s="300"/>
      <c r="G519" s="301"/>
    </row>
    <row r="520" spans="6:7">
      <c r="F520" s="300"/>
      <c r="G520" s="301"/>
    </row>
    <row r="521" spans="6:7">
      <c r="F521" s="300"/>
      <c r="G521" s="301"/>
    </row>
    <row r="522" spans="6:7">
      <c r="F522" s="300"/>
      <c r="G522" s="301"/>
    </row>
    <row r="523" spans="6:7">
      <c r="F523" s="300"/>
      <c r="G523" s="301"/>
    </row>
    <row r="524" spans="6:7">
      <c r="F524" s="300"/>
      <c r="G524" s="301"/>
    </row>
    <row r="525" spans="6:7">
      <c r="F525" s="300"/>
      <c r="G525" s="301"/>
    </row>
    <row r="526" spans="6:7">
      <c r="F526" s="300"/>
      <c r="G526" s="301"/>
    </row>
    <row r="527" spans="6:7">
      <c r="F527" s="300"/>
      <c r="G527" s="301"/>
    </row>
    <row r="528" spans="6:7">
      <c r="F528" s="300"/>
      <c r="G528" s="301"/>
    </row>
    <row r="529" spans="6:7">
      <c r="F529" s="300"/>
      <c r="G529" s="301"/>
    </row>
    <row r="530" spans="6:7">
      <c r="F530" s="300"/>
      <c r="G530" s="301"/>
    </row>
    <row r="531" spans="6:7">
      <c r="F531" s="300"/>
      <c r="G531" s="301"/>
    </row>
    <row r="532" spans="6:7">
      <c r="F532" s="300"/>
      <c r="G532" s="301"/>
    </row>
    <row r="533" spans="6:7">
      <c r="F533" s="300"/>
      <c r="G533" s="301"/>
    </row>
    <row r="534" spans="6:7">
      <c r="F534" s="300"/>
      <c r="G534" s="301"/>
    </row>
    <row r="535" spans="6:7">
      <c r="F535" s="300"/>
      <c r="G535" s="301"/>
    </row>
    <row r="536" spans="6:7">
      <c r="F536" s="300"/>
      <c r="G536" s="301"/>
    </row>
    <row r="537" spans="6:7">
      <c r="F537" s="300"/>
      <c r="G537" s="301"/>
    </row>
    <row r="538" spans="6:7">
      <c r="F538" s="300"/>
      <c r="G538" s="301"/>
    </row>
    <row r="539" spans="6:7">
      <c r="F539" s="300"/>
      <c r="G539" s="301"/>
    </row>
    <row r="540" spans="6:7">
      <c r="F540" s="300"/>
      <c r="G540" s="301"/>
    </row>
    <row r="541" spans="6:7">
      <c r="F541" s="300"/>
      <c r="G541" s="301"/>
    </row>
    <row r="542" spans="6:7">
      <c r="F542" s="300"/>
      <c r="G542" s="301"/>
    </row>
    <row r="543" spans="6:7">
      <c r="F543" s="300"/>
      <c r="G543" s="301"/>
    </row>
    <row r="544" spans="6:7">
      <c r="F544" s="300"/>
      <c r="G544" s="301"/>
    </row>
    <row r="545" spans="6:7">
      <c r="F545" s="300"/>
      <c r="G545" s="301"/>
    </row>
    <row r="546" spans="6:7">
      <c r="F546" s="300"/>
      <c r="G546" s="301"/>
    </row>
    <row r="547" spans="6:7">
      <c r="F547" s="300"/>
      <c r="G547" s="301"/>
    </row>
    <row r="548" spans="6:7">
      <c r="F548" s="300"/>
      <c r="G548" s="301"/>
    </row>
    <row r="549" spans="6:7">
      <c r="F549" s="300"/>
      <c r="G549" s="301"/>
    </row>
    <row r="550" spans="6:7">
      <c r="F550" s="300"/>
      <c r="G550" s="301"/>
    </row>
    <row r="551" spans="6:7">
      <c r="F551" s="300"/>
      <c r="G551" s="301"/>
    </row>
    <row r="552" spans="6:7">
      <c r="F552" s="300"/>
      <c r="G552" s="301"/>
    </row>
    <row r="553" spans="6:7">
      <c r="F553" s="300"/>
      <c r="G553" s="301"/>
    </row>
    <row r="554" spans="6:7">
      <c r="F554" s="300"/>
      <c r="G554" s="301"/>
    </row>
    <row r="555" spans="6:7">
      <c r="F555" s="300"/>
      <c r="G555" s="301"/>
    </row>
    <row r="556" spans="6:7">
      <c r="F556" s="300"/>
      <c r="G556" s="301"/>
    </row>
    <row r="557" spans="6:7">
      <c r="F557" s="300"/>
      <c r="G557" s="301"/>
    </row>
    <row r="558" spans="6:7">
      <c r="F558" s="300"/>
      <c r="G558" s="301"/>
    </row>
    <row r="559" spans="6:7">
      <c r="F559" s="300"/>
      <c r="G559" s="301"/>
    </row>
    <row r="560" spans="6:7">
      <c r="F560" s="300"/>
      <c r="G560" s="301"/>
    </row>
    <row r="561" spans="6:7">
      <c r="F561" s="300"/>
      <c r="G561" s="301"/>
    </row>
    <row r="562" spans="6:7">
      <c r="F562" s="300"/>
    </row>
    <row r="563" spans="6:7">
      <c r="F563" s="300"/>
    </row>
    <row r="564" spans="6:7">
      <c r="F564" s="300"/>
    </row>
  </sheetData>
  <mergeCells count="32">
    <mergeCell ref="E7:G7"/>
    <mergeCell ref="B29:C29"/>
    <mergeCell ref="E8:F8"/>
    <mergeCell ref="E9:F9"/>
    <mergeCell ref="E10:F10"/>
    <mergeCell ref="E11:F11"/>
    <mergeCell ref="E12:F12"/>
    <mergeCell ref="D17:H17"/>
    <mergeCell ref="D18:H18"/>
    <mergeCell ref="B19:C19"/>
    <mergeCell ref="B20:C20"/>
    <mergeCell ref="B21:C21"/>
    <mergeCell ref="B28:C28"/>
    <mergeCell ref="B27:C27"/>
    <mergeCell ref="B52:C52"/>
    <mergeCell ref="B53:C53"/>
    <mergeCell ref="B51:C51"/>
    <mergeCell ref="B40:C40"/>
    <mergeCell ref="D48:H48"/>
    <mergeCell ref="D33:H34"/>
    <mergeCell ref="D42:H47"/>
    <mergeCell ref="D23:H25"/>
    <mergeCell ref="B49:C49"/>
    <mergeCell ref="B50:C50"/>
    <mergeCell ref="D35:H35"/>
    <mergeCell ref="D26:H26"/>
    <mergeCell ref="B30:C30"/>
    <mergeCell ref="B31:C31"/>
    <mergeCell ref="B36:C36"/>
    <mergeCell ref="B37:C37"/>
    <mergeCell ref="B39:C39"/>
    <mergeCell ref="B38:C3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Check Box 1">
              <controlPr defaultSize="0" autoFill="0" autoLine="0" autoPict="0" macro="[0]!UpdateChart" altText="">
                <anchor moveWithCells="1">
                  <from>
                    <xdr:col>9</xdr:col>
                    <xdr:colOff>114300</xdr:colOff>
                    <xdr:row>17</xdr:row>
                    <xdr:rowOff>160020</xdr:rowOff>
                  </from>
                  <to>
                    <xdr:col>9</xdr:col>
                    <xdr:colOff>373380</xdr:colOff>
                    <xdr:row>19</xdr:row>
                    <xdr:rowOff>22860</xdr:rowOff>
                  </to>
                </anchor>
              </controlPr>
            </control>
          </mc:Choice>
        </mc:AlternateContent>
        <mc:AlternateContent xmlns:mc="http://schemas.openxmlformats.org/markup-compatibility/2006">
          <mc:Choice Requires="x14">
            <control shapeId="2251778" r:id="rId5" name="Check Box 2">
              <controlPr defaultSize="0" autoFill="0" autoLine="0" autoPict="0" macro="[0]!UpdateChart" altText="">
                <anchor moveWithCells="1">
                  <from>
                    <xdr:col>9</xdr:col>
                    <xdr:colOff>114300</xdr:colOff>
                    <xdr:row>18</xdr:row>
                    <xdr:rowOff>160020</xdr:rowOff>
                  </from>
                  <to>
                    <xdr:col>9</xdr:col>
                    <xdr:colOff>373380</xdr:colOff>
                    <xdr:row>20</xdr:row>
                    <xdr:rowOff>30480</xdr:rowOff>
                  </to>
                </anchor>
              </controlPr>
            </control>
          </mc:Choice>
        </mc:AlternateContent>
        <mc:AlternateContent xmlns:mc="http://schemas.openxmlformats.org/markup-compatibility/2006">
          <mc:Choice Requires="x14">
            <control shapeId="2251779" r:id="rId6" name="Check Box 3">
              <controlPr defaultSize="0" autoFill="0" autoLine="0" autoPict="0" macro="[0]!UpdateChart" altText="">
                <anchor moveWithCells="1">
                  <from>
                    <xdr:col>9</xdr:col>
                    <xdr:colOff>106680</xdr:colOff>
                    <xdr:row>25</xdr:row>
                    <xdr:rowOff>175260</xdr:rowOff>
                  </from>
                  <to>
                    <xdr:col>9</xdr:col>
                    <xdr:colOff>365760</xdr:colOff>
                    <xdr:row>27</xdr:row>
                    <xdr:rowOff>30480</xdr:rowOff>
                  </to>
                </anchor>
              </controlPr>
            </control>
          </mc:Choice>
        </mc:AlternateContent>
        <mc:AlternateContent xmlns:mc="http://schemas.openxmlformats.org/markup-compatibility/2006">
          <mc:Choice Requires="x14">
            <control shapeId="2251780" r:id="rId7" name="Check Box 4">
              <controlPr defaultSize="0" autoFill="0" autoLine="0" autoPict="0" macro="[0]!UpdateChart" altText="">
                <anchor moveWithCells="1">
                  <from>
                    <xdr:col>9</xdr:col>
                    <xdr:colOff>106680</xdr:colOff>
                    <xdr:row>26</xdr:row>
                    <xdr:rowOff>175260</xdr:rowOff>
                  </from>
                  <to>
                    <xdr:col>9</xdr:col>
                    <xdr:colOff>365760</xdr:colOff>
                    <xdr:row>28</xdr:row>
                    <xdr:rowOff>38100</xdr:rowOff>
                  </to>
                </anchor>
              </controlPr>
            </control>
          </mc:Choice>
        </mc:AlternateContent>
        <mc:AlternateContent xmlns:mc="http://schemas.openxmlformats.org/markup-compatibility/2006">
          <mc:Choice Requires="x14">
            <control shapeId="2251781" r:id="rId8" name="Check Box 5">
              <controlPr defaultSize="0" autoFill="0" autoLine="0" autoPict="0" macro="[0]!UpdateChart" altText="">
                <anchor moveWithCells="1">
                  <from>
                    <xdr:col>9</xdr:col>
                    <xdr:colOff>114300</xdr:colOff>
                    <xdr:row>34</xdr:row>
                    <xdr:rowOff>160020</xdr:rowOff>
                  </from>
                  <to>
                    <xdr:col>9</xdr:col>
                    <xdr:colOff>373380</xdr:colOff>
                    <xdr:row>36</xdr:row>
                    <xdr:rowOff>22860</xdr:rowOff>
                  </to>
                </anchor>
              </controlPr>
            </control>
          </mc:Choice>
        </mc:AlternateContent>
        <mc:AlternateContent xmlns:mc="http://schemas.openxmlformats.org/markup-compatibility/2006">
          <mc:Choice Requires="x14">
            <control shapeId="2251782" r:id="rId9" name="Check Box 6">
              <controlPr defaultSize="0" autoFill="0" autoLine="0" autoPict="0" macro="[0]!UpdateChart" altText="">
                <anchor moveWithCells="1">
                  <from>
                    <xdr:col>9</xdr:col>
                    <xdr:colOff>114300</xdr:colOff>
                    <xdr:row>35</xdr:row>
                    <xdr:rowOff>160020</xdr:rowOff>
                  </from>
                  <to>
                    <xdr:col>9</xdr:col>
                    <xdr:colOff>373380</xdr:colOff>
                    <xdr:row>37</xdr:row>
                    <xdr:rowOff>30480</xdr:rowOff>
                  </to>
                </anchor>
              </controlPr>
            </control>
          </mc:Choice>
        </mc:AlternateContent>
        <mc:AlternateContent xmlns:mc="http://schemas.openxmlformats.org/markup-compatibility/2006">
          <mc:Choice Requires="x14">
            <control shapeId="2251783" r:id="rId10" name="Check Box 7">
              <controlPr defaultSize="0" autoFill="0" autoLine="0" autoPict="0" macro="[0]!UpdateChart" altText="">
                <anchor moveWithCells="1">
                  <from>
                    <xdr:col>9</xdr:col>
                    <xdr:colOff>114300</xdr:colOff>
                    <xdr:row>47</xdr:row>
                    <xdr:rowOff>160020</xdr:rowOff>
                  </from>
                  <to>
                    <xdr:col>9</xdr:col>
                    <xdr:colOff>373380</xdr:colOff>
                    <xdr:row>49</xdr:row>
                    <xdr:rowOff>22860</xdr:rowOff>
                  </to>
                </anchor>
              </controlPr>
            </control>
          </mc:Choice>
        </mc:AlternateContent>
        <mc:AlternateContent xmlns:mc="http://schemas.openxmlformats.org/markup-compatibility/2006">
          <mc:Choice Requires="x14">
            <control shapeId="2251784" r:id="rId11" name="Check Box 8">
              <controlPr defaultSize="0" autoFill="0" autoLine="0" autoPict="0" macro="[0]!UpdateChart" altText="">
                <anchor moveWithCells="1">
                  <from>
                    <xdr:col>9</xdr:col>
                    <xdr:colOff>114300</xdr:colOff>
                    <xdr:row>48</xdr:row>
                    <xdr:rowOff>160020</xdr:rowOff>
                  </from>
                  <to>
                    <xdr:col>9</xdr:col>
                    <xdr:colOff>373380</xdr:colOff>
                    <xdr:row>50</xdr:row>
                    <xdr:rowOff>30480</xdr:rowOff>
                  </to>
                </anchor>
              </controlPr>
            </control>
          </mc:Choice>
        </mc:AlternateContent>
        <mc:AlternateContent xmlns:mc="http://schemas.openxmlformats.org/markup-compatibility/2006">
          <mc:Choice Requires="x14">
            <control shapeId="2251785" r:id="rId12" name="Check Box 9">
              <controlPr defaultSize="0" autoFill="0" autoLine="0" autoPict="0" macro="[0]!ShowHideQueries">
                <anchor moveWithCells="1">
                  <from>
                    <xdr:col>2</xdr:col>
                    <xdr:colOff>38100</xdr:colOff>
                    <xdr:row>13</xdr:row>
                    <xdr:rowOff>175260</xdr:rowOff>
                  </from>
                  <to>
                    <xdr:col>2</xdr:col>
                    <xdr:colOff>342900</xdr:colOff>
                    <xdr:row>15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B1:X152"/>
  <sheetViews>
    <sheetView showGridLines="0" workbookViewId="0">
      <pane ySplit="5" topLeftCell="A74" activePane="bottomLeft" state="frozenSplit"/>
      <selection activeCell="G73" sqref="G73"/>
      <selection pane="bottomLeft" activeCell="S10" sqref="S10:T139"/>
    </sheetView>
  </sheetViews>
  <sheetFormatPr baseColWidth="10" defaultColWidth="8.88671875" defaultRowHeight="14.4"/>
  <cols>
    <col min="1" max="1" width="1.6640625" customWidth="1"/>
  </cols>
  <sheetData>
    <row r="1" spans="2:24" ht="5.0999999999999996" customHeight="1"/>
    <row r="2" spans="2:24" ht="15" customHeight="1"/>
    <row r="3" spans="2:24" ht="15" customHeight="1"/>
    <row r="4" spans="2:24" ht="15" customHeight="1"/>
    <row r="5" spans="2:24" ht="5.0999999999999996" customHeight="1"/>
    <row r="6" spans="2:24">
      <c r="B6" s="467"/>
      <c r="C6" s="435"/>
      <c r="D6" s="465"/>
      <c r="E6" s="435"/>
      <c r="F6" s="435"/>
      <c r="G6" s="435"/>
      <c r="H6" s="435"/>
      <c r="I6" s="435"/>
      <c r="J6" s="435"/>
      <c r="K6" s="435"/>
      <c r="L6" s="435"/>
      <c r="M6" s="435"/>
      <c r="N6" s="435"/>
      <c r="O6" s="435"/>
      <c r="P6" s="435"/>
      <c r="Q6" s="435"/>
      <c r="R6" s="435"/>
      <c r="S6" s="468"/>
      <c r="T6" s="435"/>
      <c r="U6" s="464"/>
      <c r="V6" s="435"/>
      <c r="W6" s="435"/>
      <c r="X6" s="435"/>
    </row>
    <row r="7" spans="2:24">
      <c r="B7" s="435"/>
      <c r="C7" s="435"/>
      <c r="D7" s="435"/>
      <c r="E7" s="435"/>
      <c r="F7" s="435"/>
      <c r="G7" s="435"/>
      <c r="H7" s="435"/>
      <c r="I7" s="435"/>
      <c r="J7" s="435"/>
      <c r="K7" s="435"/>
      <c r="L7" s="435"/>
      <c r="M7" s="435"/>
      <c r="N7" s="435"/>
      <c r="O7" s="435"/>
      <c r="P7" s="435"/>
      <c r="Q7" s="435"/>
      <c r="R7" s="435"/>
      <c r="S7" s="435"/>
      <c r="T7" s="435"/>
      <c r="U7" s="435"/>
      <c r="V7" s="435"/>
      <c r="W7" s="435"/>
      <c r="X7" s="435"/>
    </row>
    <row r="8" spans="2:24">
      <c r="B8" s="435"/>
      <c r="C8" s="435"/>
      <c r="D8" s="435"/>
      <c r="E8" s="435"/>
      <c r="F8" s="435"/>
      <c r="G8" s="435"/>
      <c r="H8" s="435"/>
      <c r="I8" s="435"/>
      <c r="J8" s="435"/>
      <c r="K8" s="435"/>
      <c r="L8" s="435"/>
      <c r="M8" s="435"/>
      <c r="N8" s="435"/>
      <c r="O8" s="435"/>
      <c r="P8" s="435"/>
      <c r="Q8" s="435"/>
      <c r="R8" s="435"/>
      <c r="S8" s="435"/>
      <c r="T8" s="435"/>
      <c r="U8" s="435"/>
      <c r="V8" s="435"/>
      <c r="W8" s="435"/>
      <c r="X8" s="435"/>
    </row>
    <row r="9" spans="2:24">
      <c r="B9" s="435"/>
      <c r="C9" s="435"/>
      <c r="D9" s="435"/>
      <c r="E9" s="435"/>
      <c r="F9" s="435"/>
      <c r="G9" s="435"/>
      <c r="H9" s="435"/>
      <c r="I9" s="435"/>
      <c r="J9" s="435"/>
      <c r="K9" s="435"/>
      <c r="L9" s="435"/>
      <c r="M9" s="435"/>
      <c r="N9" s="435"/>
      <c r="O9" s="435"/>
      <c r="P9" s="435"/>
      <c r="Q9" s="435"/>
      <c r="R9" s="435"/>
      <c r="S9" s="435"/>
      <c r="T9" s="435"/>
      <c r="U9" s="435"/>
      <c r="V9" s="435"/>
      <c r="W9" s="435"/>
      <c r="X9" s="435"/>
    </row>
    <row r="10" spans="2:24">
      <c r="B10" s="464"/>
      <c r="C10" s="435"/>
      <c r="D10" s="472" t="s">
        <v>558</v>
      </c>
      <c r="E10" s="472"/>
      <c r="F10" s="472"/>
      <c r="G10" s="472"/>
      <c r="H10" s="472"/>
      <c r="I10" s="472"/>
      <c r="J10" s="472"/>
      <c r="K10" s="472"/>
      <c r="L10" s="472"/>
      <c r="M10" s="472"/>
      <c r="N10" s="472"/>
      <c r="O10" s="472"/>
      <c r="P10" s="472"/>
      <c r="Q10" s="472"/>
      <c r="R10" s="472"/>
      <c r="S10" s="466"/>
      <c r="T10" s="435"/>
      <c r="U10" s="435"/>
      <c r="V10" s="435"/>
      <c r="W10" s="435"/>
      <c r="X10" s="435"/>
    </row>
    <row r="11" spans="2:24">
      <c r="B11" s="435"/>
      <c r="C11" s="435"/>
      <c r="D11" s="472"/>
      <c r="E11" s="472"/>
      <c r="F11" s="472"/>
      <c r="G11" s="472"/>
      <c r="H11" s="472"/>
      <c r="I11" s="472"/>
      <c r="J11" s="472"/>
      <c r="K11" s="472"/>
      <c r="L11" s="472"/>
      <c r="M11" s="472"/>
      <c r="N11" s="472"/>
      <c r="O11" s="472"/>
      <c r="P11" s="472"/>
      <c r="Q11" s="472"/>
      <c r="R11" s="472"/>
      <c r="S11" s="435"/>
      <c r="T11" s="435"/>
      <c r="U11" s="435"/>
      <c r="V11" s="435"/>
      <c r="W11" s="435"/>
      <c r="X11" s="435"/>
    </row>
    <row r="12" spans="2:24">
      <c r="B12" s="435"/>
      <c r="C12" s="435"/>
      <c r="D12" s="293"/>
      <c r="E12" s="293"/>
      <c r="F12" s="293"/>
      <c r="G12" s="293"/>
      <c r="H12" s="293"/>
      <c r="I12" s="293"/>
      <c r="J12" s="293"/>
      <c r="K12" s="293"/>
      <c r="L12" s="293"/>
      <c r="M12" s="293"/>
      <c r="N12" s="293"/>
      <c r="O12" s="293"/>
      <c r="P12" s="293"/>
      <c r="Q12" s="293"/>
      <c r="R12" s="293"/>
      <c r="S12" s="435"/>
      <c r="T12" s="435"/>
      <c r="U12" s="435"/>
      <c r="V12" s="435"/>
      <c r="W12" s="435"/>
      <c r="X12" s="435"/>
    </row>
    <row r="13" spans="2:24" ht="15" thickBot="1">
      <c r="B13" s="435"/>
      <c r="C13" s="435"/>
      <c r="D13" s="296" t="s">
        <v>560</v>
      </c>
      <c r="E13" s="294"/>
      <c r="F13" s="294"/>
      <c r="G13" s="294"/>
      <c r="H13" s="294"/>
      <c r="I13" s="294"/>
      <c r="J13" s="294"/>
      <c r="K13" s="294"/>
      <c r="L13" s="294"/>
      <c r="M13" s="294"/>
      <c r="N13" s="294"/>
      <c r="O13" s="294"/>
      <c r="P13" s="294"/>
      <c r="Q13" s="294"/>
      <c r="R13" s="295"/>
      <c r="S13" s="435"/>
      <c r="T13" s="435"/>
      <c r="U13" s="435"/>
      <c r="V13" s="435"/>
      <c r="W13" s="435"/>
      <c r="X13" s="435"/>
    </row>
    <row r="14" spans="2:24" ht="5.0999999999999996" customHeight="1">
      <c r="B14" s="435"/>
      <c r="C14" s="435"/>
      <c r="D14" s="293"/>
      <c r="E14" s="293"/>
      <c r="F14" s="293"/>
      <c r="G14" s="293"/>
      <c r="H14" s="293"/>
      <c r="I14" s="293"/>
      <c r="J14" s="293"/>
      <c r="K14" s="293"/>
      <c r="L14" s="293"/>
      <c r="M14" s="293"/>
      <c r="N14" s="293"/>
      <c r="O14" s="293"/>
      <c r="P14" s="293"/>
      <c r="Q14" s="293"/>
      <c r="R14" s="293"/>
      <c r="S14" s="435"/>
      <c r="T14" s="435"/>
      <c r="U14" s="435"/>
      <c r="V14" s="435"/>
      <c r="W14" s="435"/>
      <c r="X14" s="435"/>
    </row>
    <row r="15" spans="2:24">
      <c r="B15" s="435"/>
      <c r="C15" s="435"/>
      <c r="D15" s="473" t="s">
        <v>559</v>
      </c>
      <c r="E15" s="473"/>
      <c r="F15" s="473"/>
      <c r="G15" s="473"/>
      <c r="H15" s="473"/>
      <c r="I15" s="473"/>
      <c r="J15" s="473"/>
      <c r="K15" s="473"/>
      <c r="L15" s="473"/>
      <c r="M15" s="473"/>
      <c r="N15" s="473"/>
      <c r="O15" s="473"/>
      <c r="P15" s="473"/>
      <c r="Q15" s="473"/>
      <c r="R15" s="473"/>
      <c r="S15" s="435"/>
      <c r="T15" s="435"/>
      <c r="U15" s="435"/>
      <c r="V15" s="435"/>
      <c r="W15" s="435"/>
      <c r="X15" s="435"/>
    </row>
    <row r="16" spans="2:24">
      <c r="B16" s="435"/>
      <c r="C16" s="435"/>
      <c r="D16" s="473"/>
      <c r="E16" s="473"/>
      <c r="F16" s="473"/>
      <c r="G16" s="473"/>
      <c r="H16" s="473"/>
      <c r="I16" s="473"/>
      <c r="J16" s="473"/>
      <c r="K16" s="473"/>
      <c r="L16" s="473"/>
      <c r="M16" s="473"/>
      <c r="N16" s="473"/>
      <c r="O16" s="473"/>
      <c r="P16" s="473"/>
      <c r="Q16" s="473"/>
      <c r="R16" s="473"/>
      <c r="S16" s="435"/>
      <c r="T16" s="435"/>
      <c r="U16" s="435"/>
      <c r="V16" s="435"/>
      <c r="W16" s="435"/>
      <c r="X16" s="435"/>
    </row>
    <row r="17" spans="2:24">
      <c r="B17" s="435"/>
      <c r="C17" s="435"/>
      <c r="S17" s="435"/>
      <c r="T17" s="435"/>
      <c r="U17" s="435"/>
      <c r="V17" s="435"/>
      <c r="W17" s="435"/>
      <c r="X17" s="435"/>
    </row>
    <row r="18" spans="2:24">
      <c r="B18" s="435"/>
      <c r="C18" s="435"/>
      <c r="S18" s="435"/>
      <c r="T18" s="435"/>
      <c r="U18" s="435"/>
      <c r="V18" s="435"/>
      <c r="W18" s="435"/>
      <c r="X18" s="435"/>
    </row>
    <row r="19" spans="2:24">
      <c r="B19" s="435"/>
      <c r="C19" s="435"/>
      <c r="S19" s="435"/>
      <c r="T19" s="435"/>
      <c r="U19" s="435"/>
      <c r="V19" s="435"/>
      <c r="W19" s="435"/>
      <c r="X19" s="435"/>
    </row>
    <row r="20" spans="2:24">
      <c r="B20" s="435"/>
      <c r="C20" s="435"/>
      <c r="S20" s="435"/>
      <c r="T20" s="435"/>
      <c r="U20" s="435"/>
      <c r="V20" s="435"/>
      <c r="W20" s="435"/>
      <c r="X20" s="435"/>
    </row>
    <row r="21" spans="2:24">
      <c r="B21" s="435"/>
      <c r="C21" s="435"/>
      <c r="S21" s="435"/>
      <c r="T21" s="435"/>
      <c r="U21" s="435"/>
      <c r="V21" s="435"/>
      <c r="W21" s="435"/>
      <c r="X21" s="435"/>
    </row>
    <row r="22" spans="2:24">
      <c r="B22" s="435"/>
      <c r="C22" s="435"/>
      <c r="S22" s="435"/>
      <c r="T22" s="435"/>
      <c r="U22" s="435"/>
      <c r="V22" s="435"/>
      <c r="W22" s="435"/>
      <c r="X22" s="435"/>
    </row>
    <row r="23" spans="2:24">
      <c r="B23" s="435"/>
      <c r="C23" s="435"/>
      <c r="S23" s="435"/>
      <c r="T23" s="435"/>
      <c r="U23" s="435"/>
      <c r="V23" s="435"/>
      <c r="W23" s="435"/>
      <c r="X23" s="435"/>
    </row>
    <row r="24" spans="2:24">
      <c r="B24" s="435"/>
      <c r="C24" s="435"/>
      <c r="S24" s="435"/>
      <c r="T24" s="435"/>
      <c r="U24" s="435"/>
      <c r="V24" s="435"/>
      <c r="W24" s="435"/>
      <c r="X24" s="435"/>
    </row>
    <row r="25" spans="2:24">
      <c r="B25" s="435"/>
      <c r="C25" s="435"/>
      <c r="S25" s="435"/>
      <c r="T25" s="435"/>
      <c r="U25" s="435"/>
      <c r="V25" s="435"/>
      <c r="W25" s="435"/>
      <c r="X25" s="435"/>
    </row>
    <row r="26" spans="2:24">
      <c r="B26" s="435"/>
      <c r="C26" s="435"/>
      <c r="S26" s="435"/>
      <c r="T26" s="435"/>
      <c r="U26" s="435"/>
      <c r="V26" s="435"/>
      <c r="W26" s="435"/>
      <c r="X26" s="435"/>
    </row>
    <row r="27" spans="2:24">
      <c r="B27" s="435"/>
      <c r="C27" s="435"/>
      <c r="S27" s="435"/>
      <c r="T27" s="435"/>
      <c r="U27" s="435"/>
      <c r="V27" s="435"/>
      <c r="W27" s="435"/>
      <c r="X27" s="435"/>
    </row>
    <row r="28" spans="2:24">
      <c r="B28" s="435"/>
      <c r="C28" s="435"/>
      <c r="S28" s="435"/>
      <c r="T28" s="435"/>
      <c r="U28" s="435"/>
      <c r="V28" s="435"/>
      <c r="W28" s="435"/>
      <c r="X28" s="435"/>
    </row>
    <row r="29" spans="2:24">
      <c r="B29" s="435"/>
      <c r="C29" s="435"/>
      <c r="S29" s="435"/>
      <c r="T29" s="435"/>
      <c r="U29" s="435"/>
      <c r="V29" s="435"/>
      <c r="W29" s="435"/>
      <c r="X29" s="435"/>
    </row>
    <row r="30" spans="2:24">
      <c r="B30" s="435"/>
      <c r="C30" s="435"/>
      <c r="S30" s="435"/>
      <c r="T30" s="435"/>
      <c r="U30" s="435"/>
      <c r="V30" s="435"/>
      <c r="W30" s="435"/>
      <c r="X30" s="435"/>
    </row>
    <row r="31" spans="2:24">
      <c r="B31" s="435"/>
      <c r="C31" s="435"/>
      <c r="S31" s="435"/>
      <c r="T31" s="435"/>
      <c r="U31" s="435"/>
      <c r="V31" s="435"/>
      <c r="W31" s="435"/>
      <c r="X31" s="435"/>
    </row>
    <row r="32" spans="2:24">
      <c r="B32" s="435"/>
      <c r="C32" s="435"/>
      <c r="S32" s="435"/>
      <c r="T32" s="435"/>
      <c r="U32" s="435"/>
      <c r="V32" s="435"/>
      <c r="W32" s="435"/>
      <c r="X32" s="435"/>
    </row>
    <row r="33" spans="2:24">
      <c r="B33" s="435"/>
      <c r="C33" s="435"/>
      <c r="S33" s="435"/>
      <c r="T33" s="435"/>
      <c r="U33" s="435"/>
      <c r="V33" s="435"/>
      <c r="W33" s="435"/>
      <c r="X33" s="435"/>
    </row>
    <row r="34" spans="2:24">
      <c r="B34" s="435"/>
      <c r="C34" s="435"/>
      <c r="S34" s="435"/>
      <c r="T34" s="435"/>
      <c r="U34" s="435"/>
      <c r="V34" s="435"/>
      <c r="W34" s="435"/>
      <c r="X34" s="435"/>
    </row>
    <row r="35" spans="2:24">
      <c r="B35" s="435"/>
      <c r="C35" s="435"/>
      <c r="S35" s="435"/>
      <c r="T35" s="435"/>
      <c r="U35" s="435"/>
      <c r="V35" s="435"/>
      <c r="W35" s="435"/>
      <c r="X35" s="435"/>
    </row>
    <row r="36" spans="2:24">
      <c r="B36" s="435"/>
      <c r="C36" s="435"/>
      <c r="S36" s="435"/>
      <c r="T36" s="435"/>
      <c r="U36" s="435"/>
      <c r="V36" s="435"/>
      <c r="W36" s="435"/>
      <c r="X36" s="435"/>
    </row>
    <row r="37" spans="2:24">
      <c r="B37" s="435"/>
      <c r="C37" s="435"/>
      <c r="S37" s="435"/>
      <c r="T37" s="435"/>
      <c r="U37" s="435"/>
      <c r="V37" s="435"/>
      <c r="W37" s="435"/>
      <c r="X37" s="435"/>
    </row>
    <row r="38" spans="2:24">
      <c r="B38" s="435"/>
      <c r="C38" s="435"/>
      <c r="S38" s="435"/>
      <c r="T38" s="435"/>
      <c r="U38" s="435"/>
      <c r="V38" s="435"/>
      <c r="W38" s="435"/>
      <c r="X38" s="435"/>
    </row>
    <row r="39" spans="2:24">
      <c r="B39" s="435"/>
      <c r="C39" s="435"/>
      <c r="S39" s="435"/>
      <c r="T39" s="435"/>
      <c r="U39" s="435"/>
      <c r="V39" s="435"/>
      <c r="W39" s="435"/>
      <c r="X39" s="435"/>
    </row>
    <row r="40" spans="2:24">
      <c r="B40" s="435"/>
      <c r="C40" s="435"/>
      <c r="S40" s="435"/>
      <c r="T40" s="435"/>
      <c r="U40" s="435"/>
      <c r="V40" s="435"/>
      <c r="W40" s="435"/>
      <c r="X40" s="435"/>
    </row>
    <row r="41" spans="2:24">
      <c r="B41" s="435"/>
      <c r="C41" s="435"/>
      <c r="S41" s="435"/>
      <c r="T41" s="435"/>
      <c r="U41" s="435"/>
      <c r="V41" s="435"/>
      <c r="W41" s="435"/>
      <c r="X41" s="435"/>
    </row>
    <row r="42" spans="2:24">
      <c r="B42" s="435"/>
      <c r="C42" s="435"/>
      <c r="S42" s="435"/>
      <c r="T42" s="435"/>
      <c r="U42" s="435"/>
      <c r="V42" s="435"/>
      <c r="W42" s="435"/>
      <c r="X42" s="435"/>
    </row>
    <row r="43" spans="2:24">
      <c r="B43" s="435"/>
      <c r="C43" s="435"/>
      <c r="S43" s="435"/>
      <c r="T43" s="435"/>
      <c r="U43" s="435"/>
      <c r="V43" s="435"/>
      <c r="W43" s="435"/>
      <c r="X43" s="435"/>
    </row>
    <row r="44" spans="2:24">
      <c r="B44" s="435"/>
      <c r="C44" s="435"/>
      <c r="S44" s="435"/>
      <c r="T44" s="435"/>
      <c r="U44" s="435"/>
      <c r="V44" s="435"/>
      <c r="W44" s="435"/>
      <c r="X44" s="435"/>
    </row>
    <row r="45" spans="2:24">
      <c r="B45" s="435"/>
      <c r="C45" s="435"/>
      <c r="S45" s="435"/>
      <c r="T45" s="435"/>
      <c r="U45" s="435"/>
      <c r="V45" s="435"/>
      <c r="W45" s="435"/>
      <c r="X45" s="435"/>
    </row>
    <row r="46" spans="2:24">
      <c r="B46" s="435"/>
      <c r="C46" s="435"/>
      <c r="S46" s="435"/>
      <c r="T46" s="435"/>
      <c r="U46" s="435"/>
      <c r="V46" s="435"/>
      <c r="W46" s="435"/>
      <c r="X46" s="435"/>
    </row>
    <row r="47" spans="2:24">
      <c r="B47" s="435"/>
      <c r="C47" s="435"/>
      <c r="S47" s="435"/>
      <c r="T47" s="435"/>
      <c r="U47" s="435"/>
      <c r="V47" s="435"/>
      <c r="W47" s="435"/>
      <c r="X47" s="435"/>
    </row>
    <row r="48" spans="2:24">
      <c r="B48" s="435"/>
      <c r="C48" s="435"/>
      <c r="S48" s="435"/>
      <c r="T48" s="435"/>
      <c r="U48" s="435"/>
      <c r="V48" s="435"/>
      <c r="W48" s="435"/>
      <c r="X48" s="435"/>
    </row>
    <row r="49" spans="2:24">
      <c r="B49" s="435"/>
      <c r="C49" s="435"/>
      <c r="S49" s="435"/>
      <c r="T49" s="435"/>
      <c r="U49" s="435"/>
      <c r="V49" s="435"/>
      <c r="W49" s="435"/>
      <c r="X49" s="435"/>
    </row>
    <row r="50" spans="2:24">
      <c r="B50" s="435"/>
      <c r="C50" s="435"/>
      <c r="S50" s="435"/>
      <c r="T50" s="435"/>
      <c r="U50" s="435"/>
      <c r="V50" s="435"/>
      <c r="W50" s="435"/>
      <c r="X50" s="435"/>
    </row>
    <row r="51" spans="2:24">
      <c r="B51" s="435"/>
      <c r="C51" s="435"/>
      <c r="S51" s="435"/>
      <c r="T51" s="435"/>
      <c r="U51" s="435"/>
      <c r="V51" s="435"/>
      <c r="W51" s="435"/>
      <c r="X51" s="435"/>
    </row>
    <row r="52" spans="2:24">
      <c r="B52" s="435"/>
      <c r="C52" s="435"/>
      <c r="S52" s="435"/>
      <c r="T52" s="435"/>
      <c r="U52" s="435"/>
      <c r="V52" s="435"/>
      <c r="W52" s="435"/>
      <c r="X52" s="435"/>
    </row>
    <row r="53" spans="2:24">
      <c r="B53" s="435"/>
      <c r="C53" s="435"/>
      <c r="S53" s="435"/>
      <c r="T53" s="435"/>
      <c r="U53" s="435"/>
      <c r="V53" s="435"/>
      <c r="W53" s="435"/>
      <c r="X53" s="435"/>
    </row>
    <row r="54" spans="2:24">
      <c r="B54" s="435"/>
      <c r="C54" s="435"/>
      <c r="S54" s="435"/>
      <c r="T54" s="435"/>
      <c r="U54" s="435"/>
      <c r="V54" s="435"/>
      <c r="W54" s="435"/>
      <c r="X54" s="435"/>
    </row>
    <row r="55" spans="2:24">
      <c r="B55" s="435"/>
      <c r="C55" s="435"/>
      <c r="S55" s="435"/>
      <c r="T55" s="435"/>
      <c r="U55" s="435"/>
      <c r="V55" s="435"/>
      <c r="W55" s="435"/>
      <c r="X55" s="435"/>
    </row>
    <row r="56" spans="2:24">
      <c r="B56" s="435"/>
      <c r="C56" s="435"/>
      <c r="S56" s="435"/>
      <c r="T56" s="435"/>
      <c r="U56" s="435"/>
      <c r="V56" s="435"/>
      <c r="W56" s="435"/>
      <c r="X56" s="435"/>
    </row>
    <row r="57" spans="2:24">
      <c r="B57" s="435"/>
      <c r="C57" s="435"/>
      <c r="S57" s="435"/>
      <c r="T57" s="435"/>
      <c r="U57" s="435"/>
      <c r="V57" s="435"/>
      <c r="W57" s="435"/>
      <c r="X57" s="435"/>
    </row>
    <row r="58" spans="2:24">
      <c r="B58" s="435"/>
      <c r="C58" s="435"/>
      <c r="S58" s="435"/>
      <c r="T58" s="435"/>
      <c r="U58" s="435"/>
      <c r="V58" s="435"/>
      <c r="W58" s="435"/>
      <c r="X58" s="435"/>
    </row>
    <row r="59" spans="2:24">
      <c r="B59" s="435"/>
      <c r="C59" s="435"/>
      <c r="S59" s="435"/>
      <c r="T59" s="435"/>
      <c r="U59" s="435"/>
      <c r="V59" s="435"/>
      <c r="W59" s="435"/>
      <c r="X59" s="435"/>
    </row>
    <row r="60" spans="2:24" ht="15" thickBot="1">
      <c r="B60" s="435"/>
      <c r="C60" s="435"/>
      <c r="D60" s="296" t="s">
        <v>561</v>
      </c>
      <c r="E60" s="294"/>
      <c r="F60" s="294"/>
      <c r="G60" s="294"/>
      <c r="H60" s="294"/>
      <c r="I60" s="294"/>
      <c r="J60" s="294"/>
      <c r="K60" s="294"/>
      <c r="L60" s="294"/>
      <c r="M60" s="294"/>
      <c r="N60" s="294"/>
      <c r="O60" s="294"/>
      <c r="P60" s="294"/>
      <c r="Q60" s="294"/>
      <c r="R60" s="295"/>
      <c r="S60" s="435"/>
      <c r="T60" s="435"/>
      <c r="U60" s="435"/>
      <c r="V60" s="435"/>
      <c r="W60" s="435"/>
      <c r="X60" s="435"/>
    </row>
    <row r="61" spans="2:24" ht="5.0999999999999996" customHeight="1">
      <c r="B61" s="435"/>
      <c r="C61" s="435"/>
      <c r="D61" s="293"/>
      <c r="E61" s="293"/>
      <c r="F61" s="293"/>
      <c r="G61" s="293"/>
      <c r="H61" s="293"/>
      <c r="I61" s="293"/>
      <c r="J61" s="293"/>
      <c r="K61" s="293"/>
      <c r="L61" s="293"/>
      <c r="M61" s="293"/>
      <c r="N61" s="293"/>
      <c r="O61" s="293"/>
      <c r="P61" s="293"/>
      <c r="Q61" s="293"/>
      <c r="R61" s="293"/>
      <c r="S61" s="435"/>
      <c r="T61" s="435"/>
      <c r="U61" s="435"/>
      <c r="V61" s="435"/>
      <c r="W61" s="435"/>
      <c r="X61" s="435"/>
    </row>
    <row r="62" spans="2:24" ht="15" customHeight="1">
      <c r="B62" s="435"/>
      <c r="C62" s="435"/>
      <c r="D62" s="470" t="s">
        <v>562</v>
      </c>
      <c r="E62" s="470"/>
      <c r="F62" s="470"/>
      <c r="G62" s="470"/>
      <c r="H62" s="470"/>
      <c r="I62" s="470"/>
      <c r="J62" s="470"/>
      <c r="K62" s="470"/>
      <c r="L62" s="470"/>
      <c r="M62" s="470"/>
      <c r="N62" s="470"/>
      <c r="O62" s="470"/>
      <c r="P62" s="470"/>
      <c r="Q62" s="470"/>
      <c r="R62" s="470"/>
      <c r="S62" s="435"/>
      <c r="T62" s="435"/>
      <c r="U62" s="435"/>
      <c r="V62" s="435"/>
      <c r="W62" s="435"/>
      <c r="X62" s="435"/>
    </row>
    <row r="63" spans="2:24" ht="15" customHeight="1">
      <c r="B63" s="435"/>
      <c r="C63" s="435"/>
      <c r="D63" s="470"/>
      <c r="E63" s="470"/>
      <c r="F63" s="470"/>
      <c r="G63" s="470"/>
      <c r="H63" s="470"/>
      <c r="I63" s="470"/>
      <c r="J63" s="470"/>
      <c r="K63" s="470"/>
      <c r="L63" s="470"/>
      <c r="M63" s="470"/>
      <c r="N63" s="470"/>
      <c r="O63" s="470"/>
      <c r="P63" s="470"/>
      <c r="Q63" s="470"/>
      <c r="R63" s="470"/>
      <c r="S63" s="435"/>
      <c r="T63" s="435"/>
      <c r="U63" s="435"/>
      <c r="V63" s="435"/>
      <c r="W63" s="435"/>
      <c r="X63" s="435"/>
    </row>
    <row r="64" spans="2:24" ht="15" customHeight="1">
      <c r="B64" s="435"/>
      <c r="C64" s="435"/>
      <c r="D64" s="292"/>
      <c r="E64" s="292"/>
      <c r="F64" s="292"/>
      <c r="G64" s="292"/>
      <c r="H64" s="292"/>
      <c r="I64" s="292"/>
      <c r="J64" s="292"/>
      <c r="K64" s="292"/>
      <c r="L64" s="292"/>
      <c r="M64" s="292"/>
      <c r="N64" s="292"/>
      <c r="O64" s="292"/>
      <c r="P64" s="292"/>
      <c r="Q64" s="292"/>
      <c r="R64" s="292"/>
      <c r="S64" s="435"/>
      <c r="T64" s="435"/>
      <c r="U64" s="435"/>
      <c r="V64" s="435"/>
      <c r="W64" s="435"/>
      <c r="X64" s="435"/>
    </row>
    <row r="65" spans="2:24">
      <c r="B65" s="435"/>
      <c r="C65" s="435"/>
      <c r="S65" s="435"/>
      <c r="T65" s="435"/>
      <c r="U65" s="435"/>
      <c r="V65" s="435"/>
      <c r="W65" s="435"/>
      <c r="X65" s="435"/>
    </row>
    <row r="66" spans="2:24">
      <c r="B66" s="435"/>
      <c r="C66" s="435"/>
      <c r="S66" s="435"/>
      <c r="T66" s="435"/>
      <c r="U66" s="435"/>
      <c r="V66" s="435"/>
      <c r="W66" s="435"/>
      <c r="X66" s="435"/>
    </row>
    <row r="67" spans="2:24">
      <c r="B67" s="435"/>
      <c r="C67" s="435"/>
      <c r="S67" s="435"/>
      <c r="T67" s="435"/>
      <c r="U67" s="435"/>
      <c r="V67" s="435"/>
      <c r="W67" s="435"/>
      <c r="X67" s="435"/>
    </row>
    <row r="68" spans="2:24">
      <c r="B68" s="435"/>
      <c r="C68" s="435"/>
      <c r="S68" s="435"/>
      <c r="T68" s="435"/>
      <c r="U68" s="435"/>
      <c r="V68" s="435"/>
      <c r="W68" s="435"/>
      <c r="X68" s="435"/>
    </row>
    <row r="69" spans="2:24">
      <c r="B69" s="435"/>
      <c r="C69" s="435"/>
      <c r="S69" s="435"/>
      <c r="T69" s="435"/>
      <c r="U69" s="435"/>
      <c r="V69" s="435"/>
      <c r="W69" s="435"/>
      <c r="X69" s="435"/>
    </row>
    <row r="70" spans="2:24">
      <c r="B70" s="435"/>
      <c r="C70" s="435"/>
      <c r="S70" s="435"/>
      <c r="T70" s="435"/>
      <c r="U70" s="435"/>
      <c r="V70" s="435"/>
      <c r="W70" s="435"/>
      <c r="X70" s="435"/>
    </row>
    <row r="71" spans="2:24">
      <c r="B71" s="435"/>
      <c r="C71" s="435"/>
      <c r="S71" s="435"/>
      <c r="T71" s="435"/>
      <c r="U71" s="435"/>
      <c r="V71" s="435"/>
      <c r="W71" s="435"/>
      <c r="X71" s="435"/>
    </row>
    <row r="72" spans="2:24">
      <c r="B72" s="435"/>
      <c r="C72" s="435"/>
      <c r="S72" s="435"/>
      <c r="T72" s="435"/>
      <c r="U72" s="435"/>
      <c r="V72" s="435"/>
      <c r="W72" s="435"/>
      <c r="X72" s="435"/>
    </row>
    <row r="73" spans="2:24">
      <c r="B73" s="435"/>
      <c r="C73" s="435"/>
      <c r="S73" s="435"/>
      <c r="T73" s="435"/>
      <c r="U73" s="435"/>
      <c r="V73" s="435"/>
      <c r="W73" s="435"/>
      <c r="X73" s="435"/>
    </row>
    <row r="74" spans="2:24">
      <c r="B74" s="435"/>
      <c r="C74" s="435"/>
      <c r="S74" s="435"/>
      <c r="T74" s="435"/>
      <c r="U74" s="435"/>
      <c r="V74" s="435"/>
      <c r="W74" s="435"/>
      <c r="X74" s="435"/>
    </row>
    <row r="75" spans="2:24">
      <c r="B75" s="435"/>
      <c r="C75" s="435"/>
      <c r="S75" s="435"/>
      <c r="T75" s="435"/>
      <c r="U75" s="435"/>
      <c r="V75" s="435"/>
      <c r="W75" s="435"/>
      <c r="X75" s="435"/>
    </row>
    <row r="76" spans="2:24">
      <c r="B76" s="435"/>
      <c r="C76" s="435"/>
      <c r="S76" s="435"/>
      <c r="T76" s="435"/>
      <c r="U76" s="435"/>
      <c r="V76" s="435"/>
      <c r="W76" s="435"/>
      <c r="X76" s="435"/>
    </row>
    <row r="77" spans="2:24">
      <c r="B77" s="435"/>
      <c r="C77" s="435"/>
      <c r="S77" s="435"/>
      <c r="T77" s="435"/>
      <c r="U77" s="435"/>
      <c r="V77" s="435"/>
      <c r="W77" s="435"/>
      <c r="X77" s="435"/>
    </row>
    <row r="78" spans="2:24">
      <c r="B78" s="435"/>
      <c r="C78" s="435"/>
      <c r="S78" s="435"/>
      <c r="T78" s="435"/>
      <c r="U78" s="435"/>
      <c r="V78" s="435"/>
      <c r="W78" s="435"/>
      <c r="X78" s="435"/>
    </row>
    <row r="79" spans="2:24">
      <c r="B79" s="435"/>
      <c r="C79" s="435"/>
      <c r="S79" s="435"/>
      <c r="T79" s="435"/>
      <c r="U79" s="435"/>
      <c r="V79" s="435"/>
      <c r="W79" s="435"/>
      <c r="X79" s="435"/>
    </row>
    <row r="80" spans="2:24">
      <c r="B80" s="435"/>
      <c r="C80" s="435"/>
      <c r="S80" s="435"/>
      <c r="T80" s="435"/>
      <c r="U80" s="435"/>
      <c r="V80" s="435"/>
      <c r="W80" s="435"/>
      <c r="X80" s="435"/>
    </row>
    <row r="81" spans="2:24">
      <c r="B81" s="435"/>
      <c r="C81" s="435"/>
      <c r="S81" s="435"/>
      <c r="T81" s="435"/>
      <c r="U81" s="435"/>
      <c r="V81" s="435"/>
      <c r="W81" s="435"/>
      <c r="X81" s="435"/>
    </row>
    <row r="82" spans="2:24">
      <c r="B82" s="435"/>
      <c r="C82" s="435"/>
      <c r="S82" s="435"/>
      <c r="T82" s="435"/>
      <c r="U82" s="435"/>
      <c r="V82" s="435"/>
      <c r="W82" s="435"/>
      <c r="X82" s="435"/>
    </row>
    <row r="83" spans="2:24">
      <c r="B83" s="435"/>
      <c r="C83" s="435"/>
      <c r="S83" s="435"/>
      <c r="T83" s="435"/>
      <c r="U83" s="435"/>
      <c r="V83" s="435"/>
      <c r="W83" s="435"/>
      <c r="X83" s="435"/>
    </row>
    <row r="84" spans="2:24">
      <c r="B84" s="435"/>
      <c r="C84" s="435"/>
      <c r="S84" s="435"/>
      <c r="T84" s="435"/>
      <c r="U84" s="435"/>
      <c r="V84" s="435"/>
      <c r="W84" s="435"/>
      <c r="X84" s="435"/>
    </row>
    <row r="85" spans="2:24">
      <c r="B85" s="435"/>
      <c r="C85" s="435"/>
      <c r="S85" s="435"/>
      <c r="T85" s="435"/>
      <c r="U85" s="435"/>
      <c r="V85" s="435"/>
      <c r="W85" s="435"/>
      <c r="X85" s="435"/>
    </row>
    <row r="86" spans="2:24">
      <c r="B86" s="435"/>
      <c r="C86" s="435"/>
      <c r="S86" s="435"/>
      <c r="T86" s="435"/>
      <c r="U86" s="435"/>
      <c r="V86" s="435"/>
      <c r="W86" s="435"/>
      <c r="X86" s="435"/>
    </row>
    <row r="87" spans="2:24">
      <c r="B87" s="435"/>
      <c r="C87" s="435"/>
      <c r="S87" s="435"/>
      <c r="T87" s="435"/>
      <c r="U87" s="435"/>
      <c r="V87" s="435"/>
      <c r="W87" s="435"/>
      <c r="X87" s="435"/>
    </row>
    <row r="88" spans="2:24">
      <c r="B88" s="435"/>
      <c r="C88" s="435"/>
      <c r="S88" s="435"/>
      <c r="T88" s="435"/>
      <c r="U88" s="435"/>
      <c r="V88" s="435"/>
      <c r="W88" s="435"/>
      <c r="X88" s="435"/>
    </row>
    <row r="89" spans="2:24">
      <c r="B89" s="435"/>
      <c r="C89" s="435"/>
      <c r="S89" s="435"/>
      <c r="T89" s="435"/>
      <c r="U89" s="435"/>
      <c r="V89" s="435"/>
      <c r="W89" s="435"/>
      <c r="X89" s="435"/>
    </row>
    <row r="90" spans="2:24">
      <c r="B90" s="435"/>
      <c r="C90" s="435"/>
      <c r="S90" s="435"/>
      <c r="T90" s="435"/>
      <c r="U90" s="435"/>
      <c r="V90" s="435"/>
      <c r="W90" s="435"/>
      <c r="X90" s="435"/>
    </row>
    <row r="91" spans="2:24">
      <c r="B91" s="435"/>
      <c r="C91" s="435"/>
      <c r="S91" s="435"/>
      <c r="T91" s="435"/>
      <c r="U91" s="435"/>
      <c r="V91" s="435"/>
      <c r="W91" s="435"/>
      <c r="X91" s="435"/>
    </row>
    <row r="92" spans="2:24">
      <c r="B92" s="435"/>
      <c r="C92" s="435"/>
      <c r="S92" s="435"/>
      <c r="T92" s="435"/>
      <c r="U92" s="435"/>
      <c r="V92" s="435"/>
      <c r="W92" s="435"/>
      <c r="X92" s="435"/>
    </row>
    <row r="93" spans="2:24">
      <c r="B93" s="435"/>
      <c r="C93" s="435"/>
      <c r="S93" s="435"/>
      <c r="T93" s="435"/>
      <c r="U93" s="435"/>
      <c r="V93" s="435"/>
      <c r="W93" s="435"/>
      <c r="X93" s="435"/>
    </row>
    <row r="94" spans="2:24">
      <c r="B94" s="435"/>
      <c r="C94" s="435"/>
      <c r="S94" s="435"/>
      <c r="T94" s="435"/>
      <c r="U94" s="435"/>
      <c r="V94" s="435"/>
      <c r="W94" s="435"/>
      <c r="X94" s="435"/>
    </row>
    <row r="95" spans="2:24">
      <c r="B95" s="435"/>
      <c r="C95" s="435"/>
      <c r="S95" s="435"/>
      <c r="T95" s="435"/>
      <c r="U95" s="435"/>
      <c r="V95" s="435"/>
      <c r="W95" s="435"/>
      <c r="X95" s="435"/>
    </row>
    <row r="96" spans="2:24">
      <c r="B96" s="435"/>
      <c r="C96" s="435"/>
      <c r="S96" s="435"/>
      <c r="T96" s="435"/>
      <c r="U96" s="435"/>
      <c r="V96" s="435"/>
      <c r="W96" s="435"/>
      <c r="X96" s="435"/>
    </row>
    <row r="97" spans="2:24">
      <c r="B97" s="435"/>
      <c r="C97" s="435"/>
      <c r="S97" s="435"/>
      <c r="T97" s="435"/>
      <c r="U97" s="435"/>
      <c r="V97" s="435"/>
      <c r="W97" s="435"/>
      <c r="X97" s="435"/>
    </row>
    <row r="98" spans="2:24">
      <c r="B98" s="435"/>
      <c r="C98" s="435"/>
      <c r="S98" s="435"/>
      <c r="T98" s="435"/>
      <c r="U98" s="435"/>
      <c r="V98" s="435"/>
      <c r="W98" s="435"/>
      <c r="X98" s="435"/>
    </row>
    <row r="99" spans="2:24">
      <c r="B99" s="435"/>
      <c r="C99" s="435"/>
      <c r="S99" s="435"/>
      <c r="T99" s="435"/>
      <c r="U99" s="435"/>
      <c r="V99" s="435"/>
      <c r="W99" s="435"/>
      <c r="X99" s="435"/>
    </row>
    <row r="100" spans="2:24">
      <c r="B100" s="435"/>
      <c r="C100" s="435"/>
      <c r="S100" s="435"/>
      <c r="T100" s="435"/>
      <c r="U100" s="435"/>
      <c r="V100" s="435"/>
      <c r="W100" s="435"/>
      <c r="X100" s="435"/>
    </row>
    <row r="101" spans="2:24">
      <c r="B101" s="435"/>
      <c r="C101" s="435"/>
      <c r="S101" s="435"/>
      <c r="T101" s="435"/>
      <c r="U101" s="435"/>
      <c r="V101" s="435"/>
      <c r="W101" s="435"/>
      <c r="X101" s="435"/>
    </row>
    <row r="102" spans="2:24">
      <c r="B102" s="435"/>
      <c r="C102" s="435"/>
      <c r="S102" s="435"/>
      <c r="T102" s="435"/>
      <c r="U102" s="435"/>
      <c r="V102" s="435"/>
      <c r="W102" s="435"/>
      <c r="X102" s="435"/>
    </row>
    <row r="103" spans="2:24">
      <c r="B103" s="435"/>
      <c r="C103" s="435"/>
      <c r="S103" s="435"/>
      <c r="T103" s="435"/>
      <c r="U103" s="435"/>
      <c r="V103" s="435"/>
      <c r="W103" s="435"/>
      <c r="X103" s="435"/>
    </row>
    <row r="104" spans="2:24">
      <c r="B104" s="435"/>
      <c r="C104" s="435"/>
      <c r="S104" s="435"/>
      <c r="T104" s="435"/>
      <c r="U104" s="435"/>
      <c r="V104" s="435"/>
      <c r="W104" s="435"/>
      <c r="X104" s="435"/>
    </row>
    <row r="105" spans="2:24" ht="15" thickBot="1">
      <c r="B105" s="435"/>
      <c r="C105" s="435"/>
      <c r="D105" s="296" t="s">
        <v>579</v>
      </c>
      <c r="E105" s="294"/>
      <c r="F105" s="294"/>
      <c r="G105" s="294"/>
      <c r="H105" s="294"/>
      <c r="I105" s="294"/>
      <c r="J105" s="294"/>
      <c r="K105" s="294"/>
      <c r="L105" s="294"/>
      <c r="M105" s="294"/>
      <c r="N105" s="294"/>
      <c r="O105" s="294"/>
      <c r="P105" s="294"/>
      <c r="Q105" s="294"/>
      <c r="R105" s="295"/>
      <c r="S105" s="435"/>
      <c r="T105" s="435"/>
      <c r="U105" s="435"/>
      <c r="V105" s="435"/>
      <c r="W105" s="435"/>
      <c r="X105" s="435"/>
    </row>
    <row r="106" spans="2:24">
      <c r="B106" s="435"/>
      <c r="C106" s="435"/>
      <c r="D106" s="330"/>
      <c r="E106" s="293"/>
      <c r="F106" s="293"/>
      <c r="G106" s="293"/>
      <c r="H106" s="293"/>
      <c r="I106" s="293"/>
      <c r="J106" s="293"/>
      <c r="K106" s="293"/>
      <c r="L106" s="293"/>
      <c r="M106" s="293"/>
      <c r="N106" s="293"/>
      <c r="O106" s="293"/>
      <c r="P106" s="293"/>
      <c r="Q106" s="293"/>
      <c r="R106" s="293"/>
      <c r="S106" s="435"/>
      <c r="T106" s="435"/>
      <c r="U106" s="435"/>
      <c r="V106" s="435"/>
      <c r="W106" s="435"/>
      <c r="X106" s="435"/>
    </row>
    <row r="107" spans="2:24" ht="15" customHeight="1">
      <c r="B107" s="435"/>
      <c r="C107" s="435"/>
      <c r="D107" s="475" t="s">
        <v>580</v>
      </c>
      <c r="E107" s="475"/>
      <c r="F107" s="475"/>
      <c r="G107" s="475"/>
      <c r="H107" s="475"/>
      <c r="I107" s="475"/>
      <c r="J107" s="475"/>
      <c r="K107" s="475"/>
      <c r="L107" s="475"/>
      <c r="M107" s="475"/>
      <c r="N107" s="475"/>
      <c r="O107" s="475"/>
      <c r="P107" s="475"/>
      <c r="Q107" s="475"/>
      <c r="R107" s="475"/>
      <c r="S107" s="435"/>
      <c r="T107" s="435"/>
      <c r="U107" s="435"/>
      <c r="V107" s="435"/>
      <c r="W107" s="435"/>
      <c r="X107" s="435"/>
    </row>
    <row r="108" spans="2:24">
      <c r="B108" s="435"/>
      <c r="C108" s="435"/>
      <c r="D108" s="475"/>
      <c r="E108" s="475"/>
      <c r="F108" s="475"/>
      <c r="G108" s="475"/>
      <c r="H108" s="475"/>
      <c r="I108" s="475"/>
      <c r="J108" s="475"/>
      <c r="K108" s="475"/>
      <c r="L108" s="475"/>
      <c r="M108" s="475"/>
      <c r="N108" s="475"/>
      <c r="O108" s="475"/>
      <c r="P108" s="475"/>
      <c r="Q108" s="475"/>
      <c r="R108" s="475"/>
      <c r="S108" s="435"/>
      <c r="T108" s="435"/>
      <c r="U108" s="435"/>
      <c r="V108" s="435"/>
      <c r="W108" s="435"/>
      <c r="X108" s="435"/>
    </row>
    <row r="109" spans="2:24">
      <c r="B109" s="435"/>
      <c r="C109" s="435"/>
      <c r="D109" s="475"/>
      <c r="E109" s="475"/>
      <c r="F109" s="475"/>
      <c r="G109" s="475"/>
      <c r="H109" s="475"/>
      <c r="I109" s="475"/>
      <c r="J109" s="475"/>
      <c r="K109" s="475"/>
      <c r="L109" s="475"/>
      <c r="M109" s="475"/>
      <c r="N109" s="475"/>
      <c r="O109" s="475"/>
      <c r="P109" s="475"/>
      <c r="Q109" s="475"/>
      <c r="R109" s="475"/>
      <c r="S109" s="435"/>
      <c r="T109" s="435"/>
      <c r="U109" s="435"/>
      <c r="V109" s="435"/>
      <c r="W109" s="435"/>
      <c r="X109" s="435"/>
    </row>
    <row r="110" spans="2:24">
      <c r="B110" s="435"/>
      <c r="C110" s="435"/>
      <c r="D110" s="330"/>
      <c r="E110" s="293"/>
      <c r="F110" s="293"/>
      <c r="G110" s="293"/>
      <c r="H110" s="293"/>
      <c r="I110" s="293"/>
      <c r="J110" s="293"/>
      <c r="K110" s="293"/>
      <c r="L110" s="293"/>
      <c r="M110" s="293"/>
      <c r="N110" s="293"/>
      <c r="O110" s="293"/>
      <c r="P110" s="293"/>
      <c r="Q110" s="293"/>
      <c r="R110" s="293"/>
      <c r="S110" s="435"/>
      <c r="T110" s="435"/>
      <c r="U110" s="435"/>
      <c r="V110" s="435"/>
      <c r="W110" s="435"/>
      <c r="X110" s="435"/>
    </row>
    <row r="111" spans="2:24">
      <c r="B111" s="435"/>
      <c r="C111" s="435"/>
      <c r="D111" s="330"/>
      <c r="E111" s="293"/>
      <c r="F111" s="293"/>
      <c r="G111" s="293"/>
      <c r="H111" s="293"/>
      <c r="I111" s="293"/>
      <c r="J111" s="293"/>
      <c r="K111" s="293"/>
      <c r="L111" s="293"/>
      <c r="M111" s="293"/>
      <c r="N111" s="293"/>
      <c r="O111" s="293"/>
      <c r="P111" s="293"/>
      <c r="Q111" s="293"/>
      <c r="R111" s="293"/>
      <c r="S111" s="435"/>
      <c r="T111" s="435"/>
      <c r="U111" s="435"/>
      <c r="V111" s="435"/>
      <c r="W111" s="435"/>
      <c r="X111" s="435"/>
    </row>
    <row r="112" spans="2:24">
      <c r="B112" s="435"/>
      <c r="C112" s="435"/>
      <c r="D112" s="330"/>
      <c r="E112" s="293"/>
      <c r="F112" s="293"/>
      <c r="G112" s="293"/>
      <c r="H112" s="293"/>
      <c r="I112" s="293"/>
      <c r="J112" s="293"/>
      <c r="K112" s="293"/>
      <c r="L112" s="293"/>
      <c r="M112" s="293"/>
      <c r="N112" s="293"/>
      <c r="O112" s="293"/>
      <c r="P112" s="293"/>
      <c r="Q112" s="293"/>
      <c r="R112" s="293"/>
      <c r="S112" s="435"/>
      <c r="T112" s="435"/>
      <c r="U112" s="435"/>
      <c r="V112" s="435"/>
      <c r="W112" s="435"/>
      <c r="X112" s="435"/>
    </row>
    <row r="113" spans="2:24">
      <c r="B113" s="435"/>
      <c r="C113" s="435"/>
      <c r="S113" s="435"/>
      <c r="T113" s="435"/>
      <c r="U113" s="435"/>
      <c r="V113" s="435"/>
      <c r="W113" s="435"/>
      <c r="X113" s="435"/>
    </row>
    <row r="114" spans="2:24">
      <c r="B114" s="435"/>
      <c r="C114" s="435"/>
      <c r="S114" s="435"/>
      <c r="T114" s="435"/>
      <c r="U114" s="435"/>
      <c r="V114" s="435"/>
      <c r="W114" s="435"/>
      <c r="X114" s="435"/>
    </row>
    <row r="115" spans="2:24">
      <c r="B115" s="435"/>
      <c r="C115" s="435"/>
      <c r="S115" s="435"/>
      <c r="T115" s="435"/>
      <c r="U115" s="435"/>
      <c r="V115" s="435"/>
      <c r="W115" s="435"/>
      <c r="X115" s="435"/>
    </row>
    <row r="116" spans="2:24">
      <c r="B116" s="435"/>
      <c r="C116" s="435"/>
      <c r="S116" s="435"/>
      <c r="T116" s="435"/>
      <c r="U116" s="435"/>
      <c r="V116" s="435"/>
      <c r="W116" s="435"/>
      <c r="X116" s="435"/>
    </row>
    <row r="117" spans="2:24">
      <c r="B117" s="435"/>
      <c r="C117" s="435"/>
      <c r="S117" s="435"/>
      <c r="T117" s="435"/>
      <c r="U117" s="435"/>
      <c r="V117" s="435"/>
      <c r="W117" s="435"/>
      <c r="X117" s="435"/>
    </row>
    <row r="118" spans="2:24">
      <c r="B118" s="435"/>
      <c r="C118" s="435"/>
      <c r="S118" s="435"/>
      <c r="T118" s="435"/>
      <c r="U118" s="435"/>
      <c r="V118" s="435"/>
      <c r="W118" s="435"/>
      <c r="X118" s="435"/>
    </row>
    <row r="119" spans="2:24">
      <c r="B119" s="435"/>
      <c r="C119" s="435"/>
      <c r="S119" s="435"/>
      <c r="T119" s="435"/>
      <c r="U119" s="435"/>
      <c r="V119" s="435"/>
      <c r="W119" s="435"/>
      <c r="X119" s="435"/>
    </row>
    <row r="120" spans="2:24">
      <c r="B120" s="435"/>
      <c r="C120" s="435"/>
      <c r="S120" s="435"/>
      <c r="T120" s="435"/>
      <c r="U120" s="435"/>
      <c r="V120" s="435"/>
      <c r="W120" s="435"/>
      <c r="X120" s="435"/>
    </row>
    <row r="121" spans="2:24">
      <c r="B121" s="435"/>
      <c r="C121" s="435"/>
      <c r="S121" s="435"/>
      <c r="T121" s="435"/>
      <c r="U121" s="435"/>
      <c r="V121" s="435"/>
      <c r="W121" s="435"/>
      <c r="X121" s="435"/>
    </row>
    <row r="122" spans="2:24">
      <c r="B122" s="435"/>
      <c r="C122" s="435"/>
      <c r="S122" s="435"/>
      <c r="T122" s="435"/>
      <c r="U122" s="435"/>
      <c r="V122" s="435"/>
      <c r="W122" s="435"/>
      <c r="X122" s="435"/>
    </row>
    <row r="123" spans="2:24">
      <c r="B123" s="435"/>
      <c r="C123" s="435"/>
      <c r="S123" s="435"/>
      <c r="T123" s="435"/>
      <c r="U123" s="435"/>
      <c r="V123" s="435"/>
      <c r="W123" s="435"/>
      <c r="X123" s="435"/>
    </row>
    <row r="124" spans="2:24">
      <c r="B124" s="435"/>
      <c r="C124" s="435"/>
      <c r="S124" s="435"/>
      <c r="T124" s="435"/>
      <c r="U124" s="435"/>
      <c r="V124" s="435"/>
      <c r="W124" s="435"/>
      <c r="X124" s="435"/>
    </row>
    <row r="125" spans="2:24">
      <c r="B125" s="435"/>
      <c r="C125" s="435"/>
      <c r="S125" s="435"/>
      <c r="T125" s="435"/>
      <c r="U125" s="435"/>
      <c r="V125" s="435"/>
      <c r="W125" s="435"/>
      <c r="X125" s="435"/>
    </row>
    <row r="126" spans="2:24">
      <c r="B126" s="435"/>
      <c r="C126" s="435"/>
      <c r="S126" s="435"/>
      <c r="T126" s="435"/>
      <c r="U126" s="435"/>
      <c r="V126" s="435"/>
      <c r="W126" s="435"/>
      <c r="X126" s="435"/>
    </row>
    <row r="127" spans="2:24">
      <c r="B127" s="435"/>
      <c r="C127" s="435"/>
      <c r="S127" s="435"/>
      <c r="T127" s="435"/>
      <c r="U127" s="435"/>
      <c r="V127" s="435"/>
      <c r="W127" s="435"/>
      <c r="X127" s="435"/>
    </row>
    <row r="128" spans="2:24">
      <c r="B128" s="435"/>
      <c r="C128" s="435"/>
      <c r="S128" s="435"/>
      <c r="T128" s="435"/>
      <c r="U128" s="435"/>
      <c r="V128" s="435"/>
      <c r="W128" s="435"/>
      <c r="X128" s="435"/>
    </row>
    <row r="129" spans="2:24">
      <c r="B129" s="435"/>
      <c r="C129" s="435"/>
      <c r="S129" s="435"/>
      <c r="T129" s="435"/>
      <c r="U129" s="435"/>
      <c r="V129" s="435"/>
      <c r="W129" s="435"/>
      <c r="X129" s="435"/>
    </row>
    <row r="130" spans="2:24">
      <c r="B130" s="435"/>
      <c r="C130" s="435"/>
      <c r="S130" s="435"/>
      <c r="T130" s="435"/>
      <c r="U130" s="435"/>
      <c r="V130" s="435"/>
      <c r="W130" s="435"/>
      <c r="X130" s="435"/>
    </row>
    <row r="131" spans="2:24">
      <c r="B131" s="435"/>
      <c r="C131" s="435"/>
      <c r="S131" s="435"/>
      <c r="T131" s="435"/>
      <c r="U131" s="435"/>
      <c r="V131" s="435"/>
      <c r="W131" s="435"/>
      <c r="X131" s="435"/>
    </row>
    <row r="132" spans="2:24">
      <c r="B132" s="435"/>
      <c r="C132" s="435"/>
      <c r="S132" s="435"/>
      <c r="T132" s="435"/>
      <c r="U132" s="435"/>
      <c r="V132" s="435"/>
      <c r="W132" s="435"/>
      <c r="X132" s="435"/>
    </row>
    <row r="133" spans="2:24">
      <c r="B133" s="435"/>
      <c r="C133" s="435"/>
      <c r="S133" s="435"/>
      <c r="T133" s="435"/>
      <c r="U133" s="435"/>
      <c r="V133" s="435"/>
      <c r="W133" s="435"/>
      <c r="X133" s="435"/>
    </row>
    <row r="134" spans="2:24">
      <c r="B134" s="435"/>
      <c r="C134" s="435"/>
      <c r="S134" s="435"/>
      <c r="T134" s="435"/>
      <c r="U134" s="435"/>
      <c r="V134" s="435"/>
      <c r="W134" s="435"/>
      <c r="X134" s="435"/>
    </row>
    <row r="135" spans="2:24">
      <c r="B135" s="435"/>
      <c r="C135" s="435"/>
      <c r="S135" s="435"/>
      <c r="T135" s="435"/>
      <c r="U135" s="435"/>
      <c r="V135" s="435"/>
      <c r="W135" s="435"/>
      <c r="X135" s="435"/>
    </row>
    <row r="136" spans="2:24">
      <c r="B136" s="435"/>
      <c r="C136" s="435"/>
      <c r="S136" s="435"/>
      <c r="T136" s="435"/>
      <c r="U136" s="435"/>
      <c r="V136" s="435"/>
      <c r="W136" s="435"/>
      <c r="X136" s="435"/>
    </row>
    <row r="137" spans="2:24">
      <c r="B137" s="435"/>
      <c r="C137" s="435"/>
      <c r="S137" s="435"/>
      <c r="T137" s="435"/>
      <c r="U137" s="435"/>
      <c r="V137" s="435"/>
      <c r="W137" s="435"/>
      <c r="X137" s="435"/>
    </row>
    <row r="138" spans="2:24">
      <c r="B138" s="435"/>
      <c r="C138" s="435"/>
      <c r="S138" s="435"/>
      <c r="T138" s="435"/>
      <c r="U138" s="435"/>
      <c r="V138" s="435"/>
      <c r="W138" s="435"/>
      <c r="X138" s="435"/>
    </row>
    <row r="139" spans="2:24">
      <c r="B139" s="435"/>
      <c r="C139" s="435"/>
      <c r="S139" s="435"/>
      <c r="T139" s="435"/>
      <c r="U139" s="435"/>
      <c r="V139" s="435"/>
      <c r="W139" s="435"/>
      <c r="X139" s="435"/>
    </row>
    <row r="140" spans="2:24">
      <c r="B140" s="471"/>
      <c r="C140" s="435"/>
      <c r="D140" s="469"/>
      <c r="E140" s="435"/>
      <c r="F140" s="435"/>
      <c r="G140" s="435"/>
      <c r="H140" s="435"/>
      <c r="I140" s="435"/>
      <c r="J140" s="435"/>
      <c r="K140" s="435"/>
      <c r="L140" s="435"/>
      <c r="M140" s="435"/>
      <c r="N140" s="435"/>
      <c r="O140" s="435"/>
      <c r="P140" s="435"/>
      <c r="Q140" s="435"/>
      <c r="R140" s="435"/>
      <c r="S140" s="474"/>
      <c r="T140" s="435"/>
      <c r="U140" s="435"/>
      <c r="V140" s="435"/>
      <c r="W140" s="435"/>
      <c r="X140" s="435"/>
    </row>
    <row r="141" spans="2:24">
      <c r="B141" s="435"/>
      <c r="C141" s="435"/>
      <c r="D141" s="435"/>
      <c r="E141" s="435"/>
      <c r="F141" s="435"/>
      <c r="G141" s="435"/>
      <c r="H141" s="435"/>
      <c r="I141" s="435"/>
      <c r="J141" s="435"/>
      <c r="K141" s="435"/>
      <c r="L141" s="435"/>
      <c r="M141" s="435"/>
      <c r="N141" s="435"/>
      <c r="O141" s="435"/>
      <c r="P141" s="435"/>
      <c r="Q141" s="435"/>
      <c r="R141" s="435"/>
      <c r="S141" s="435"/>
      <c r="T141" s="435"/>
      <c r="U141" s="435"/>
      <c r="V141" s="435"/>
      <c r="W141" s="435"/>
      <c r="X141" s="435"/>
    </row>
    <row r="142" spans="2:24">
      <c r="B142" s="435"/>
      <c r="C142" s="435"/>
      <c r="D142" s="435"/>
      <c r="E142" s="435"/>
      <c r="F142" s="435"/>
      <c r="G142" s="435"/>
      <c r="H142" s="435"/>
      <c r="I142" s="435"/>
      <c r="J142" s="435"/>
      <c r="K142" s="435"/>
      <c r="L142" s="435"/>
      <c r="M142" s="435"/>
      <c r="N142" s="435"/>
      <c r="O142" s="435"/>
      <c r="P142" s="435"/>
      <c r="Q142" s="435"/>
      <c r="R142" s="435"/>
      <c r="S142" s="435"/>
      <c r="T142" s="435"/>
      <c r="U142" s="435"/>
      <c r="V142" s="435"/>
      <c r="W142" s="435"/>
      <c r="X142" s="435"/>
    </row>
    <row r="143" spans="2:24">
      <c r="B143" s="435"/>
      <c r="C143" s="435"/>
      <c r="D143" s="435"/>
      <c r="E143" s="435"/>
      <c r="F143" s="435"/>
      <c r="G143" s="435"/>
      <c r="H143" s="435"/>
      <c r="I143" s="435"/>
      <c r="J143" s="435"/>
      <c r="K143" s="435"/>
      <c r="L143" s="435"/>
      <c r="M143" s="435"/>
      <c r="N143" s="435"/>
      <c r="O143" s="435"/>
      <c r="P143" s="435"/>
      <c r="Q143" s="435"/>
      <c r="R143" s="435"/>
      <c r="S143" s="435"/>
      <c r="T143" s="435"/>
      <c r="U143" s="435"/>
      <c r="V143" s="435"/>
      <c r="W143" s="435"/>
      <c r="X143" s="435"/>
    </row>
    <row r="144" spans="2:24">
      <c r="B144" s="465"/>
      <c r="C144" s="435"/>
      <c r="D144" s="435"/>
      <c r="E144" s="435"/>
      <c r="F144" s="435"/>
      <c r="G144" s="435"/>
      <c r="H144" s="435"/>
      <c r="I144" s="435"/>
      <c r="J144" s="435"/>
      <c r="K144" s="435"/>
      <c r="L144" s="435"/>
      <c r="M144" s="435"/>
      <c r="N144" s="435"/>
      <c r="O144" s="435"/>
      <c r="P144" s="435"/>
      <c r="Q144" s="435"/>
      <c r="R144" s="435"/>
      <c r="S144" s="435"/>
      <c r="T144" s="435"/>
      <c r="U144" s="463"/>
      <c r="V144" s="435"/>
      <c r="W144" s="435"/>
      <c r="X144" s="435"/>
    </row>
    <row r="145" spans="2:24">
      <c r="B145" s="435"/>
      <c r="C145" s="435"/>
      <c r="D145" s="435"/>
      <c r="E145" s="435"/>
      <c r="F145" s="435"/>
      <c r="G145" s="435"/>
      <c r="H145" s="435"/>
      <c r="I145" s="435"/>
      <c r="J145" s="435"/>
      <c r="K145" s="435"/>
      <c r="L145" s="435"/>
      <c r="M145" s="435"/>
      <c r="N145" s="435"/>
      <c r="O145" s="435"/>
      <c r="P145" s="435"/>
      <c r="Q145" s="435"/>
      <c r="R145" s="435"/>
      <c r="S145" s="435"/>
      <c r="T145" s="435"/>
      <c r="U145" s="435"/>
      <c r="V145" s="435"/>
      <c r="W145" s="435"/>
      <c r="X145" s="435"/>
    </row>
    <row r="146" spans="2:24">
      <c r="B146" s="435"/>
      <c r="C146" s="435"/>
      <c r="D146" s="435"/>
      <c r="E146" s="435"/>
      <c r="F146" s="435"/>
      <c r="G146" s="435"/>
      <c r="H146" s="435"/>
      <c r="I146" s="435"/>
      <c r="J146" s="435"/>
      <c r="K146" s="435"/>
      <c r="L146" s="435"/>
      <c r="M146" s="435"/>
      <c r="N146" s="435"/>
      <c r="O146" s="435"/>
      <c r="P146" s="435"/>
      <c r="Q146" s="435"/>
      <c r="R146" s="435"/>
      <c r="S146" s="435"/>
      <c r="T146" s="435"/>
      <c r="U146" s="435"/>
      <c r="V146" s="435"/>
      <c r="W146" s="435"/>
      <c r="X146" s="435"/>
    </row>
    <row r="147" spans="2:24">
      <c r="B147" s="435"/>
      <c r="C147" s="435"/>
      <c r="D147" s="435"/>
      <c r="E147" s="435"/>
      <c r="F147" s="435"/>
      <c r="G147" s="435"/>
      <c r="H147" s="435"/>
      <c r="I147" s="435"/>
      <c r="J147" s="435"/>
      <c r="K147" s="435"/>
      <c r="L147" s="435"/>
      <c r="M147" s="435"/>
      <c r="N147" s="435"/>
      <c r="O147" s="435"/>
      <c r="P147" s="435"/>
      <c r="Q147" s="435"/>
      <c r="R147" s="435"/>
      <c r="S147" s="435"/>
      <c r="T147" s="435"/>
      <c r="U147" s="435"/>
      <c r="V147" s="435"/>
      <c r="W147" s="435"/>
      <c r="X147" s="435"/>
    </row>
    <row r="148" spans="2:24">
      <c r="B148" s="435"/>
      <c r="C148" s="435"/>
      <c r="D148" s="435"/>
      <c r="E148" s="435"/>
      <c r="F148" s="435"/>
      <c r="G148" s="435"/>
      <c r="H148" s="435"/>
      <c r="I148" s="435"/>
      <c r="J148" s="435"/>
      <c r="K148" s="435"/>
      <c r="L148" s="435"/>
      <c r="M148" s="435"/>
      <c r="N148" s="435"/>
      <c r="O148" s="435"/>
      <c r="P148" s="435"/>
      <c r="Q148" s="435"/>
      <c r="R148" s="435"/>
      <c r="S148" s="435"/>
      <c r="T148" s="435"/>
      <c r="U148" s="435"/>
      <c r="V148" s="435"/>
      <c r="W148" s="435"/>
      <c r="X148" s="435"/>
    </row>
    <row r="149" spans="2:24">
      <c r="B149" s="435"/>
      <c r="C149" s="435"/>
      <c r="D149" s="435"/>
      <c r="E149" s="435"/>
      <c r="F149" s="435"/>
      <c r="G149" s="435"/>
      <c r="H149" s="435"/>
      <c r="I149" s="435"/>
      <c r="J149" s="435"/>
      <c r="K149" s="435"/>
      <c r="L149" s="435"/>
      <c r="M149" s="435"/>
      <c r="N149" s="435"/>
      <c r="O149" s="435"/>
      <c r="P149" s="435"/>
      <c r="Q149" s="435"/>
      <c r="R149" s="435"/>
      <c r="S149" s="435"/>
      <c r="T149" s="435"/>
      <c r="U149" s="435"/>
      <c r="V149" s="435"/>
      <c r="W149" s="435"/>
      <c r="X149" s="435"/>
    </row>
    <row r="150" spans="2:24">
      <c r="B150" s="435"/>
      <c r="C150" s="435"/>
      <c r="D150" s="435"/>
      <c r="E150" s="435"/>
      <c r="F150" s="435"/>
      <c r="G150" s="435"/>
      <c r="H150" s="435"/>
      <c r="I150" s="435"/>
      <c r="J150" s="435"/>
      <c r="K150" s="435"/>
      <c r="L150" s="435"/>
      <c r="M150" s="435"/>
      <c r="N150" s="435"/>
      <c r="O150" s="435"/>
      <c r="P150" s="435"/>
      <c r="Q150" s="435"/>
      <c r="R150" s="435"/>
      <c r="S150" s="435"/>
      <c r="T150" s="435"/>
      <c r="U150" s="435"/>
      <c r="V150" s="435"/>
      <c r="W150" s="435"/>
      <c r="X150" s="435"/>
    </row>
    <row r="151" spans="2:24">
      <c r="B151" s="435"/>
      <c r="C151" s="435"/>
      <c r="D151" s="435"/>
      <c r="E151" s="435"/>
      <c r="F151" s="435"/>
      <c r="G151" s="435"/>
      <c r="H151" s="435"/>
      <c r="I151" s="435"/>
      <c r="J151" s="435"/>
      <c r="K151" s="435"/>
      <c r="L151" s="435"/>
      <c r="M151" s="435"/>
      <c r="N151" s="435"/>
      <c r="O151" s="435"/>
      <c r="P151" s="435"/>
      <c r="Q151" s="435"/>
      <c r="R151" s="435"/>
      <c r="S151" s="435"/>
      <c r="T151" s="435"/>
      <c r="U151" s="435"/>
      <c r="V151" s="435"/>
      <c r="W151" s="435"/>
      <c r="X151" s="435"/>
    </row>
    <row r="152" spans="2:24">
      <c r="B152" s="435"/>
      <c r="C152" s="435"/>
      <c r="D152" s="435"/>
      <c r="E152" s="435"/>
      <c r="F152" s="435"/>
      <c r="G152" s="435"/>
      <c r="H152" s="435"/>
      <c r="I152" s="435"/>
      <c r="J152" s="435"/>
      <c r="K152" s="435"/>
      <c r="L152" s="435"/>
      <c r="M152" s="435"/>
      <c r="N152" s="435"/>
      <c r="O152" s="435"/>
      <c r="P152" s="435"/>
      <c r="Q152" s="435"/>
      <c r="R152" s="435"/>
      <c r="S152" s="435"/>
      <c r="T152" s="435"/>
      <c r="U152" s="435"/>
      <c r="V152" s="435"/>
      <c r="W152" s="435"/>
      <c r="X152" s="435"/>
    </row>
  </sheetData>
  <sheetProtection selectLockedCells="1" selectUnlockedCells="1"/>
  <mergeCells count="15">
    <mergeCell ref="U144:X152"/>
    <mergeCell ref="U6:X143"/>
    <mergeCell ref="B144:T152"/>
    <mergeCell ref="B10:C139"/>
    <mergeCell ref="S10:T139"/>
    <mergeCell ref="D6:R9"/>
    <mergeCell ref="B6:C9"/>
    <mergeCell ref="S6:T9"/>
    <mergeCell ref="D140:R143"/>
    <mergeCell ref="D62:R63"/>
    <mergeCell ref="B140:C143"/>
    <mergeCell ref="D10:R11"/>
    <mergeCell ref="D15:R16"/>
    <mergeCell ref="S140:T143"/>
    <mergeCell ref="D107:R10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56</vt:i4>
      </vt:variant>
    </vt:vector>
  </HeadingPairs>
  <TitlesOfParts>
    <vt:vector size="62" baseType="lpstr">
      <vt:lpstr>Tearsheet</vt:lpstr>
      <vt:lpstr>Calc Data</vt:lpstr>
      <vt:lpstr>EM Data</vt:lpstr>
      <vt:lpstr>PGEO Data</vt:lpstr>
      <vt:lpstr>Relative Value</vt:lpstr>
      <vt:lpstr>Help</vt:lpstr>
      <vt:lpstr>BB_ALL_PEGO</vt:lpstr>
      <vt:lpstr>BB_COMP_PERIODS</vt:lpstr>
      <vt:lpstr>BB_CONSBASIS</vt:lpstr>
      <vt:lpstr>BB_CRNCY</vt:lpstr>
      <vt:lpstr>BB_CURNCY_TABLE</vt:lpstr>
      <vt:lpstr>BB_CURRENCY_LIST</vt:lpstr>
      <vt:lpstr>BB_DISP_ORDER_LIST</vt:lpstr>
      <vt:lpstr>BB_DISP_ORDER_TABLE</vt:lpstr>
      <vt:lpstr>BB_EM_Q1</vt:lpstr>
      <vt:lpstr>BB_EM_Q2</vt:lpstr>
      <vt:lpstr>BB_EM_Q3</vt:lpstr>
      <vt:lpstr>BB_EM_Q4</vt:lpstr>
      <vt:lpstr>BB_EM_S1</vt:lpstr>
      <vt:lpstr>BB_EM_S2</vt:lpstr>
      <vt:lpstr>BB_MEASURES</vt:lpstr>
      <vt:lpstr>BB_NUM_PERIODS</vt:lpstr>
      <vt:lpstr>BB_ORDER</vt:lpstr>
      <vt:lpstr>BB_PARENT_CONSOL</vt:lpstr>
      <vt:lpstr>BB_PERIOD_TABLE</vt:lpstr>
      <vt:lpstr>BB_PERIODS_LIST</vt:lpstr>
      <vt:lpstr>BB_Q_COND_RANGE</vt:lpstr>
      <vt:lpstr>BB_S_COND_RANGE</vt:lpstr>
      <vt:lpstr>BB_SELECT_CURRENCY</vt:lpstr>
      <vt:lpstr>BB_SELECTED_PERIOD</vt:lpstr>
      <vt:lpstr>BB_TICKER</vt:lpstr>
      <vt:lpstr>BB_Y_COND_RANGE</vt:lpstr>
      <vt:lpstr>BDH_OVERRIDES</vt:lpstr>
      <vt:lpstr>BDH_OVERRIDES_DATA</vt:lpstr>
      <vt:lpstr>BDP_OVERRIDES</vt:lpstr>
      <vt:lpstr>BDP_OVERRIDES_DATA</vt:lpstr>
      <vt:lpstr>BEST_OVERRIDES</vt:lpstr>
      <vt:lpstr>BEST_OVERRIDES_DATA</vt:lpstr>
      <vt:lpstr>'Relative Value'!Country</vt:lpstr>
      <vt:lpstr>'Relative Value'!Currency</vt:lpstr>
      <vt:lpstr>example1</vt:lpstr>
      <vt:lpstr>example2</vt:lpstr>
      <vt:lpstr>example3</vt:lpstr>
      <vt:lpstr>example4</vt:lpstr>
      <vt:lpstr>F_BEST_RATIO_BDP_OVERRIDES</vt:lpstr>
      <vt:lpstr>F_RATIO_BDP_OVERRIDES</vt:lpstr>
      <vt:lpstr>FA_BDH_OVERRIDES</vt:lpstr>
      <vt:lpstr>FA_BDH_OVERRIDES_DATA</vt:lpstr>
      <vt:lpstr>FA_BDP_OVERRIDES</vt:lpstr>
      <vt:lpstr>FA_BDP_OVERRIDES_DATA</vt:lpstr>
      <vt:lpstr>'Relative Value'!FieldList</vt:lpstr>
      <vt:lpstr>'Relative Value'!FirstSeries</vt:lpstr>
      <vt:lpstr>HLPBRD_IB</vt:lpstr>
      <vt:lpstr>HLPBRD_IR</vt:lpstr>
      <vt:lpstr>HLPBRD_OBR</vt:lpstr>
      <vt:lpstr>INTERVAL_OVERRIDES</vt:lpstr>
      <vt:lpstr>INTERVAL_OVERRIDES_DATA</vt:lpstr>
      <vt:lpstr>'Relative Value'!RelIndex</vt:lpstr>
      <vt:lpstr>'Relative Value'!Sector</vt:lpstr>
      <vt:lpstr>'Relative Value'!Security</vt:lpstr>
      <vt:lpstr>V_BEST_RATIO_BDP_OVERRIDES</vt:lpstr>
      <vt:lpstr>V_RATIO_BDP_OVERRIDES</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Company Snapshot 5</dc:title>
  <dc:creator>Gala, Devin</dc:creator>
  <cp:lastModifiedBy>Batu</cp:lastModifiedBy>
  <cp:lastPrinted>2010-10-20T15:04:44Z</cp:lastPrinted>
  <dcterms:created xsi:type="dcterms:W3CDTF">2010-04-22T14:02:27Z</dcterms:created>
  <dcterms:modified xsi:type="dcterms:W3CDTF">2026-07-08T08:17:28Z</dcterms:modified>
</cp:coreProperties>
</file>