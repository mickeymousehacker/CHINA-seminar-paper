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bergsma/Downloads/"/>
    </mc:Choice>
  </mc:AlternateContent>
  <xr:revisionPtr revIDLastSave="0" documentId="8_{62F1B88D-B716-8440-9337-6B31582C9D55}" xr6:coauthVersionLast="47" xr6:coauthVersionMax="47" xr10:uidLastSave="{00000000-0000-0000-0000-000000000000}"/>
  <bookViews>
    <workbookView xWindow="0" yWindow="740" windowWidth="29400" windowHeight="18380" activeTab="4" xr2:uid="{00000000-000D-0000-FFFF-FFFF00000000}"/>
  </bookViews>
  <sheets>
    <sheet name="FCFF &amp; DCF" sheetId="1" r:id="rId1"/>
    <sheet name="WACC" sheetId="2" r:id="rId2"/>
    <sheet name="Equity Bridge" sheetId="3" r:id="rId3"/>
    <sheet name="Multiples" sheetId="4" r:id="rId4"/>
    <sheet name="Football-Field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8" i="4" l="1"/>
  <c r="X10" i="4"/>
  <c r="P10" i="4"/>
  <c r="J8" i="5"/>
  <c r="AA22" i="4"/>
  <c r="Z22" i="4"/>
  <c r="Y22" i="4"/>
  <c r="X22" i="4"/>
  <c r="W22" i="4"/>
  <c r="V22" i="4"/>
  <c r="U22" i="4"/>
  <c r="T22" i="4"/>
  <c r="S22" i="4"/>
  <c r="R22" i="4"/>
  <c r="Q22" i="4"/>
  <c r="P22" i="4"/>
  <c r="AA11" i="4"/>
  <c r="Z11" i="4"/>
  <c r="Y11" i="4"/>
  <c r="X11" i="4"/>
  <c r="W11" i="4"/>
  <c r="V11" i="4"/>
  <c r="U11" i="4"/>
  <c r="T11" i="4"/>
  <c r="S11" i="4"/>
  <c r="R11" i="4"/>
  <c r="Q11" i="4"/>
  <c r="P11" i="4"/>
  <c r="AA10" i="4"/>
  <c r="Z10" i="4"/>
  <c r="Y10" i="4"/>
  <c r="W10" i="4"/>
  <c r="V10" i="4"/>
  <c r="U10" i="4"/>
  <c r="T10" i="4"/>
  <c r="S10" i="4"/>
  <c r="R10" i="4"/>
  <c r="Q10" i="4"/>
  <c r="C24" i="2"/>
  <c r="C27" i="2" s="1"/>
  <c r="C14" i="2"/>
  <c r="C15" i="2" s="1"/>
  <c r="C17" i="2" s="1"/>
  <c r="C20" i="2" s="1"/>
  <c r="C10" i="2"/>
  <c r="N54" i="1"/>
  <c r="M54" i="1"/>
  <c r="L54" i="1"/>
  <c r="K54" i="1"/>
  <c r="J54" i="1"/>
  <c r="G54" i="1"/>
  <c r="F54" i="1"/>
  <c r="E54" i="1"/>
  <c r="D54" i="1"/>
  <c r="C54" i="1"/>
  <c r="G41" i="1"/>
  <c r="F41" i="1"/>
  <c r="E41" i="1"/>
  <c r="D41" i="1"/>
  <c r="C41" i="1"/>
  <c r="H32" i="1"/>
  <c r="I32" i="1" s="1"/>
  <c r="J32" i="1" s="1"/>
  <c r="K32" i="1" s="1"/>
  <c r="L32" i="1" s="1"/>
  <c r="M32" i="1" s="1"/>
  <c r="N32" i="1" s="1"/>
  <c r="G30" i="1"/>
  <c r="G31" i="1" s="1"/>
  <c r="F30" i="1"/>
  <c r="F31" i="1" s="1"/>
  <c r="E30" i="1"/>
  <c r="E31" i="1" s="1"/>
  <c r="D30" i="1"/>
  <c r="D33" i="1" s="1"/>
  <c r="C30" i="1"/>
  <c r="C31" i="1" s="1"/>
  <c r="G28" i="1"/>
  <c r="F28" i="1"/>
  <c r="E28" i="1"/>
  <c r="D28" i="1"/>
  <c r="H27" i="1"/>
  <c r="H40" i="1" s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5" i="1"/>
  <c r="F15" i="1"/>
  <c r="E15" i="1"/>
  <c r="D15" i="1"/>
  <c r="C15" i="1"/>
  <c r="G14" i="1"/>
  <c r="F14" i="1"/>
  <c r="E14" i="1"/>
  <c r="D14" i="1"/>
  <c r="V18" i="4" l="1"/>
  <c r="W18" i="4"/>
  <c r="P18" i="4"/>
  <c r="U18" i="4"/>
  <c r="X18" i="4"/>
  <c r="S18" i="4"/>
  <c r="R18" i="4"/>
  <c r="AA18" i="4"/>
  <c r="Q18" i="4"/>
  <c r="Z18" i="4"/>
  <c r="T18" i="4"/>
  <c r="F16" i="1"/>
  <c r="W23" i="4"/>
  <c r="S25" i="4"/>
  <c r="T25" i="4"/>
  <c r="AA25" i="4"/>
  <c r="U25" i="4"/>
  <c r="Y23" i="4"/>
  <c r="P26" i="4"/>
  <c r="R25" i="4"/>
  <c r="Z25" i="4"/>
  <c r="V23" i="4"/>
  <c r="J6" i="5" s="1"/>
  <c r="W26" i="4"/>
  <c r="X26" i="4"/>
  <c r="T23" i="4"/>
  <c r="Y26" i="4"/>
  <c r="V26" i="4"/>
  <c r="L6" i="5" s="1"/>
  <c r="G33" i="1"/>
  <c r="G36" i="1" s="1"/>
  <c r="G37" i="1" s="1"/>
  <c r="D16" i="1"/>
  <c r="H19" i="1"/>
  <c r="H35" i="1" s="1"/>
  <c r="H41" i="1" s="1"/>
  <c r="F33" i="1"/>
  <c r="F34" i="1" s="1"/>
  <c r="Q26" i="4"/>
  <c r="H42" i="1"/>
  <c r="H18" i="1"/>
  <c r="H21" i="1"/>
  <c r="G16" i="1"/>
  <c r="C26" i="2"/>
  <c r="C6" i="2" s="1"/>
  <c r="C33" i="1"/>
  <c r="C36" i="1" s="1"/>
  <c r="C38" i="1" s="1"/>
  <c r="C39" i="1" s="1"/>
  <c r="C43" i="1" s="1"/>
  <c r="H14" i="1"/>
  <c r="H20" i="1"/>
  <c r="H29" i="1"/>
  <c r="H30" i="1" s="1"/>
  <c r="H31" i="1" s="1"/>
  <c r="I27" i="1"/>
  <c r="I40" i="1" s="1"/>
  <c r="H17" i="1"/>
  <c r="E33" i="1"/>
  <c r="E36" i="1" s="1"/>
  <c r="E38" i="1" s="1"/>
  <c r="E39" i="1" s="1"/>
  <c r="E43" i="1" s="1"/>
  <c r="Q23" i="4"/>
  <c r="D36" i="1"/>
  <c r="D34" i="1"/>
  <c r="C28" i="2"/>
  <c r="R24" i="4"/>
  <c r="Z24" i="4"/>
  <c r="V25" i="4"/>
  <c r="R26" i="4"/>
  <c r="L5" i="5" s="1"/>
  <c r="Z26" i="4"/>
  <c r="L7" i="5" s="1"/>
  <c r="S24" i="4"/>
  <c r="AA24" i="4"/>
  <c r="W25" i="4"/>
  <c r="S26" i="4"/>
  <c r="AA26" i="4"/>
  <c r="P23" i="4"/>
  <c r="X23" i="4"/>
  <c r="T24" i="4"/>
  <c r="P25" i="4"/>
  <c r="X25" i="4"/>
  <c r="T26" i="4"/>
  <c r="H15" i="1"/>
  <c r="E16" i="1"/>
  <c r="U24" i="4"/>
  <c r="Q25" i="4"/>
  <c r="Y25" i="4"/>
  <c r="U26" i="4"/>
  <c r="R23" i="4"/>
  <c r="J5" i="5" s="1"/>
  <c r="Z23" i="4"/>
  <c r="J7" i="5" s="1"/>
  <c r="V24" i="4"/>
  <c r="D31" i="1"/>
  <c r="S23" i="4"/>
  <c r="AA23" i="4"/>
  <c r="W24" i="4"/>
  <c r="P24" i="4"/>
  <c r="X24" i="4"/>
  <c r="U23" i="4"/>
  <c r="Q24" i="4"/>
  <c r="Y24" i="4"/>
  <c r="K6" i="5" l="1"/>
  <c r="H16" i="1"/>
  <c r="G38" i="1"/>
  <c r="G39" i="1" s="1"/>
  <c r="G43" i="1" s="1"/>
  <c r="G34" i="1"/>
  <c r="C34" i="1"/>
  <c r="E37" i="1"/>
  <c r="C37" i="1"/>
  <c r="J27" i="1"/>
  <c r="J35" i="1" s="1"/>
  <c r="J41" i="1" s="1"/>
  <c r="H33" i="1"/>
  <c r="H34" i="1" s="1"/>
  <c r="F36" i="1"/>
  <c r="F38" i="1" s="1"/>
  <c r="E34" i="1"/>
  <c r="I35" i="1"/>
  <c r="I41" i="1" s="1"/>
  <c r="I29" i="1"/>
  <c r="I30" i="1" s="1"/>
  <c r="I31" i="1" s="1"/>
  <c r="I42" i="1"/>
  <c r="K7" i="5"/>
  <c r="C31" i="2"/>
  <c r="C8" i="1" s="1"/>
  <c r="B55" i="1" s="1"/>
  <c r="K5" i="5"/>
  <c r="D38" i="1"/>
  <c r="D39" i="1" s="1"/>
  <c r="D43" i="1" s="1"/>
  <c r="D37" i="1"/>
  <c r="J40" i="1" l="1"/>
  <c r="K27" i="1"/>
  <c r="K29" i="1" s="1"/>
  <c r="K30" i="1" s="1"/>
  <c r="J42" i="1"/>
  <c r="F39" i="1"/>
  <c r="F43" i="1" s="1"/>
  <c r="J29" i="1"/>
  <c r="J30" i="1" s="1"/>
  <c r="J31" i="1" s="1"/>
  <c r="H36" i="1"/>
  <c r="H37" i="1" s="1"/>
  <c r="I33" i="1"/>
  <c r="I34" i="1" s="1"/>
  <c r="F37" i="1"/>
  <c r="B57" i="1"/>
  <c r="B59" i="1"/>
  <c r="I59" i="1"/>
  <c r="I56" i="1"/>
  <c r="I58" i="1"/>
  <c r="B56" i="1"/>
  <c r="I55" i="1"/>
  <c r="B58" i="1"/>
  <c r="I57" i="1"/>
  <c r="K42" i="1" l="1"/>
  <c r="K40" i="1"/>
  <c r="L27" i="1"/>
  <c r="L42" i="1" s="1"/>
  <c r="K35" i="1"/>
  <c r="K41" i="1" s="1"/>
  <c r="J33" i="1"/>
  <c r="J36" i="1" s="1"/>
  <c r="H38" i="1"/>
  <c r="H39" i="1" s="1"/>
  <c r="H43" i="1" s="1"/>
  <c r="I36" i="1"/>
  <c r="I38" i="1" s="1"/>
  <c r="I39" i="1" s="1"/>
  <c r="I43" i="1" s="1"/>
  <c r="K33" i="1"/>
  <c r="K31" i="1"/>
  <c r="M27" i="1" l="1"/>
  <c r="L35" i="1"/>
  <c r="L41" i="1" s="1"/>
  <c r="L40" i="1"/>
  <c r="L29" i="1"/>
  <c r="L30" i="1" s="1"/>
  <c r="L33" i="1" s="1"/>
  <c r="I37" i="1"/>
  <c r="J34" i="1"/>
  <c r="J38" i="1"/>
  <c r="J39" i="1" s="1"/>
  <c r="J43" i="1" s="1"/>
  <c r="J37" i="1"/>
  <c r="K36" i="1"/>
  <c r="K34" i="1"/>
  <c r="M42" i="1"/>
  <c r="M29" i="1"/>
  <c r="M30" i="1" s="1"/>
  <c r="M35" i="1"/>
  <c r="M41" i="1" s="1"/>
  <c r="N27" i="1"/>
  <c r="M40" i="1"/>
  <c r="L31" i="1" l="1"/>
  <c r="M33" i="1"/>
  <c r="M31" i="1"/>
  <c r="L36" i="1"/>
  <c r="L34" i="1"/>
  <c r="N42" i="1"/>
  <c r="N29" i="1"/>
  <c r="N30" i="1" s="1"/>
  <c r="N35" i="1"/>
  <c r="N41" i="1" s="1"/>
  <c r="N40" i="1"/>
  <c r="K38" i="1"/>
  <c r="K39" i="1" s="1"/>
  <c r="K43" i="1" s="1"/>
  <c r="K37" i="1"/>
  <c r="N31" i="1" l="1"/>
  <c r="N33" i="1"/>
  <c r="L38" i="1"/>
  <c r="L39" i="1"/>
  <c r="L43" i="1" s="1"/>
  <c r="L37" i="1"/>
  <c r="M36" i="1"/>
  <c r="M34" i="1"/>
  <c r="M38" i="1" l="1"/>
  <c r="M39" i="1"/>
  <c r="M43" i="1" s="1"/>
  <c r="M37" i="1"/>
  <c r="N36" i="1"/>
  <c r="N34" i="1"/>
  <c r="N37" i="1" l="1"/>
  <c r="N38" i="1"/>
  <c r="N39" i="1" s="1"/>
  <c r="N43" i="1" s="1"/>
  <c r="P43" i="1" l="1"/>
  <c r="H48" i="1" s="1"/>
  <c r="H49" i="1" s="1"/>
  <c r="F59" i="1"/>
  <c r="D59" i="1"/>
  <c r="C58" i="1"/>
  <c r="D58" i="1"/>
  <c r="F55" i="1"/>
  <c r="F58" i="1"/>
  <c r="E57" i="1"/>
  <c r="F56" i="1"/>
  <c r="C57" i="1"/>
  <c r="G57" i="1"/>
  <c r="D56" i="1"/>
  <c r="C56" i="1"/>
  <c r="F57" i="1"/>
  <c r="D57" i="1"/>
  <c r="C59" i="1"/>
  <c r="G59" i="1"/>
  <c r="D55" i="1"/>
  <c r="G58" i="1"/>
  <c r="E56" i="1"/>
  <c r="G56" i="1"/>
  <c r="G55" i="1"/>
  <c r="E59" i="1"/>
  <c r="E55" i="1"/>
  <c r="C55" i="1"/>
  <c r="E58" i="1"/>
  <c r="H46" i="1"/>
  <c r="H47" i="1" s="1"/>
  <c r="H50" i="1" s="1"/>
  <c r="C5" i="3" s="1"/>
  <c r="C11" i="3" s="1"/>
  <c r="C14" i="3" s="1"/>
  <c r="C17" i="3" s="1"/>
  <c r="L57" i="1" l="1"/>
  <c r="L4" i="5" s="1"/>
  <c r="J59" i="1"/>
  <c r="L59" i="1"/>
  <c r="J4" i="5" s="1"/>
  <c r="K57" i="1"/>
  <c r="M58" i="1"/>
  <c r="L56" i="1"/>
  <c r="L55" i="1"/>
  <c r="M57" i="1"/>
  <c r="M55" i="1"/>
  <c r="N55" i="1"/>
  <c r="N56" i="1"/>
  <c r="J56" i="1"/>
  <c r="K58" i="1"/>
  <c r="K56" i="1"/>
  <c r="N58" i="1"/>
  <c r="K59" i="1"/>
  <c r="J58" i="1"/>
  <c r="N57" i="1"/>
  <c r="K55" i="1"/>
  <c r="J57" i="1"/>
  <c r="M59" i="1"/>
  <c r="L58" i="1"/>
  <c r="J55" i="1"/>
  <c r="N59" i="1"/>
  <c r="M56" i="1"/>
  <c r="J9" i="5" l="1"/>
  <c r="K4" i="5"/>
</calcChain>
</file>

<file path=xl/sharedStrings.xml><?xml version="1.0" encoding="utf-8"?>
<sst xmlns="http://schemas.openxmlformats.org/spreadsheetml/2006/main" count="211" uniqueCount="125">
  <si>
    <t>Assumptions and important ratios</t>
  </si>
  <si>
    <t>Tax rate:</t>
  </si>
  <si>
    <t>LT growth rate</t>
  </si>
  <si>
    <t>Revenue growth rate</t>
  </si>
  <si>
    <t>COGS / Revenue</t>
  </si>
  <si>
    <t>General Cost growth rate</t>
  </si>
  <si>
    <t>WACC</t>
  </si>
  <si>
    <t>Annual Capex / Revenue</t>
  </si>
  <si>
    <t>Avg delta NWC</t>
  </si>
  <si>
    <t>Valuation date</t>
  </si>
  <si>
    <t>Assumptions (you can instead always use analyst FC)</t>
  </si>
  <si>
    <t>Average</t>
  </si>
  <si>
    <t>Revenue growth rate (historical)</t>
  </si>
  <si>
    <t>COGS / Revenue growth rate</t>
  </si>
  <si>
    <t>SG&amp;A / Revenue</t>
  </si>
  <si>
    <t>CapEx / Revenue</t>
  </si>
  <si>
    <t>Depreciation / Revenue</t>
  </si>
  <si>
    <t>Depreciation / CapEx</t>
  </si>
  <si>
    <t>delta NWC / Revenue</t>
  </si>
  <si>
    <t>Free Cash Flow Calculation</t>
  </si>
  <si>
    <t>Historical</t>
  </si>
  <si>
    <t>Forecast</t>
  </si>
  <si>
    <t>TV</t>
  </si>
  <si>
    <t>In EURm</t>
  </si>
  <si>
    <t>…</t>
  </si>
  <si>
    <t>X</t>
  </si>
  <si>
    <t>year</t>
  </si>
  <si>
    <t>2026E</t>
  </si>
  <si>
    <t>2027E</t>
  </si>
  <si>
    <t>2028E</t>
  </si>
  <si>
    <t>2029E</t>
  </si>
  <si>
    <t>2030E</t>
  </si>
  <si>
    <t>2031E</t>
  </si>
  <si>
    <t>2032E</t>
  </si>
  <si>
    <t>Revenue</t>
  </si>
  <si>
    <t>Revenue Growth (in %)</t>
  </si>
  <si>
    <t>COGS</t>
  </si>
  <si>
    <t>Gross Profit</t>
  </si>
  <si>
    <t>Gross Profit as % of Revenue</t>
  </si>
  <si>
    <t>SG&amp;A</t>
  </si>
  <si>
    <t>EBITDA</t>
  </si>
  <si>
    <t>EBITDA % margin</t>
  </si>
  <si>
    <t>Depreciation</t>
  </si>
  <si>
    <t>EBIT</t>
  </si>
  <si>
    <t>EBIT % margin</t>
  </si>
  <si>
    <t>Taxes paid</t>
  </si>
  <si>
    <t>Net Income</t>
  </si>
  <si>
    <t>CapEx</t>
  </si>
  <si>
    <t>delta Net Working Capital</t>
  </si>
  <si>
    <t>Free Cash Flow</t>
  </si>
  <si>
    <t>Discounted CF</t>
  </si>
  <si>
    <t>Sum of discounted CF</t>
  </si>
  <si>
    <t>Terminal value</t>
  </si>
  <si>
    <t>Discounted TV</t>
  </si>
  <si>
    <t>Firm Value</t>
  </si>
  <si>
    <t>Firm value sensitivity analysis</t>
  </si>
  <si>
    <t>Equity value sensitivity analysis</t>
  </si>
  <si>
    <t>WACC / LTG</t>
  </si>
  <si>
    <t>Cost of Equity:</t>
  </si>
  <si>
    <t>Peer group (adjusted) Betas</t>
  </si>
  <si>
    <t>Net debt</t>
  </si>
  <si>
    <t>Tax-rate</t>
  </si>
  <si>
    <t>Equity</t>
  </si>
  <si>
    <t>D/E</t>
  </si>
  <si>
    <t>Unlevered Beta</t>
  </si>
  <si>
    <t>Risk-free rate</t>
  </si>
  <si>
    <t>Equity market premium (Germany):</t>
  </si>
  <si>
    <t>Debt / Capital Ratio</t>
  </si>
  <si>
    <t>Peer average</t>
  </si>
  <si>
    <t>Re-levered beta:</t>
  </si>
  <si>
    <t>Cost of Equity (CAPM):</t>
  </si>
  <si>
    <t xml:space="preserve">Cost of Debt: </t>
  </si>
  <si>
    <t>CDS spread (?Y)</t>
  </si>
  <si>
    <t>Pre-tax cost of debt</t>
  </si>
  <si>
    <t>Tax rate</t>
  </si>
  <si>
    <t>After-tax cost of debt</t>
  </si>
  <si>
    <t>WACC:</t>
  </si>
  <si>
    <t>Equity market value</t>
  </si>
  <si>
    <t>Net debt incl. EV adj.</t>
  </si>
  <si>
    <t>Debt / Capital</t>
  </si>
  <si>
    <t>Equity / Capital</t>
  </si>
  <si>
    <t>Target D/E</t>
  </si>
  <si>
    <t>Equity Bridge:</t>
  </si>
  <si>
    <t>+ Cash &amp; Securities</t>
  </si>
  <si>
    <t>- Debt</t>
  </si>
  <si>
    <t>- Pensions</t>
  </si>
  <si>
    <t>- Minority Interest</t>
  </si>
  <si>
    <t>- Value of Preferred Stocks</t>
  </si>
  <si>
    <t>Equity Value</t>
  </si>
  <si>
    <t>Number of outstanding shares (in m)</t>
  </si>
  <si>
    <t>Implied share price</t>
  </si>
  <si>
    <t>Current share price (30.06.2026)</t>
  </si>
  <si>
    <t>Implied upside</t>
  </si>
  <si>
    <t>Financial Data</t>
  </si>
  <si>
    <t>Valuation</t>
  </si>
  <si>
    <t>EV</t>
  </si>
  <si>
    <t>EV/EBITDA</t>
  </si>
  <si>
    <t>EV/Revenue</t>
  </si>
  <si>
    <t>EV/EBIT</t>
  </si>
  <si>
    <t>Company Name</t>
  </si>
  <si>
    <t>(€M)</t>
  </si>
  <si>
    <t>x</t>
  </si>
  <si>
    <t>LFY</t>
  </si>
  <si>
    <t>LTM</t>
  </si>
  <si>
    <t>FY+1</t>
  </si>
  <si>
    <t>FY+2</t>
  </si>
  <si>
    <t>Daimler Truck</t>
  </si>
  <si>
    <t>Volvo (EUR)</t>
  </si>
  <si>
    <t>Implied Enterprise value</t>
  </si>
  <si>
    <t>Traton</t>
  </si>
  <si>
    <t>Comparison: Company vs. Peer Group</t>
  </si>
  <si>
    <t>Quartile 1</t>
  </si>
  <si>
    <t>Median</t>
  </si>
  <si>
    <t>Quartile 3</t>
  </si>
  <si>
    <t xml:space="preserve">Valuation </t>
  </si>
  <si>
    <t xml:space="preserve">low </t>
  </si>
  <si>
    <t>diff</t>
  </si>
  <si>
    <t xml:space="preserve">high </t>
  </si>
  <si>
    <t>DCF (WACC base to +2%, g base)</t>
  </si>
  <si>
    <t>EV/EBITDA (FY+1, peer Q1-Q3)</t>
  </si>
  <si>
    <t>EV/Revenue (FY+1, peer Q1-Q3)</t>
  </si>
  <si>
    <t>EV/EBIT (FY+1, peer Q1-Q3)</t>
  </si>
  <si>
    <t>Current price (30.06.2026)</t>
  </si>
  <si>
    <t>Blended fair value (avg midpoint)</t>
  </si>
  <si>
    <t xml:space="preserve">Ev/Ebit non relevant D&amp;A volatile, restructuration expenses due to carve 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</si>
</sst>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_-* #,##0_-;\(#,##0\)_-;_-* &quot;-&quot;_-;_-@_-"/>
    <numFmt numFmtId="165" formatCode="_-* #,##0.0_-;\(#,##0.0\)_-;_-* &quot;-&quot;_-;_-@_-"/>
    <numFmt numFmtId="166" formatCode="_-* #,##0.00_-;\(#,##0.00\)_-;_-* &quot;-&quot;_-;_-@_-"/>
    <numFmt numFmtId="167" formatCode="0.000"/>
    <numFmt numFmtId="168" formatCode="#,##0.000_);\(#,##0.000\)"/>
    <numFmt numFmtId="169" formatCode="_-* #,##0.00\ &quot;€&quot;_-;\-* #,##0.00\ &quot;€&quot;_-;_-* &quot;-&quot;??\ &quot;€&quot;_-;_-@_-"/>
    <numFmt numFmtId="170" formatCode="0.0%"/>
    <numFmt numFmtId="171" formatCode="_-* #,##0.00\ _€_-;\-* #,##0.00\ _€_-;_-* &quot;-&quot;??\ _€_-;_-@_-"/>
    <numFmt numFmtId="172" formatCode="0.00\x"/>
    <numFmt numFmtId="173" formatCode="0.0\x"/>
    <numFmt numFmtId="174" formatCode="#,##0.00_);\(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</font>
    <font>
      <i/>
      <sz val="10"/>
      <color theme="1"/>
      <name val="Calibri"/>
      <family val="2"/>
      <scheme val="minor"/>
    </font>
    <font>
      <sz val="11"/>
      <name val="Calibri Light"/>
      <family val="2"/>
      <scheme val="major"/>
    </font>
    <font>
      <b/>
      <sz val="11"/>
      <name val="Calibri Light"/>
      <family val="2"/>
      <scheme val="major"/>
    </font>
    <font>
      <i/>
      <sz val="9"/>
      <name val="Calibri Light"/>
      <family val="2"/>
      <scheme val="major"/>
    </font>
    <font>
      <i/>
      <sz val="9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89999084444715716"/>
        <bgColor indexed="64"/>
      </patternFill>
    </fill>
    <fill>
      <patternFill patternType="solid">
        <fgColor theme="9" tint="0.749992370372631"/>
        <bgColor indexed="64"/>
      </patternFill>
    </fill>
    <fill>
      <patternFill patternType="solid">
        <fgColor rgb="FFF0F7E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/>
    <xf numFmtId="44" fontId="1" fillId="0" borderId="0"/>
    <xf numFmtId="9" fontId="1" fillId="0" borderId="0"/>
  </cellStyleXfs>
  <cellXfs count="203">
    <xf numFmtId="0" fontId="0" fillId="0" borderId="0" xfId="0"/>
    <xf numFmtId="0" fontId="0" fillId="2" borderId="0" xfId="0" applyFill="1"/>
    <xf numFmtId="164" fontId="11" fillId="2" borderId="1" xfId="1" applyNumberFormat="1" applyFont="1" applyFill="1" applyBorder="1"/>
    <xf numFmtId="164" fontId="6" fillId="2" borderId="1" xfId="1" applyNumberFormat="1" applyFont="1" applyFill="1" applyBorder="1"/>
    <xf numFmtId="164" fontId="6" fillId="2" borderId="0" xfId="1" quotePrefix="1" applyNumberFormat="1" applyFont="1" applyFill="1"/>
    <xf numFmtId="164" fontId="6" fillId="2" borderId="0" xfId="1" applyNumberFormat="1" applyFont="1" applyFill="1"/>
    <xf numFmtId="164" fontId="3" fillId="2" borderId="0" xfId="1" applyNumberFormat="1" applyFont="1" applyFill="1"/>
    <xf numFmtId="164" fontId="3" fillId="2" borderId="0" xfId="1" applyNumberFormat="1" applyFont="1" applyFill="1" applyAlignment="1">
      <alignment horizontal="center"/>
    </xf>
    <xf numFmtId="164" fontId="6" fillId="2" borderId="5" xfId="1" applyNumberFormat="1" applyFont="1" applyFill="1" applyBorder="1"/>
    <xf numFmtId="164" fontId="6" fillId="2" borderId="5" xfId="1" quotePrefix="1" applyNumberFormat="1" applyFont="1" applyFill="1" applyBorder="1"/>
    <xf numFmtId="165" fontId="6" fillId="2" borderId="0" xfId="1" applyNumberFormat="1" applyFont="1" applyFill="1"/>
    <xf numFmtId="166" fontId="6" fillId="2" borderId="0" xfId="1" applyNumberFormat="1" applyFont="1" applyFill="1"/>
    <xf numFmtId="0" fontId="9" fillId="2" borderId="3" xfId="0" applyFont="1" applyFill="1" applyBorder="1"/>
    <xf numFmtId="2" fontId="9" fillId="2" borderId="0" xfId="0" applyNumberFormat="1" applyFont="1" applyFill="1"/>
    <xf numFmtId="0" fontId="9" fillId="2" borderId="0" xfId="0" applyFont="1" applyFill="1"/>
    <xf numFmtId="9" fontId="9" fillId="2" borderId="0" xfId="3" applyFont="1" applyFill="1"/>
    <xf numFmtId="0" fontId="9" fillId="2" borderId="7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167" fontId="9" fillId="2" borderId="3" xfId="0" applyNumberFormat="1" applyFont="1" applyFill="1" applyBorder="1"/>
    <xf numFmtId="167" fontId="0" fillId="2" borderId="0" xfId="0" applyNumberFormat="1" applyFill="1"/>
    <xf numFmtId="0" fontId="8" fillId="2" borderId="2" xfId="0" applyFont="1" applyFill="1" applyBorder="1"/>
    <xf numFmtId="0" fontId="8" fillId="2" borderId="8" xfId="0" applyFont="1" applyFill="1" applyBorder="1"/>
    <xf numFmtId="168" fontId="10" fillId="2" borderId="3" xfId="0" applyNumberFormat="1" applyFont="1" applyFill="1" applyBorder="1" applyAlignment="1">
      <alignment horizontal="right"/>
    </xf>
    <xf numFmtId="169" fontId="9" fillId="2" borderId="0" xfId="2" applyNumberFormat="1" applyFont="1" applyFill="1"/>
    <xf numFmtId="3" fontId="9" fillId="2" borderId="3" xfId="0" applyNumberFormat="1" applyFont="1" applyFill="1" applyBorder="1"/>
    <xf numFmtId="170" fontId="9" fillId="2" borderId="3" xfId="0" applyNumberFormat="1" applyFont="1" applyFill="1" applyBorder="1"/>
    <xf numFmtId="0" fontId="9" fillId="2" borderId="11" xfId="0" applyFont="1" applyFill="1" applyBorder="1"/>
    <xf numFmtId="168" fontId="10" fillId="2" borderId="12" xfId="0" applyNumberFormat="1" applyFont="1" applyFill="1" applyBorder="1" applyAlignment="1">
      <alignment horizontal="right"/>
    </xf>
    <xf numFmtId="169" fontId="9" fillId="2" borderId="13" xfId="2" applyNumberFormat="1" applyFont="1" applyFill="1" applyBorder="1"/>
    <xf numFmtId="9" fontId="9" fillId="2" borderId="11" xfId="3" applyFont="1" applyFill="1" applyBorder="1"/>
    <xf numFmtId="167" fontId="9" fillId="2" borderId="0" xfId="0" applyNumberFormat="1" applyFont="1" applyFill="1"/>
    <xf numFmtId="167" fontId="8" fillId="2" borderId="0" xfId="0" applyNumberFormat="1" applyFont="1" applyFill="1"/>
    <xf numFmtId="0" fontId="9" fillId="2" borderId="4" xfId="0" applyFont="1" applyFill="1" applyBorder="1"/>
    <xf numFmtId="0" fontId="9" fillId="3" borderId="10" xfId="0" applyFont="1" applyFill="1" applyBorder="1"/>
    <xf numFmtId="0" fontId="9" fillId="3" borderId="9" xfId="0" applyFont="1" applyFill="1" applyBorder="1"/>
    <xf numFmtId="170" fontId="8" fillId="2" borderId="2" xfId="3" applyNumberFormat="1" applyFont="1" applyFill="1" applyBorder="1" applyAlignment="1">
      <alignment horizontal="right"/>
    </xf>
    <xf numFmtId="0" fontId="2" fillId="2" borderId="1" xfId="0" applyFont="1" applyFill="1" applyBorder="1"/>
    <xf numFmtId="0" fontId="0" fillId="2" borderId="1" xfId="0" applyFill="1" applyBorder="1"/>
    <xf numFmtId="170" fontId="9" fillId="2" borderId="0" xfId="0" applyNumberFormat="1" applyFont="1" applyFill="1"/>
    <xf numFmtId="0" fontId="8" fillId="2" borderId="0" xfId="0" applyFont="1" applyFill="1"/>
    <xf numFmtId="0" fontId="9" fillId="2" borderId="2" xfId="0" applyFont="1" applyFill="1" applyBorder="1"/>
    <xf numFmtId="43" fontId="9" fillId="2" borderId="1" xfId="1" applyFont="1" applyFill="1" applyBorder="1"/>
    <xf numFmtId="170" fontId="9" fillId="2" borderId="0" xfId="3" applyNumberFormat="1" applyFont="1" applyFill="1"/>
    <xf numFmtId="43" fontId="9" fillId="2" borderId="0" xfId="1" applyFont="1" applyFill="1"/>
    <xf numFmtId="10" fontId="9" fillId="2" borderId="0" xfId="3" applyNumberFormat="1" applyFont="1" applyFill="1"/>
    <xf numFmtId="43" fontId="0" fillId="2" borderId="0" xfId="1" applyFont="1" applyFill="1"/>
    <xf numFmtId="43" fontId="9" fillId="2" borderId="0" xfId="0" applyNumberFormat="1" applyFont="1" applyFill="1"/>
    <xf numFmtId="171" fontId="9" fillId="2" borderId="0" xfId="0" applyNumberFormat="1" applyFont="1" applyFill="1"/>
    <xf numFmtId="171" fontId="0" fillId="2" borderId="0" xfId="0" applyNumberFormat="1" applyFill="1"/>
    <xf numFmtId="164" fontId="4" fillId="2" borderId="0" xfId="1" applyNumberFormat="1" applyFont="1" applyFill="1"/>
    <xf numFmtId="164" fontId="5" fillId="2" borderId="0" xfId="1" applyNumberFormat="1" applyFont="1" applyFill="1"/>
    <xf numFmtId="170" fontId="7" fillId="3" borderId="0" xfId="3" applyNumberFormat="1" applyFont="1" applyFill="1"/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9" fillId="3" borderId="1" xfId="0" applyFont="1" applyFill="1" applyBorder="1"/>
    <xf numFmtId="0" fontId="8" fillId="2" borderId="0" xfId="0" applyFont="1" applyFill="1" applyAlignment="1">
      <alignment horizontal="right"/>
    </xf>
    <xf numFmtId="0" fontId="9" fillId="3" borderId="3" xfId="0" applyFont="1" applyFill="1" applyBorder="1"/>
    <xf numFmtId="43" fontId="9" fillId="3" borderId="0" xfId="1" applyFont="1" applyFill="1"/>
    <xf numFmtId="0" fontId="8" fillId="3" borderId="0" xfId="0" applyFont="1" applyFill="1"/>
    <xf numFmtId="43" fontId="8" fillId="3" borderId="0" xfId="0" applyNumberFormat="1" applyFont="1" applyFill="1"/>
    <xf numFmtId="164" fontId="3" fillId="3" borderId="5" xfId="1" applyNumberFormat="1" applyFont="1" applyFill="1" applyBorder="1"/>
    <xf numFmtId="0" fontId="9" fillId="2" borderId="8" xfId="0" applyFont="1" applyFill="1" applyBorder="1"/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13" fillId="2" borderId="0" xfId="0" applyFont="1" applyFill="1" applyAlignment="1">
      <alignment horizontal="centerContinuous" vertical="center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centerContinuous" vertical="center"/>
    </xf>
    <xf numFmtId="11" fontId="14" fillId="2" borderId="0" xfId="0" applyNumberFormat="1" applyFont="1" applyFill="1" applyAlignment="1">
      <alignment horizontal="centerContinuous" vertical="center"/>
    </xf>
    <xf numFmtId="0" fontId="9" fillId="3" borderId="8" xfId="0" applyFont="1" applyFill="1" applyBorder="1"/>
    <xf numFmtId="43" fontId="9" fillId="2" borderId="8" xfId="1" applyFont="1" applyFill="1" applyBorder="1"/>
    <xf numFmtId="170" fontId="9" fillId="2" borderId="7" xfId="3" applyNumberFormat="1" applyFont="1" applyFill="1" applyBorder="1"/>
    <xf numFmtId="43" fontId="9" fillId="2" borderId="7" xfId="1" applyFont="1" applyFill="1" applyBorder="1"/>
    <xf numFmtId="43" fontId="9" fillId="3" borderId="7" xfId="1" applyFont="1" applyFill="1" applyBorder="1"/>
    <xf numFmtId="168" fontId="10" fillId="2" borderId="0" xfId="0" applyNumberFormat="1" applyFont="1" applyFill="1" applyAlignment="1">
      <alignment horizontal="right"/>
    </xf>
    <xf numFmtId="168" fontId="10" fillId="2" borderId="11" xfId="0" applyNumberFormat="1" applyFont="1" applyFill="1" applyBorder="1" applyAlignment="1">
      <alignment horizontal="right"/>
    </xf>
    <xf numFmtId="2" fontId="9" fillId="2" borderId="3" xfId="0" applyNumberFormat="1" applyFont="1" applyFill="1" applyBorder="1"/>
    <xf numFmtId="0" fontId="15" fillId="4" borderId="15" xfId="0" applyFont="1" applyFill="1" applyBorder="1" applyAlignment="1">
      <alignment horizontal="right" vertical="center"/>
    </xf>
    <xf numFmtId="0" fontId="15" fillId="4" borderId="4" xfId="0" applyFont="1" applyFill="1" applyBorder="1" applyAlignment="1">
      <alignment horizontal="centerContinuous" vertical="center"/>
    </xf>
    <xf numFmtId="0" fontId="15" fillId="4" borderId="5" xfId="0" applyFont="1" applyFill="1" applyBorder="1" applyAlignment="1">
      <alignment horizontal="centerContinuous" vertical="center"/>
    </xf>
    <xf numFmtId="0" fontId="15" fillId="4" borderId="6" xfId="0" applyFont="1" applyFill="1" applyBorder="1" applyAlignment="1">
      <alignment horizontal="centerContinuous" vertical="center"/>
    </xf>
    <xf numFmtId="0" fontId="15" fillId="4" borderId="0" xfId="0" applyFont="1" applyFill="1" applyAlignment="1">
      <alignment horizontal="centerContinuous" vertical="center"/>
    </xf>
    <xf numFmtId="0" fontId="15" fillId="4" borderId="3" xfId="0" applyFont="1" applyFill="1" applyBorder="1" applyAlignment="1">
      <alignment horizontal="centerContinuous" vertical="center"/>
    </xf>
    <xf numFmtId="11" fontId="15" fillId="4" borderId="5" xfId="0" applyNumberFormat="1" applyFont="1" applyFill="1" applyBorder="1" applyAlignment="1">
      <alignment horizontal="centerContinuous" vertical="center"/>
    </xf>
    <xf numFmtId="11" fontId="15" fillId="4" borderId="6" xfId="0" applyNumberFormat="1" applyFont="1" applyFill="1" applyBorder="1" applyAlignment="1">
      <alignment horizontal="centerContinuous" vertical="center"/>
    </xf>
    <xf numFmtId="0" fontId="15" fillId="5" borderId="4" xfId="0" applyFont="1" applyFill="1" applyBorder="1" applyAlignment="1">
      <alignment horizontal="centerContinuous" vertical="center"/>
    </xf>
    <xf numFmtId="0" fontId="15" fillId="5" borderId="5" xfId="0" applyFont="1" applyFill="1" applyBorder="1" applyAlignment="1">
      <alignment horizontal="centerContinuous" vertical="center"/>
    </xf>
    <xf numFmtId="0" fontId="15" fillId="5" borderId="6" xfId="0" applyFont="1" applyFill="1" applyBorder="1" applyAlignment="1">
      <alignment horizontal="centerContinuous" vertical="center"/>
    </xf>
    <xf numFmtId="0" fontId="15" fillId="4" borderId="16" xfId="0" applyFont="1" applyFill="1" applyBorder="1" applyAlignment="1">
      <alignment horizontal="right" vertical="center"/>
    </xf>
    <xf numFmtId="0" fontId="15" fillId="4" borderId="8" xfId="0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right" vertical="center"/>
    </xf>
    <xf numFmtId="0" fontId="15" fillId="4" borderId="2" xfId="0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right" vertical="center"/>
    </xf>
    <xf numFmtId="0" fontId="15" fillId="5" borderId="2" xfId="0" applyFont="1" applyFill="1" applyBorder="1" applyAlignment="1">
      <alignment horizontal="right" vertical="center"/>
    </xf>
    <xf numFmtId="0" fontId="15" fillId="5" borderId="8" xfId="0" applyFont="1" applyFill="1" applyBorder="1" applyAlignment="1">
      <alignment horizontal="right" vertical="center"/>
    </xf>
    <xf numFmtId="172" fontId="9" fillId="2" borderId="4" xfId="0" applyNumberFormat="1" applyFont="1" applyFill="1" applyBorder="1" applyAlignment="1">
      <alignment vertical="center"/>
    </xf>
    <xf numFmtId="172" fontId="9" fillId="2" borderId="5" xfId="0" applyNumberFormat="1" applyFont="1" applyFill="1" applyBorder="1" applyAlignment="1">
      <alignment vertical="center"/>
    </xf>
    <xf numFmtId="172" fontId="9" fillId="2" borderId="6" xfId="0" applyNumberFormat="1" applyFont="1" applyFill="1" applyBorder="1" applyAlignment="1">
      <alignment vertical="center"/>
    </xf>
    <xf numFmtId="3" fontId="16" fillId="2" borderId="0" xfId="0" applyNumberFormat="1" applyFont="1" applyFill="1" applyAlignment="1">
      <alignment vertical="center"/>
    </xf>
    <xf numFmtId="172" fontId="9" fillId="2" borderId="0" xfId="0" applyNumberFormat="1" applyFont="1" applyFill="1" applyAlignment="1">
      <alignment vertical="center"/>
    </xf>
    <xf numFmtId="172" fontId="9" fillId="2" borderId="3" xfId="0" applyNumberFormat="1" applyFont="1" applyFill="1" applyBorder="1" applyAlignment="1">
      <alignment vertical="center"/>
    </xf>
    <xf numFmtId="172" fontId="9" fillId="2" borderId="1" xfId="0" applyNumberFormat="1" applyFont="1" applyFill="1" applyBorder="1" applyAlignment="1">
      <alignment vertical="center"/>
    </xf>
    <xf numFmtId="172" fontId="9" fillId="2" borderId="2" xfId="0" applyNumberFormat="1" applyFont="1" applyFill="1" applyBorder="1" applyAlignment="1">
      <alignment vertical="center"/>
    </xf>
    <xf numFmtId="173" fontId="9" fillId="2" borderId="0" xfId="0" applyNumberFormat="1" applyFont="1" applyFill="1" applyAlignment="1">
      <alignment vertical="center"/>
    </xf>
    <xf numFmtId="0" fontId="17" fillId="4" borderId="4" xfId="0" applyFont="1" applyFill="1" applyBorder="1" applyAlignment="1">
      <alignment vertical="center"/>
    </xf>
    <xf numFmtId="0" fontId="17" fillId="4" borderId="5" xfId="0" applyFont="1" applyFill="1" applyBorder="1" applyAlignment="1">
      <alignment horizontal="centerContinuous" vertical="center"/>
    </xf>
    <xf numFmtId="0" fontId="18" fillId="5" borderId="5" xfId="0" applyFont="1" applyFill="1" applyBorder="1" applyAlignment="1">
      <alignment horizontal="centerContinuous" vertical="center"/>
    </xf>
    <xf numFmtId="0" fontId="18" fillId="5" borderId="14" xfId="0" applyFont="1" applyFill="1" applyBorder="1" applyAlignment="1">
      <alignment horizontal="centerContinuous" vertical="center"/>
    </xf>
    <xf numFmtId="0" fontId="17" fillId="5" borderId="14" xfId="0" applyFont="1" applyFill="1" applyBorder="1" applyAlignment="1">
      <alignment horizontal="centerContinuous" vertical="center"/>
    </xf>
    <xf numFmtId="0" fontId="17" fillId="5" borderId="9" xfId="0" applyFont="1" applyFill="1" applyBorder="1" applyAlignment="1">
      <alignment horizontal="centerContinuous" vertical="center"/>
    </xf>
    <xf numFmtId="0" fontId="18" fillId="4" borderId="7" xfId="0" applyFont="1" applyFill="1" applyBorder="1" applyAlignment="1">
      <alignment vertical="center"/>
    </xf>
    <xf numFmtId="0" fontId="18" fillId="4" borderId="15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Continuous" vertical="center"/>
    </xf>
    <xf numFmtId="0" fontId="18" fillId="5" borderId="1" xfId="0" applyFont="1" applyFill="1" applyBorder="1" applyAlignment="1">
      <alignment horizontal="centerContinuous" vertical="center"/>
    </xf>
    <xf numFmtId="0" fontId="18" fillId="5" borderId="2" xfId="0" applyFont="1" applyFill="1" applyBorder="1" applyAlignment="1">
      <alignment horizontal="centerContinuous" vertical="center"/>
    </xf>
    <xf numFmtId="0" fontId="18" fillId="5" borderId="8" xfId="0" applyFont="1" applyFill="1" applyBorder="1" applyAlignment="1">
      <alignment horizontal="centerContinuous" vertical="center"/>
    </xf>
    <xf numFmtId="0" fontId="17" fillId="5" borderId="4" xfId="0" applyFont="1" applyFill="1" applyBorder="1" applyAlignment="1">
      <alignment horizontal="centerContinuous" vertical="center"/>
    </xf>
    <xf numFmtId="0" fontId="17" fillId="5" borderId="5" xfId="0" applyFont="1" applyFill="1" applyBorder="1" applyAlignment="1">
      <alignment horizontal="centerContinuous" vertical="center"/>
    </xf>
    <xf numFmtId="0" fontId="17" fillId="5" borderId="6" xfId="0" applyFont="1" applyFill="1" applyBorder="1" applyAlignment="1">
      <alignment horizontal="centerContinuous" vertical="center"/>
    </xf>
    <xf numFmtId="0" fontId="18" fillId="4" borderId="8" xfId="0" applyFont="1" applyFill="1" applyBorder="1" applyAlignment="1">
      <alignment vertical="center"/>
    </xf>
    <xf numFmtId="0" fontId="18" fillId="4" borderId="1" xfId="0" applyFont="1" applyFill="1" applyBorder="1" applyAlignment="1">
      <alignment horizontal="centerContinuous" vertical="center"/>
    </xf>
    <xf numFmtId="0" fontId="17" fillId="4" borderId="7" xfId="0" applyFont="1" applyFill="1" applyBorder="1" applyAlignment="1">
      <alignment vertical="center"/>
    </xf>
    <xf numFmtId="0" fontId="18" fillId="4" borderId="8" xfId="0" applyFont="1" applyFill="1" applyBorder="1" applyAlignment="1">
      <alignment horizontal="centerContinuous" vertical="center"/>
    </xf>
    <xf numFmtId="0" fontId="18" fillId="4" borderId="2" xfId="0" applyFont="1" applyFill="1" applyBorder="1" applyAlignment="1">
      <alignment horizontal="centerContinuous" vertical="center"/>
    </xf>
    <xf numFmtId="0" fontId="17" fillId="4" borderId="8" xfId="0" applyFont="1" applyFill="1" applyBorder="1" applyAlignment="1">
      <alignment vertical="center"/>
    </xf>
    <xf numFmtId="169" fontId="9" fillId="2" borderId="11" xfId="2" applyNumberFormat="1" applyFont="1" applyFill="1" applyBorder="1"/>
    <xf numFmtId="0" fontId="0" fillId="2" borderId="7" xfId="0" applyFill="1" applyBorder="1"/>
    <xf numFmtId="0" fontId="9" fillId="2" borderId="0" xfId="0" applyFont="1" applyFill="1" applyAlignment="1">
      <alignment horizontal="center"/>
    </xf>
    <xf numFmtId="10" fontId="9" fillId="2" borderId="0" xfId="0" applyNumberFormat="1" applyFont="1" applyFill="1"/>
    <xf numFmtId="0" fontId="9" fillId="2" borderId="0" xfId="0" applyFont="1" applyFill="1" applyAlignment="1">
      <alignment horizontal="right"/>
    </xf>
    <xf numFmtId="0" fontId="8" fillId="2" borderId="0" xfId="0" applyFont="1" applyFill="1" applyAlignment="1">
      <alignment horizontal="left"/>
    </xf>
    <xf numFmtId="0" fontId="9" fillId="3" borderId="1" xfId="0" applyFont="1" applyFill="1" applyBorder="1" applyAlignment="1">
      <alignment horizontal="right"/>
    </xf>
    <xf numFmtId="164" fontId="3" fillId="3" borderId="14" xfId="1" applyNumberFormat="1" applyFont="1" applyFill="1" applyBorder="1" applyAlignment="1">
      <alignment horizontal="center"/>
    </xf>
    <xf numFmtId="0" fontId="9" fillId="0" borderId="3" xfId="0" applyFont="1" applyBorder="1"/>
    <xf numFmtId="43" fontId="9" fillId="0" borderId="0" xfId="1" applyFont="1"/>
    <xf numFmtId="0" fontId="9" fillId="6" borderId="0" xfId="0" applyFont="1" applyFill="1"/>
    <xf numFmtId="3" fontId="16" fillId="6" borderId="0" xfId="0" applyNumberFormat="1" applyFont="1" applyFill="1" applyAlignment="1">
      <alignment vertical="center"/>
    </xf>
    <xf numFmtId="0" fontId="8" fillId="6" borderId="17" xfId="0" applyFont="1" applyFill="1" applyBorder="1" applyAlignment="1">
      <alignment vertical="center"/>
    </xf>
    <xf numFmtId="0" fontId="8" fillId="6" borderId="15" xfId="0" applyFont="1" applyFill="1" applyBorder="1" applyAlignment="1">
      <alignment vertical="center"/>
    </xf>
    <xf numFmtId="0" fontId="8" fillId="6" borderId="18" xfId="0" applyFont="1" applyFill="1" applyBorder="1" applyAlignment="1">
      <alignment vertical="center"/>
    </xf>
    <xf numFmtId="0" fontId="8" fillId="6" borderId="16" xfId="0" applyFont="1" applyFill="1" applyBorder="1" applyAlignment="1">
      <alignment vertical="center"/>
    </xf>
    <xf numFmtId="0" fontId="8" fillId="6" borderId="0" xfId="0" applyFont="1" applyFill="1"/>
    <xf numFmtId="0" fontId="18" fillId="4" borderId="17" xfId="0" applyFont="1" applyFill="1" applyBorder="1" applyAlignment="1">
      <alignment horizontal="centerContinuous" vertical="center"/>
    </xf>
    <xf numFmtId="0" fontId="18" fillId="5" borderId="17" xfId="0" applyFont="1" applyFill="1" applyBorder="1" applyAlignment="1">
      <alignment horizontal="centerContinuous" vertical="center"/>
    </xf>
    <xf numFmtId="0" fontId="18" fillId="4" borderId="14" xfId="0" applyFont="1" applyFill="1" applyBorder="1" applyAlignment="1">
      <alignment horizontal="centerContinuous" vertical="center"/>
    </xf>
    <xf numFmtId="0" fontId="17" fillId="4" borderId="14" xfId="0" applyFont="1" applyFill="1" applyBorder="1" applyAlignment="1">
      <alignment horizontal="centerContinuous" vertical="center"/>
    </xf>
    <xf numFmtId="0" fontId="17" fillId="4" borderId="9" xfId="0" applyFont="1" applyFill="1" applyBorder="1" applyAlignment="1">
      <alignment horizontal="centerContinuous" vertical="center"/>
    </xf>
    <xf numFmtId="0" fontId="17" fillId="4" borderId="10" xfId="0" applyFont="1" applyFill="1" applyBorder="1" applyAlignment="1">
      <alignment horizontal="centerContinuous" vertical="center"/>
    </xf>
    <xf numFmtId="0" fontId="18" fillId="5" borderId="9" xfId="0" applyFont="1" applyFill="1" applyBorder="1" applyAlignment="1">
      <alignment horizontal="centerContinuous" vertical="center"/>
    </xf>
    <xf numFmtId="170" fontId="9" fillId="2" borderId="6" xfId="3" applyNumberFormat="1" applyFont="1" applyFill="1" applyBorder="1"/>
    <xf numFmtId="170" fontId="9" fillId="2" borderId="3" xfId="3" applyNumberFormat="1" applyFont="1" applyFill="1" applyBorder="1"/>
    <xf numFmtId="170" fontId="9" fillId="0" borderId="0" xfId="3" applyNumberFormat="1" applyFont="1"/>
    <xf numFmtId="170" fontId="9" fillId="0" borderId="7" xfId="3" applyNumberFormat="1" applyFont="1" applyBorder="1"/>
    <xf numFmtId="166" fontId="6" fillId="2" borderId="0" xfId="1" applyNumberFormat="1" applyFont="1" applyFill="1" applyAlignment="1">
      <alignment horizontal="center"/>
    </xf>
    <xf numFmtId="174" fontId="10" fillId="2" borderId="0" xfId="0" applyNumberFormat="1" applyFont="1" applyFill="1" applyAlignment="1">
      <alignment horizontal="right"/>
    </xf>
    <xf numFmtId="2" fontId="0" fillId="2" borderId="0" xfId="0" applyNumberFormat="1" applyFill="1"/>
    <xf numFmtId="4" fontId="17" fillId="2" borderId="5" xfId="0" applyNumberFormat="1" applyFont="1" applyFill="1" applyBorder="1" applyAlignment="1">
      <alignment vertical="center"/>
    </xf>
    <xf numFmtId="4" fontId="17" fillId="2" borderId="6" xfId="0" applyNumberFormat="1" applyFont="1" applyFill="1" applyBorder="1" applyAlignment="1">
      <alignment vertical="center"/>
    </xf>
    <xf numFmtId="4" fontId="17" fillId="2" borderId="0" xfId="0" applyNumberFormat="1" applyFont="1" applyFill="1" applyAlignment="1">
      <alignment vertical="center"/>
    </xf>
    <xf numFmtId="4" fontId="17" fillId="2" borderId="3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vertical="center"/>
    </xf>
    <xf numFmtId="4" fontId="17" fillId="2" borderId="2" xfId="0" applyNumberFormat="1" applyFont="1" applyFill="1" applyBorder="1" applyAlignment="1">
      <alignment vertical="center"/>
    </xf>
    <xf numFmtId="4" fontId="17" fillId="2" borderId="15" xfId="0" applyNumberFormat="1" applyFont="1" applyFill="1" applyBorder="1" applyAlignment="1">
      <alignment vertical="center"/>
    </xf>
    <xf numFmtId="4" fontId="17" fillId="2" borderId="18" xfId="0" applyNumberFormat="1" applyFont="1" applyFill="1" applyBorder="1" applyAlignment="1">
      <alignment vertical="center"/>
    </xf>
    <xf numFmtId="0" fontId="18" fillId="6" borderId="17" xfId="0" applyFont="1" applyFill="1" applyBorder="1" applyAlignment="1">
      <alignment horizontal="center" vertical="center"/>
    </xf>
    <xf numFmtId="2" fontId="9" fillId="2" borderId="14" xfId="0" applyNumberFormat="1" applyFont="1" applyFill="1" applyBorder="1"/>
    <xf numFmtId="2" fontId="9" fillId="2" borderId="9" xfId="0" applyNumberFormat="1" applyFont="1" applyFill="1" applyBorder="1"/>
    <xf numFmtId="172" fontId="9" fillId="2" borderId="14" xfId="0" applyNumberFormat="1" applyFont="1" applyFill="1" applyBorder="1" applyAlignment="1">
      <alignment vertical="center"/>
    </xf>
    <xf numFmtId="172" fontId="9" fillId="2" borderId="9" xfId="0" applyNumberFormat="1" applyFont="1" applyFill="1" applyBorder="1" applyAlignment="1">
      <alignment vertical="center"/>
    </xf>
    <xf numFmtId="2" fontId="9" fillId="2" borderId="17" xfId="0" applyNumberFormat="1" applyFont="1" applyFill="1" applyBorder="1"/>
    <xf numFmtId="2" fontId="9" fillId="2" borderId="18" xfId="0" applyNumberFormat="1" applyFont="1" applyFill="1" applyBorder="1"/>
    <xf numFmtId="2" fontId="9" fillId="2" borderId="16" xfId="0" applyNumberFormat="1" applyFont="1" applyFill="1" applyBorder="1"/>
    <xf numFmtId="4" fontId="17" fillId="2" borderId="16" xfId="0" applyNumberFormat="1" applyFont="1" applyFill="1" applyBorder="1" applyAlignment="1">
      <alignment vertical="center"/>
    </xf>
    <xf numFmtId="170" fontId="8" fillId="2" borderId="2" xfId="0" applyNumberFormat="1" applyFont="1" applyFill="1" applyBorder="1"/>
    <xf numFmtId="170" fontId="8" fillId="2" borderId="2" xfId="3" applyNumberFormat="1" applyFont="1" applyFill="1" applyBorder="1"/>
    <xf numFmtId="14" fontId="9" fillId="2" borderId="0" xfId="0" applyNumberFormat="1" applyFont="1" applyFill="1"/>
    <xf numFmtId="43" fontId="9" fillId="2" borderId="6" xfId="1" applyFont="1" applyFill="1" applyBorder="1"/>
    <xf numFmtId="166" fontId="0" fillId="2" borderId="0" xfId="0" applyNumberFormat="1" applyFill="1"/>
    <xf numFmtId="172" fontId="9" fillId="2" borderId="10" xfId="0" applyNumberFormat="1" applyFont="1" applyFill="1" applyBorder="1" applyAlignment="1">
      <alignment vertical="center"/>
    </xf>
    <xf numFmtId="2" fontId="9" fillId="2" borderId="6" xfId="0" applyNumberFormat="1" applyFont="1" applyFill="1" applyBorder="1"/>
    <xf numFmtId="2" fontId="9" fillId="2" borderId="8" xfId="0" applyNumberFormat="1" applyFont="1" applyFill="1" applyBorder="1"/>
    <xf numFmtId="2" fontId="9" fillId="2" borderId="2" xfId="0" applyNumberFormat="1" applyFont="1" applyFill="1" applyBorder="1"/>
    <xf numFmtId="2" fontId="9" fillId="2" borderId="1" xfId="0" applyNumberFormat="1" applyFont="1" applyFill="1" applyBorder="1"/>
    <xf numFmtId="2" fontId="9" fillId="2" borderId="10" xfId="0" applyNumberFormat="1" applyFont="1" applyFill="1" applyBorder="1"/>
    <xf numFmtId="2" fontId="9" fillId="2" borderId="15" xfId="0" applyNumberFormat="1" applyFont="1" applyFill="1" applyBorder="1"/>
    <xf numFmtId="4" fontId="17" fillId="2" borderId="17" xfId="0" applyNumberFormat="1" applyFont="1" applyFill="1" applyBorder="1" applyAlignment="1">
      <alignment vertical="center"/>
    </xf>
    <xf numFmtId="4" fontId="17" fillId="2" borderId="9" xfId="0" applyNumberFormat="1" applyFont="1" applyFill="1" applyBorder="1" applyAlignment="1">
      <alignment vertical="center"/>
    </xf>
    <xf numFmtId="2" fontId="9" fillId="2" borderId="3" xfId="0" applyNumberFormat="1" applyFont="1" applyFill="1" applyBorder="1" applyAlignment="1">
      <alignment horizontal="right"/>
    </xf>
    <xf numFmtId="172" fontId="9" fillId="2" borderId="8" xfId="0" applyNumberFormat="1" applyFont="1" applyFill="1" applyBorder="1" applyAlignment="1">
      <alignment vertical="center"/>
    </xf>
    <xf numFmtId="43" fontId="9" fillId="3" borderId="4" xfId="1" applyFont="1" applyFill="1" applyBorder="1"/>
    <xf numFmtId="43" fontId="9" fillId="3" borderId="5" xfId="1" applyFont="1" applyFill="1" applyBorder="1"/>
    <xf numFmtId="43" fontId="9" fillId="3" borderId="6" xfId="1" applyFont="1" applyFill="1" applyBorder="1"/>
    <xf numFmtId="0" fontId="0" fillId="2" borderId="5" xfId="0" applyFill="1" applyBorder="1"/>
    <xf numFmtId="0" fontId="2" fillId="2" borderId="0" xfId="0" applyFont="1" applyFill="1" applyAlignment="1">
      <alignment horizontal="right" vertical="center" textRotation="90"/>
    </xf>
    <xf numFmtId="0" fontId="0" fillId="2" borderId="0" xfId="0" applyFill="1"/>
    <xf numFmtId="0" fontId="13" fillId="2" borderId="0" xfId="0" applyFont="1" applyFill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0" fillId="0" borderId="14" xfId="0" applyBorder="1"/>
    <xf numFmtId="0" fontId="0" fillId="0" borderId="9" xfId="0" applyBorder="1"/>
    <xf numFmtId="0" fontId="18" fillId="4" borderId="5" xfId="0" applyFont="1" applyFill="1" applyBorder="1" applyAlignment="1">
      <alignment horizontal="center" vertical="center"/>
    </xf>
    <xf numFmtId="0" fontId="0" fillId="0" borderId="5" xfId="0" applyBorder="1"/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Football Field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'Football-Field'!$J$3</c:f>
              <c:strCache>
                <c:ptCount val="1"/>
                <c:pt idx="0">
                  <c:v>low 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9600" tIns="18000" rIns="39600" bIns="1800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'Football-Field'!$I$4:$I$7</c:f>
              <c:strCache>
                <c:ptCount val="4"/>
                <c:pt idx="0">
                  <c:v>DCF (WACC base to +2%, g base)</c:v>
                </c:pt>
                <c:pt idx="1">
                  <c:v>EV/EBITDA (FY+1, peer Q1-Q3)</c:v>
                </c:pt>
                <c:pt idx="2">
                  <c:v>EV/Revenue (FY+1, peer Q1-Q3)</c:v>
                </c:pt>
                <c:pt idx="3">
                  <c:v>EV/EBIT (FY+1, peer Q1-Q3)</c:v>
                </c:pt>
              </c:strCache>
            </c:strRef>
          </c:cat>
          <c:val>
            <c:numRef>
              <c:f>'Football-Field'!$J$4:$J$7</c:f>
              <c:numCache>
                <c:formatCode>0.00</c:formatCode>
                <c:ptCount val="4"/>
                <c:pt idx="0">
                  <c:v>76.426374487743118</c:v>
                </c:pt>
                <c:pt idx="1">
                  <c:v>54.108495789249851</c:v>
                </c:pt>
                <c:pt idx="2">
                  <c:v>49.013175692919795</c:v>
                </c:pt>
                <c:pt idx="3">
                  <c:v>33.727197529242936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4-5C42-BFA2-3C98BE192707}"/>
            </c:ext>
          </c:extLst>
        </c:ser>
        <c:ser>
          <c:idx val="1"/>
          <c:order val="1"/>
          <c:tx>
            <c:strRef>
              <c:f>'Football-Field'!$K$3</c:f>
              <c:strCache>
                <c:ptCount val="1"/>
                <c:pt idx="0">
                  <c:v>diff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'Football-Field'!$I$4:$I$7</c:f>
              <c:strCache>
                <c:ptCount val="4"/>
                <c:pt idx="0">
                  <c:v>DCF (WACC base to +2%, g base)</c:v>
                </c:pt>
                <c:pt idx="1">
                  <c:v>EV/EBITDA (FY+1, peer Q1-Q3)</c:v>
                </c:pt>
                <c:pt idx="2">
                  <c:v>EV/Revenue (FY+1, peer Q1-Q3)</c:v>
                </c:pt>
                <c:pt idx="3">
                  <c:v>EV/EBIT (FY+1, peer Q1-Q3)</c:v>
                </c:pt>
              </c:strCache>
            </c:strRef>
          </c:cat>
          <c:val>
            <c:numRef>
              <c:f>'Football-Field'!$K$4:$K$7</c:f>
              <c:numCache>
                <c:formatCode>0.00</c:formatCode>
                <c:ptCount val="4"/>
                <c:pt idx="0">
                  <c:v>37.93443663428674</c:v>
                </c:pt>
                <c:pt idx="1">
                  <c:v>16.42745639726305</c:v>
                </c:pt>
                <c:pt idx="2">
                  <c:v>35.820062040800117</c:v>
                </c:pt>
                <c:pt idx="3">
                  <c:v>13.289428679029882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4-5C42-BFA2-3C98BE192707}"/>
            </c:ext>
          </c:extLst>
        </c:ser>
        <c:ser>
          <c:idx val="2"/>
          <c:order val="2"/>
          <c:tx>
            <c:strRef>
              <c:f>'Football-Field'!$L$3</c:f>
              <c:strCache>
                <c:ptCount val="1"/>
                <c:pt idx="0">
                  <c:v>high 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'Football-Field'!$I$4:$I$7</c:f>
              <c:strCache>
                <c:ptCount val="4"/>
                <c:pt idx="0">
                  <c:v>DCF (WACC base to +2%, g base)</c:v>
                </c:pt>
                <c:pt idx="1">
                  <c:v>EV/EBITDA (FY+1, peer Q1-Q3)</c:v>
                </c:pt>
                <c:pt idx="2">
                  <c:v>EV/Revenue (FY+1, peer Q1-Q3)</c:v>
                </c:pt>
                <c:pt idx="3">
                  <c:v>EV/EBIT (FY+1, peer Q1-Q3)</c:v>
                </c:pt>
              </c:strCache>
            </c:strRef>
          </c:cat>
          <c:val>
            <c:numRef>
              <c:f>'Football-Field'!$L$4:$L$7</c:f>
              <c:numCache>
                <c:formatCode>0.00</c:formatCode>
                <c:ptCount val="4"/>
                <c:pt idx="0">
                  <c:v>114.36081112202986</c:v>
                </c:pt>
                <c:pt idx="1">
                  <c:v>70.535952186512901</c:v>
                </c:pt>
                <c:pt idx="2">
                  <c:v>84.833237733719912</c:v>
                </c:pt>
                <c:pt idx="3">
                  <c:v>47.016626208272818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A4-5C42-BFA2-3C98BE1927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42567920"/>
        <c:axId val="742572240"/>
      </c:barChart>
      <c:catAx>
        <c:axId val="74256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2572240"/>
        <c:crosses val="autoZero"/>
        <c:auto val="1"/>
        <c:lblAlgn val="ctr"/>
        <c:lblOffset val="700"/>
        <c:noMultiLvlLbl val="0"/>
      </c:catAx>
      <c:valAx>
        <c:axId val="742572240"/>
        <c:scaling>
          <c:orientation val="minMax"/>
          <c:max val="200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crossAx val="74256792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171450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4"/>
  <sheetViews>
    <sheetView topLeftCell="D18" zoomScale="150" zoomScaleNormal="100" workbookViewId="0">
      <selection activeCell="J28" sqref="J28"/>
    </sheetView>
  </sheetViews>
  <sheetFormatPr baseColWidth="10" defaultColWidth="11" defaultRowHeight="15" x14ac:dyDescent="0.2"/>
  <cols>
    <col min="1" max="1" width="11" style="1" customWidth="1"/>
    <col min="2" max="2" width="36.33203125" style="1" customWidth="1"/>
    <col min="3" max="6" width="17.5" style="1" customWidth="1"/>
    <col min="7" max="7" width="19.33203125" style="1" customWidth="1"/>
    <col min="8" max="22" width="17.5" style="1" customWidth="1"/>
    <col min="23" max="23" width="18.5" style="1" customWidth="1"/>
    <col min="24" max="24" width="11" style="1" customWidth="1"/>
    <col min="25" max="16384" width="11" style="1"/>
  </cols>
  <sheetData>
    <row r="1" spans="2:23" x14ac:dyDescent="0.2">
      <c r="B1" s="37"/>
      <c r="C1" s="38"/>
    </row>
    <row r="2" spans="2:23" x14ac:dyDescent="0.2">
      <c r="B2" s="17" t="s">
        <v>0</v>
      </c>
      <c r="C2" s="18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2:23" x14ac:dyDescent="0.2">
      <c r="B3" s="14" t="s">
        <v>1</v>
      </c>
      <c r="C3" s="39">
        <v>0.3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2:23" x14ac:dyDescent="0.2">
      <c r="B4" s="14" t="s">
        <v>2</v>
      </c>
      <c r="C4" s="39">
        <v>1.4999999999999999E-2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 spans="2:23" x14ac:dyDescent="0.2">
      <c r="B5" s="14" t="s">
        <v>3</v>
      </c>
      <c r="C5" s="39">
        <v>0.03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spans="2:23" x14ac:dyDescent="0.2">
      <c r="B6" s="14" t="s">
        <v>4</v>
      </c>
      <c r="C6" s="39">
        <v>0.75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2:23" x14ac:dyDescent="0.2">
      <c r="B7" s="14" t="s">
        <v>5</v>
      </c>
      <c r="C7" s="39">
        <v>0.03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2:23" x14ac:dyDescent="0.2">
      <c r="B8" s="14" t="s">
        <v>6</v>
      </c>
      <c r="C8" s="39">
        <f>WACC!C31</f>
        <v>6.0405776894078708E-2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2:23" x14ac:dyDescent="0.2">
      <c r="B9" s="14" t="s">
        <v>7</v>
      </c>
      <c r="C9" s="39">
        <v>0.06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2:23" x14ac:dyDescent="0.2">
      <c r="B10" s="14" t="s">
        <v>8</v>
      </c>
      <c r="C10" s="39">
        <v>0.01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2:23" x14ac:dyDescent="0.2">
      <c r="B11" s="14" t="s">
        <v>9</v>
      </c>
      <c r="C11" s="177">
        <v>46203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2:23" x14ac:dyDescent="0.2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2:23" x14ac:dyDescent="0.2">
      <c r="B13" s="21" t="s">
        <v>10</v>
      </c>
      <c r="C13" s="53">
        <v>2021</v>
      </c>
      <c r="D13" s="53">
        <v>2022</v>
      </c>
      <c r="E13" s="53">
        <v>2023</v>
      </c>
      <c r="F13" s="53">
        <v>2024</v>
      </c>
      <c r="G13" s="53">
        <v>2025</v>
      </c>
      <c r="H13" s="54" t="s">
        <v>11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2:23" x14ac:dyDescent="0.2">
      <c r="B14" s="12" t="s">
        <v>12</v>
      </c>
      <c r="C14" s="43"/>
      <c r="D14" s="43">
        <f>D27/C27-1</f>
        <v>0.31727629000653157</v>
      </c>
      <c r="E14" s="43">
        <f>E27/D27-1</f>
        <v>0.16206768315358877</v>
      </c>
      <c r="F14" s="43">
        <f>F27/E27-1</f>
        <v>1.2822153951186133E-2</v>
      </c>
      <c r="G14" s="151">
        <f>G27/F27-1</f>
        <v>-7.2062014197543878E-2</v>
      </c>
      <c r="H14" s="43">
        <f t="shared" ref="H14:H21" si="0">AVERAGE(C14:G14)</f>
        <v>0.10502602822844065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2:23" x14ac:dyDescent="0.2">
      <c r="B15" s="12" t="s">
        <v>4</v>
      </c>
      <c r="C15" s="43">
        <f>C29/C27</f>
        <v>0.76861528412802094</v>
      </c>
      <c r="D15" s="43">
        <f>D29/D27</f>
        <v>0.76891037560431386</v>
      </c>
      <c r="E15" s="43">
        <f>E29/E27</f>
        <v>0.74940262843488648</v>
      </c>
      <c r="F15" s="43">
        <f>F29/F27</f>
        <v>0.73233206243548965</v>
      </c>
      <c r="G15" s="152">
        <f>G29/G27</f>
        <v>0.74909198220285123</v>
      </c>
      <c r="H15" s="43">
        <f t="shared" si="0"/>
        <v>0.75367046656111236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2:23" x14ac:dyDescent="0.2">
      <c r="B16" s="12" t="s">
        <v>13</v>
      </c>
      <c r="C16" s="43"/>
      <c r="D16" s="43">
        <f>D15/C15-1</f>
        <v>3.839261102225322E-4</v>
      </c>
      <c r="E16" s="43">
        <f>E15/D15-1</f>
        <v>-2.5370638488387609E-2</v>
      </c>
      <c r="F16" s="43">
        <f>F15/E15-1</f>
        <v>-2.2778897953758648E-2</v>
      </c>
      <c r="G16" s="152">
        <f>G15/F15-1</f>
        <v>2.2885683458435224E-2</v>
      </c>
      <c r="H16" s="43">
        <f t="shared" si="0"/>
        <v>-6.2199817183721251E-3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2:23" x14ac:dyDescent="0.2">
      <c r="B17" s="12" t="s">
        <v>14</v>
      </c>
      <c r="C17" s="43">
        <f>C32/C27</f>
        <v>0.12939255388634879</v>
      </c>
      <c r="D17" s="43">
        <f>D32/D27</f>
        <v>0.11838353787033594</v>
      </c>
      <c r="E17" s="43">
        <f>E32/E27</f>
        <v>0.10927632701826251</v>
      </c>
      <c r="F17" s="43">
        <f>F32/F27</f>
        <v>0.11633981421018263</v>
      </c>
      <c r="G17" s="152">
        <f>G32/G27</f>
        <v>0.12439843820938891</v>
      </c>
      <c r="H17" s="43">
        <f t="shared" si="0"/>
        <v>0.11955813423890375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2:23" x14ac:dyDescent="0.2">
      <c r="B18" s="12" t="s">
        <v>15</v>
      </c>
      <c r="C18" s="43">
        <f>C40/C27</f>
        <v>5.2253429131286742E-2</v>
      </c>
      <c r="D18" s="43">
        <f>D40/D27</f>
        <v>4.7105491508615344E-2</v>
      </c>
      <c r="E18" s="43">
        <f>E40/E27</f>
        <v>4.6936337258917903E-2</v>
      </c>
      <c r="F18" s="43">
        <f>F40/F27</f>
        <v>5.7695953489351845E-2</v>
      </c>
      <c r="G18" s="152">
        <f>G40/G27</f>
        <v>6.3583946245346412E-2</v>
      </c>
      <c r="H18" s="43">
        <f t="shared" si="0"/>
        <v>5.3515031526703651E-2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2:23" x14ac:dyDescent="0.2">
      <c r="B19" s="12" t="s">
        <v>16</v>
      </c>
      <c r="C19" s="43">
        <f>C35/C27</f>
        <v>8.9124755062050948E-2</v>
      </c>
      <c r="D19" s="43">
        <f>D35/D27</f>
        <v>7.3930829304574189E-2</v>
      </c>
      <c r="E19" s="43">
        <f>E35/E27</f>
        <v>6.1038573135347329E-2</v>
      </c>
      <c r="F19" s="43">
        <f>F35/F27</f>
        <v>6.2667200303330312E-2</v>
      </c>
      <c r="G19" s="152">
        <f>G35/G27</f>
        <v>7.1438300190683743E-2</v>
      </c>
      <c r="H19" s="43">
        <f t="shared" si="0"/>
        <v>7.1639931599197307E-2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2:23" x14ac:dyDescent="0.2">
      <c r="B20" s="12" t="s">
        <v>17</v>
      </c>
      <c r="C20" s="43">
        <f>C35/C40</f>
        <v>1.7056249999999999</v>
      </c>
      <c r="D20" s="43">
        <f>D35/D40</f>
        <v>1.5694736842105264</v>
      </c>
      <c r="E20" s="43">
        <f>E35/E40</f>
        <v>1.3004545454545455</v>
      </c>
      <c r="F20" s="43">
        <f>F35/F40</f>
        <v>1.0861628331507849</v>
      </c>
      <c r="G20" s="152">
        <f>G35/G40</f>
        <v>1.123527311674402</v>
      </c>
      <c r="H20" s="43">
        <f t="shared" si="0"/>
        <v>1.3570486748980517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2:23" x14ac:dyDescent="0.2">
      <c r="B21" s="12" t="s">
        <v>18</v>
      </c>
      <c r="C21" s="43">
        <f>C42/C27</f>
        <v>0</v>
      </c>
      <c r="D21" s="43">
        <f>D42/D27</f>
        <v>2.3056898475269619E-3</v>
      </c>
      <c r="E21" s="43">
        <f>E42/E27</f>
        <v>4.8195084485407068E-2</v>
      </c>
      <c r="F21" s="43">
        <f>F42/F27</f>
        <v>1.7104459376908979E-2</v>
      </c>
      <c r="G21" s="152">
        <f>G42/G27</f>
        <v>-2.3109052937437573E-2</v>
      </c>
      <c r="H21" s="43">
        <f t="shared" si="0"/>
        <v>8.8992361544810855E-3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2:23" x14ac:dyDescent="0.2">
      <c r="I22" s="13"/>
      <c r="J22" s="13"/>
      <c r="K22" s="13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2:23" x14ac:dyDescent="0.2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2:23" x14ac:dyDescent="0.2">
      <c r="B24" s="40" t="s">
        <v>19</v>
      </c>
      <c r="C24" s="14"/>
      <c r="D24" s="14"/>
      <c r="E24" s="40" t="s">
        <v>20</v>
      </c>
      <c r="F24" s="14"/>
      <c r="G24" s="14"/>
      <c r="H24" s="14"/>
      <c r="I24" s="14"/>
      <c r="J24" s="14"/>
      <c r="K24" s="132" t="s">
        <v>21</v>
      </c>
      <c r="L24" s="14"/>
      <c r="M24" s="14"/>
      <c r="N24" s="14"/>
      <c r="O24" s="14"/>
      <c r="P24" s="56" t="s">
        <v>22</v>
      </c>
      <c r="Q24" s="14"/>
      <c r="R24" s="14"/>
      <c r="S24" s="14"/>
      <c r="T24" s="14"/>
      <c r="U24" s="14"/>
      <c r="V24" s="14"/>
      <c r="W24" s="56"/>
    </row>
    <row r="25" spans="2:23" x14ac:dyDescent="0.2">
      <c r="B25" s="14" t="s">
        <v>23</v>
      </c>
      <c r="C25" s="14"/>
      <c r="D25" s="14"/>
      <c r="E25" s="14"/>
      <c r="F25" s="14"/>
      <c r="G25" s="14"/>
      <c r="H25" s="14">
        <v>0</v>
      </c>
      <c r="I25" s="14">
        <v>1</v>
      </c>
      <c r="J25" s="14">
        <v>2</v>
      </c>
      <c r="K25" s="14">
        <v>3</v>
      </c>
      <c r="L25" s="14">
        <v>4</v>
      </c>
      <c r="M25" s="14">
        <v>5</v>
      </c>
      <c r="N25" s="14">
        <v>6</v>
      </c>
      <c r="O25" s="131" t="s">
        <v>24</v>
      </c>
      <c r="P25" s="131" t="s">
        <v>25</v>
      </c>
      <c r="Q25" s="14"/>
      <c r="R25" s="14"/>
      <c r="S25" s="14"/>
      <c r="T25" s="14"/>
      <c r="U25" s="14"/>
      <c r="V25" s="14"/>
      <c r="W25" s="14"/>
    </row>
    <row r="26" spans="2:23" x14ac:dyDescent="0.2">
      <c r="B26" s="41" t="s">
        <v>26</v>
      </c>
      <c r="C26" s="55">
        <v>2021</v>
      </c>
      <c r="D26" s="55">
        <v>2022</v>
      </c>
      <c r="E26" s="55">
        <v>2023</v>
      </c>
      <c r="F26" s="55">
        <v>2024</v>
      </c>
      <c r="G26" s="55">
        <v>2025</v>
      </c>
      <c r="H26" s="71" t="s">
        <v>27</v>
      </c>
      <c r="I26" s="55" t="s">
        <v>28</v>
      </c>
      <c r="J26" s="55" t="s">
        <v>29</v>
      </c>
      <c r="K26" s="55" t="s">
        <v>30</v>
      </c>
      <c r="L26" s="55" t="s">
        <v>31</v>
      </c>
      <c r="M26" s="55" t="s">
        <v>32</v>
      </c>
      <c r="N26" s="55" t="s">
        <v>33</v>
      </c>
      <c r="O26" s="55"/>
      <c r="P26" s="133" t="s">
        <v>22</v>
      </c>
    </row>
    <row r="27" spans="2:23" x14ac:dyDescent="0.2">
      <c r="B27" s="12" t="s">
        <v>34</v>
      </c>
      <c r="C27" s="44">
        <v>30620</v>
      </c>
      <c r="D27" s="44">
        <v>40335</v>
      </c>
      <c r="E27" s="44">
        <v>46872</v>
      </c>
      <c r="F27" s="44">
        <v>47473</v>
      </c>
      <c r="G27" s="178">
        <v>44052</v>
      </c>
      <c r="H27" s="44">
        <f t="shared" ref="H27:N27" si="1">G27*(1+H28)</f>
        <v>45770.027999999998</v>
      </c>
      <c r="I27" s="44">
        <f t="shared" si="1"/>
        <v>48699.309792</v>
      </c>
      <c r="J27" s="44">
        <f t="shared" si="1"/>
        <v>51036.876662016002</v>
      </c>
      <c r="K27" s="44">
        <f t="shared" si="1"/>
        <v>52823.167345186557</v>
      </c>
      <c r="L27" s="44">
        <f t="shared" si="1"/>
        <v>54407.862365542154</v>
      </c>
      <c r="M27" s="44">
        <f t="shared" si="1"/>
        <v>55768.058924680707</v>
      </c>
      <c r="N27" s="44">
        <f t="shared" si="1"/>
        <v>56883.420103174321</v>
      </c>
      <c r="O27" s="44"/>
      <c r="P27" s="44"/>
    </row>
    <row r="28" spans="2:23" x14ac:dyDescent="0.2">
      <c r="B28" s="14" t="s">
        <v>35</v>
      </c>
      <c r="C28" s="73"/>
      <c r="D28" s="43">
        <f>D27/C27-1</f>
        <v>0.31727629000653157</v>
      </c>
      <c r="E28" s="43">
        <f>E27/D27-1</f>
        <v>0.16206768315358877</v>
      </c>
      <c r="F28" s="43">
        <f>F27/E27-1</f>
        <v>1.2822153951186133E-2</v>
      </c>
      <c r="G28" s="152">
        <f>G27/F27-1</f>
        <v>-7.2062014197543878E-2</v>
      </c>
      <c r="H28" s="43">
        <v>3.9E-2</v>
      </c>
      <c r="I28" s="43">
        <v>6.4000000000000001E-2</v>
      </c>
      <c r="J28" s="43">
        <v>4.8000000000000001E-2</v>
      </c>
      <c r="K28" s="43">
        <v>3.5000000000000003E-2</v>
      </c>
      <c r="L28" s="43">
        <v>0.03</v>
      </c>
      <c r="M28" s="43">
        <v>2.5000000000000001E-2</v>
      </c>
      <c r="N28" s="43">
        <v>0.02</v>
      </c>
      <c r="O28" s="43"/>
      <c r="P28" s="43"/>
    </row>
    <row r="29" spans="2:23" x14ac:dyDescent="0.2">
      <c r="B29" s="41" t="s">
        <v>36</v>
      </c>
      <c r="C29" s="42">
        <v>23535</v>
      </c>
      <c r="D29" s="42">
        <v>31014</v>
      </c>
      <c r="E29" s="42">
        <v>35126</v>
      </c>
      <c r="F29" s="42">
        <v>34766</v>
      </c>
      <c r="G29" s="42">
        <v>32999</v>
      </c>
      <c r="H29" s="72">
        <f t="shared" ref="H29:N29" si="2">H27*$C$6</f>
        <v>34327.521000000001</v>
      </c>
      <c r="I29" s="42">
        <f t="shared" si="2"/>
        <v>36524.482344000004</v>
      </c>
      <c r="J29" s="42">
        <f t="shared" si="2"/>
        <v>38277.657496512002</v>
      </c>
      <c r="K29" s="42">
        <f t="shared" si="2"/>
        <v>39617.37550888992</v>
      </c>
      <c r="L29" s="42">
        <f t="shared" si="2"/>
        <v>40805.896774156616</v>
      </c>
      <c r="M29" s="42">
        <f t="shared" si="2"/>
        <v>41826.044193510534</v>
      </c>
      <c r="N29" s="42">
        <f t="shared" si="2"/>
        <v>42662.565077380743</v>
      </c>
      <c r="O29" s="42"/>
      <c r="P29" s="42"/>
    </row>
    <row r="30" spans="2:23" x14ac:dyDescent="0.2">
      <c r="B30" s="12" t="s">
        <v>37</v>
      </c>
      <c r="C30" s="44">
        <f t="shared" ref="C30:N30" si="3">C27-C29</f>
        <v>7085</v>
      </c>
      <c r="D30" s="44">
        <f t="shared" si="3"/>
        <v>9321</v>
      </c>
      <c r="E30" s="44">
        <f t="shared" si="3"/>
        <v>11746</v>
      </c>
      <c r="F30" s="44">
        <f t="shared" si="3"/>
        <v>12707</v>
      </c>
      <c r="G30" s="44">
        <f t="shared" si="3"/>
        <v>11053</v>
      </c>
      <c r="H30" s="74">
        <f t="shared" si="3"/>
        <v>11442.506999999998</v>
      </c>
      <c r="I30" s="44">
        <f t="shared" si="3"/>
        <v>12174.827447999996</v>
      </c>
      <c r="J30" s="44">
        <f t="shared" si="3"/>
        <v>12759.219165504001</v>
      </c>
      <c r="K30" s="44">
        <f t="shared" si="3"/>
        <v>13205.791836296637</v>
      </c>
      <c r="L30" s="44">
        <f t="shared" si="3"/>
        <v>13601.965591385539</v>
      </c>
      <c r="M30" s="44">
        <f t="shared" si="3"/>
        <v>13942.014731170173</v>
      </c>
      <c r="N30" s="44">
        <f t="shared" si="3"/>
        <v>14220.855025793579</v>
      </c>
      <c r="O30" s="44"/>
      <c r="P30" s="44"/>
    </row>
    <row r="31" spans="2:23" x14ac:dyDescent="0.2">
      <c r="B31" s="12" t="s">
        <v>38</v>
      </c>
      <c r="C31" s="43">
        <f t="shared" ref="C31:N31" si="4">C30/C27</f>
        <v>0.23138471587197909</v>
      </c>
      <c r="D31" s="43">
        <f t="shared" si="4"/>
        <v>0.23108962439568612</v>
      </c>
      <c r="E31" s="43">
        <f t="shared" si="4"/>
        <v>0.25059737156511352</v>
      </c>
      <c r="F31" s="43">
        <f t="shared" si="4"/>
        <v>0.26766793756451035</v>
      </c>
      <c r="G31" s="43">
        <f t="shared" si="4"/>
        <v>0.25090801779714883</v>
      </c>
      <c r="H31" s="73">
        <f t="shared" si="4"/>
        <v>0.24999999999999997</v>
      </c>
      <c r="I31" s="43">
        <f t="shared" si="4"/>
        <v>0.24999999999999992</v>
      </c>
      <c r="J31" s="43">
        <f t="shared" si="4"/>
        <v>0.25</v>
      </c>
      <c r="K31" s="43">
        <f t="shared" si="4"/>
        <v>0.24999999999999997</v>
      </c>
      <c r="L31" s="43">
        <f t="shared" si="4"/>
        <v>0.25</v>
      </c>
      <c r="M31" s="43">
        <f t="shared" si="4"/>
        <v>0.24999999999999994</v>
      </c>
      <c r="N31" s="43">
        <f t="shared" si="4"/>
        <v>0.24999999999999997</v>
      </c>
      <c r="O31" s="45"/>
      <c r="P31" s="45"/>
    </row>
    <row r="32" spans="2:23" x14ac:dyDescent="0.2">
      <c r="B32" s="41" t="s">
        <v>39</v>
      </c>
      <c r="C32" s="42">
        <v>3962</v>
      </c>
      <c r="D32" s="42">
        <v>4775</v>
      </c>
      <c r="E32" s="42">
        <v>5122</v>
      </c>
      <c r="F32" s="42">
        <v>5523</v>
      </c>
      <c r="G32" s="42">
        <v>5480</v>
      </c>
      <c r="H32" s="72">
        <f t="shared" ref="H32:N32" si="5">G32*(1+$C$7)</f>
        <v>5644.4000000000005</v>
      </c>
      <c r="I32" s="42">
        <f t="shared" si="5"/>
        <v>5813.7320000000009</v>
      </c>
      <c r="J32" s="42">
        <f t="shared" si="5"/>
        <v>5988.1439600000012</v>
      </c>
      <c r="K32" s="42">
        <f t="shared" si="5"/>
        <v>6167.7882788000015</v>
      </c>
      <c r="L32" s="42">
        <f t="shared" si="5"/>
        <v>6352.8219271640019</v>
      </c>
      <c r="M32" s="42">
        <f t="shared" si="5"/>
        <v>6543.4065849789222</v>
      </c>
      <c r="N32" s="42">
        <f t="shared" si="5"/>
        <v>6739.7087825282897</v>
      </c>
      <c r="O32" s="42"/>
      <c r="P32" s="42"/>
    </row>
    <row r="33" spans="2:23" x14ac:dyDescent="0.2">
      <c r="B33" s="57" t="s">
        <v>40</v>
      </c>
      <c r="C33" s="58">
        <f t="shared" ref="C33:N33" si="6">C30-C32</f>
        <v>3123</v>
      </c>
      <c r="D33" s="58">
        <f t="shared" si="6"/>
        <v>4546</v>
      </c>
      <c r="E33" s="58">
        <f t="shared" si="6"/>
        <v>6624</v>
      </c>
      <c r="F33" s="58">
        <f t="shared" si="6"/>
        <v>7184</v>
      </c>
      <c r="G33" s="58">
        <f t="shared" si="6"/>
        <v>5573</v>
      </c>
      <c r="H33" s="75">
        <f t="shared" si="6"/>
        <v>5798.1069999999972</v>
      </c>
      <c r="I33" s="58">
        <f t="shared" si="6"/>
        <v>6361.0954479999955</v>
      </c>
      <c r="J33" s="58">
        <f t="shared" si="6"/>
        <v>6771.0752055039993</v>
      </c>
      <c r="K33" s="58">
        <f t="shared" si="6"/>
        <v>7038.0035574966359</v>
      </c>
      <c r="L33" s="58">
        <f t="shared" si="6"/>
        <v>7249.1436642215367</v>
      </c>
      <c r="M33" s="58">
        <f t="shared" si="6"/>
        <v>7398.6081461912509</v>
      </c>
      <c r="N33" s="58">
        <f t="shared" si="6"/>
        <v>7481.1462432652888</v>
      </c>
      <c r="O33" s="58"/>
      <c r="P33" s="58"/>
    </row>
    <row r="34" spans="2:23" x14ac:dyDescent="0.2">
      <c r="B34" s="135" t="s">
        <v>41</v>
      </c>
      <c r="C34" s="153">
        <f t="shared" ref="C34:N34" si="7">C33/C27</f>
        <v>0.10199216198563031</v>
      </c>
      <c r="D34" s="153">
        <f t="shared" si="7"/>
        <v>0.11270608652535019</v>
      </c>
      <c r="E34" s="153">
        <f t="shared" si="7"/>
        <v>0.14132104454685099</v>
      </c>
      <c r="F34" s="153">
        <f t="shared" si="7"/>
        <v>0.15132812335432771</v>
      </c>
      <c r="G34" s="153">
        <f t="shared" si="7"/>
        <v>0.12650957958775991</v>
      </c>
      <c r="H34" s="154">
        <f t="shared" si="7"/>
        <v>0.12667912285306002</v>
      </c>
      <c r="I34" s="153">
        <f t="shared" si="7"/>
        <v>0.13061982757392085</v>
      </c>
      <c r="J34" s="153">
        <f t="shared" si="7"/>
        <v>0.13267025038276581</v>
      </c>
      <c r="K34" s="153">
        <f t="shared" si="7"/>
        <v>0.13323706076739006</v>
      </c>
      <c r="L34" s="153">
        <f t="shared" si="7"/>
        <v>0.13323706076739009</v>
      </c>
      <c r="M34" s="153">
        <f t="shared" si="7"/>
        <v>0.13266748545406021</v>
      </c>
      <c r="N34" s="153">
        <f t="shared" si="7"/>
        <v>0.13151716668400201</v>
      </c>
      <c r="O34" s="136"/>
      <c r="P34" s="136"/>
    </row>
    <row r="35" spans="2:23" x14ac:dyDescent="0.2">
      <c r="B35" s="41" t="s">
        <v>42</v>
      </c>
      <c r="C35" s="42">
        <v>2729</v>
      </c>
      <c r="D35" s="42">
        <v>2982</v>
      </c>
      <c r="E35" s="42">
        <v>2861</v>
      </c>
      <c r="F35" s="42">
        <v>2975</v>
      </c>
      <c r="G35" s="42">
        <v>3147</v>
      </c>
      <c r="H35" s="72">
        <f t="shared" ref="H35:N35" si="8">H27*$H$19</f>
        <v>3278.9616752133452</v>
      </c>
      <c r="I35" s="42">
        <f t="shared" si="8"/>
        <v>3488.8152224269998</v>
      </c>
      <c r="J35" s="42">
        <f t="shared" si="8"/>
        <v>3656.2783531034956</v>
      </c>
      <c r="K35" s="42">
        <f t="shared" si="8"/>
        <v>3784.2480954621178</v>
      </c>
      <c r="L35" s="42">
        <f t="shared" si="8"/>
        <v>3897.7755383259814</v>
      </c>
      <c r="M35" s="42">
        <f t="shared" si="8"/>
        <v>3995.2199267841306</v>
      </c>
      <c r="N35" s="42">
        <f t="shared" si="8"/>
        <v>4075.1243253198136</v>
      </c>
      <c r="O35" s="42"/>
      <c r="P35" s="42"/>
    </row>
    <row r="36" spans="2:23" x14ac:dyDescent="0.2">
      <c r="B36" s="57" t="s">
        <v>43</v>
      </c>
      <c r="C36" s="58">
        <f t="shared" ref="C36:N36" si="9">C33-C35</f>
        <v>394</v>
      </c>
      <c r="D36" s="58">
        <f t="shared" si="9"/>
        <v>1564</v>
      </c>
      <c r="E36" s="58">
        <f t="shared" si="9"/>
        <v>3763</v>
      </c>
      <c r="F36" s="58">
        <f t="shared" si="9"/>
        <v>4209</v>
      </c>
      <c r="G36" s="58">
        <f t="shared" si="9"/>
        <v>2426</v>
      </c>
      <c r="H36" s="75">
        <f t="shared" si="9"/>
        <v>2519.1453247866521</v>
      </c>
      <c r="I36" s="58">
        <f t="shared" si="9"/>
        <v>2872.2802255729957</v>
      </c>
      <c r="J36" s="58">
        <f t="shared" si="9"/>
        <v>3114.7968524005037</v>
      </c>
      <c r="K36" s="58">
        <f t="shared" si="9"/>
        <v>3253.7554620345181</v>
      </c>
      <c r="L36" s="58">
        <f t="shared" si="9"/>
        <v>3351.3681258955553</v>
      </c>
      <c r="M36" s="58">
        <f t="shared" si="9"/>
        <v>3403.3882194071202</v>
      </c>
      <c r="N36" s="58">
        <f t="shared" si="9"/>
        <v>3406.0219179454753</v>
      </c>
      <c r="O36" s="58"/>
      <c r="P36" s="58"/>
    </row>
    <row r="37" spans="2:23" x14ac:dyDescent="0.2">
      <c r="B37" s="135" t="s">
        <v>44</v>
      </c>
      <c r="C37" s="153">
        <f t="shared" ref="C37:N37" si="10">C36/C27</f>
        <v>1.286740692357936E-2</v>
      </c>
      <c r="D37" s="153">
        <f t="shared" si="10"/>
        <v>3.8775257220776002E-2</v>
      </c>
      <c r="E37" s="153">
        <f t="shared" si="10"/>
        <v>8.0282471411503672E-2</v>
      </c>
      <c r="F37" s="153">
        <f t="shared" si="10"/>
        <v>8.8660923050997403E-2</v>
      </c>
      <c r="G37" s="153">
        <f t="shared" si="10"/>
        <v>5.5071279397076185E-2</v>
      </c>
      <c r="H37" s="154">
        <f t="shared" si="10"/>
        <v>5.5039191253862731E-2</v>
      </c>
      <c r="I37" s="153">
        <f t="shared" si="10"/>
        <v>5.8979895974723542E-2</v>
      </c>
      <c r="J37" s="153">
        <f t="shared" si="10"/>
        <v>6.1030318783568495E-2</v>
      </c>
      <c r="K37" s="153">
        <f t="shared" si="10"/>
        <v>6.1597129168192759E-2</v>
      </c>
      <c r="L37" s="153">
        <f t="shared" si="10"/>
        <v>6.1597129168192787E-2</v>
      </c>
      <c r="M37" s="153">
        <f t="shared" si="10"/>
        <v>6.1027553854862915E-2</v>
      </c>
      <c r="N37" s="153">
        <f t="shared" si="10"/>
        <v>5.9877235084804713E-2</v>
      </c>
      <c r="O37" s="136"/>
      <c r="P37" s="136"/>
    </row>
    <row r="38" spans="2:23" x14ac:dyDescent="0.2">
      <c r="B38" s="12" t="s">
        <v>45</v>
      </c>
      <c r="C38" s="44">
        <f t="shared" ref="C38:N38" si="11">C36*$C$3</f>
        <v>118.19999999999999</v>
      </c>
      <c r="D38" s="44">
        <f t="shared" si="11"/>
        <v>469.2</v>
      </c>
      <c r="E38" s="44">
        <f t="shared" si="11"/>
        <v>1128.8999999999999</v>
      </c>
      <c r="F38" s="44">
        <f t="shared" si="11"/>
        <v>1262.7</v>
      </c>
      <c r="G38" s="44">
        <f t="shared" si="11"/>
        <v>727.8</v>
      </c>
      <c r="H38" s="72">
        <f t="shared" si="11"/>
        <v>755.74359743599564</v>
      </c>
      <c r="I38" s="42">
        <f t="shared" si="11"/>
        <v>861.68406767189867</v>
      </c>
      <c r="J38" s="42">
        <f t="shared" si="11"/>
        <v>934.43905572015103</v>
      </c>
      <c r="K38" s="42">
        <f t="shared" si="11"/>
        <v>976.12663861035537</v>
      </c>
      <c r="L38" s="42">
        <f t="shared" si="11"/>
        <v>1005.4104377686665</v>
      </c>
      <c r="M38" s="42">
        <f t="shared" si="11"/>
        <v>1021.0164658221361</v>
      </c>
      <c r="N38" s="42">
        <f t="shared" si="11"/>
        <v>1021.8065753836426</v>
      </c>
      <c r="O38" s="44"/>
      <c r="P38" s="44"/>
    </row>
    <row r="39" spans="2:23" x14ac:dyDescent="0.2">
      <c r="B39" s="57" t="s">
        <v>46</v>
      </c>
      <c r="C39" s="191">
        <f t="shared" ref="C39:N39" si="12">C36-C38</f>
        <v>275.8</v>
      </c>
      <c r="D39" s="192">
        <f t="shared" si="12"/>
        <v>1094.8</v>
      </c>
      <c r="E39" s="192">
        <f t="shared" si="12"/>
        <v>2634.1000000000004</v>
      </c>
      <c r="F39" s="192">
        <f t="shared" si="12"/>
        <v>2946.3</v>
      </c>
      <c r="G39" s="193">
        <f t="shared" si="12"/>
        <v>1698.2</v>
      </c>
      <c r="H39" s="75">
        <f t="shared" si="12"/>
        <v>1763.4017273506565</v>
      </c>
      <c r="I39" s="58">
        <f t="shared" si="12"/>
        <v>2010.5961579010971</v>
      </c>
      <c r="J39" s="58">
        <f t="shared" si="12"/>
        <v>2180.3577966803527</v>
      </c>
      <c r="K39" s="58">
        <f t="shared" si="12"/>
        <v>2277.6288234241629</v>
      </c>
      <c r="L39" s="58">
        <f t="shared" si="12"/>
        <v>2345.9576881268886</v>
      </c>
      <c r="M39" s="58">
        <f t="shared" si="12"/>
        <v>2382.3717535849842</v>
      </c>
      <c r="N39" s="58">
        <f t="shared" si="12"/>
        <v>2384.2153425618326</v>
      </c>
      <c r="O39" s="192"/>
      <c r="P39" s="192"/>
    </row>
    <row r="40" spans="2:23" x14ac:dyDescent="0.2">
      <c r="B40" s="12" t="s">
        <v>47</v>
      </c>
      <c r="C40" s="44">
        <v>1600</v>
      </c>
      <c r="D40" s="44">
        <v>1900</v>
      </c>
      <c r="E40" s="44">
        <v>2200</v>
      </c>
      <c r="F40" s="44">
        <v>2739</v>
      </c>
      <c r="G40" s="44">
        <v>2801</v>
      </c>
      <c r="H40" s="74">
        <f t="shared" ref="H40:N40" si="13">H27*$C$9</f>
        <v>2746.2016799999997</v>
      </c>
      <c r="I40" s="44">
        <f t="shared" si="13"/>
        <v>2921.95858752</v>
      </c>
      <c r="J40" s="44">
        <f t="shared" si="13"/>
        <v>3062.21259972096</v>
      </c>
      <c r="K40" s="44">
        <f t="shared" si="13"/>
        <v>3169.3900407111933</v>
      </c>
      <c r="L40" s="44">
        <f t="shared" si="13"/>
        <v>3264.4717419325293</v>
      </c>
      <c r="M40" s="44">
        <f t="shared" si="13"/>
        <v>3346.0835354808423</v>
      </c>
      <c r="N40" s="44">
        <f t="shared" si="13"/>
        <v>3413.0052061904594</v>
      </c>
      <c r="O40" s="44"/>
      <c r="P40" s="44"/>
    </row>
    <row r="41" spans="2:23" x14ac:dyDescent="0.2">
      <c r="B41" s="12" t="s">
        <v>42</v>
      </c>
      <c r="C41" s="44">
        <f t="shared" ref="C41:N41" si="14">C35</f>
        <v>2729</v>
      </c>
      <c r="D41" s="44">
        <f t="shared" si="14"/>
        <v>2982</v>
      </c>
      <c r="E41" s="44">
        <f t="shared" si="14"/>
        <v>2861</v>
      </c>
      <c r="F41" s="44">
        <f t="shared" si="14"/>
        <v>2975</v>
      </c>
      <c r="G41" s="44">
        <f t="shared" si="14"/>
        <v>3147</v>
      </c>
      <c r="H41" s="74">
        <f t="shared" si="14"/>
        <v>3278.9616752133452</v>
      </c>
      <c r="I41" s="44">
        <f t="shared" si="14"/>
        <v>3488.8152224269998</v>
      </c>
      <c r="J41" s="44">
        <f t="shared" si="14"/>
        <v>3656.2783531034956</v>
      </c>
      <c r="K41" s="44">
        <f t="shared" si="14"/>
        <v>3784.2480954621178</v>
      </c>
      <c r="L41" s="44">
        <f t="shared" si="14"/>
        <v>3897.7755383259814</v>
      </c>
      <c r="M41" s="44">
        <f t="shared" si="14"/>
        <v>3995.2199267841306</v>
      </c>
      <c r="N41" s="44">
        <f t="shared" si="14"/>
        <v>4075.1243253198136</v>
      </c>
      <c r="O41" s="44"/>
      <c r="P41" s="44"/>
    </row>
    <row r="42" spans="2:23" x14ac:dyDescent="0.2">
      <c r="B42" s="12" t="s">
        <v>48</v>
      </c>
      <c r="C42" s="44">
        <v>0</v>
      </c>
      <c r="D42" s="44">
        <v>93</v>
      </c>
      <c r="E42" s="44">
        <v>2259</v>
      </c>
      <c r="F42" s="44">
        <v>812</v>
      </c>
      <c r="G42" s="44">
        <v>-1018</v>
      </c>
      <c r="H42" s="74">
        <f t="shared" ref="H42:N42" si="15">$C$10*(H27-G27)</f>
        <v>17.180279999999986</v>
      </c>
      <c r="I42" s="44">
        <f t="shared" si="15"/>
        <v>29.292817920000015</v>
      </c>
      <c r="J42" s="44">
        <f t="shared" si="15"/>
        <v>23.375668700160023</v>
      </c>
      <c r="K42" s="44">
        <f t="shared" si="15"/>
        <v>17.862906831705551</v>
      </c>
      <c r="L42" s="44">
        <f t="shared" si="15"/>
        <v>15.846950203555972</v>
      </c>
      <c r="M42" s="44">
        <f t="shared" si="15"/>
        <v>13.601965591385524</v>
      </c>
      <c r="N42" s="44">
        <f t="shared" si="15"/>
        <v>11.153611784936148</v>
      </c>
      <c r="O42" s="44"/>
      <c r="P42" s="44"/>
    </row>
    <row r="43" spans="2:23" x14ac:dyDescent="0.2">
      <c r="B43" s="57" t="s">
        <v>49</v>
      </c>
      <c r="C43" s="191">
        <f t="shared" ref="C43:N43" si="16">C39+C41-C40-C42</f>
        <v>1404.8000000000002</v>
      </c>
      <c r="D43" s="192">
        <f t="shared" si="16"/>
        <v>2083.8000000000002</v>
      </c>
      <c r="E43" s="192">
        <f t="shared" si="16"/>
        <v>1036.1000000000004</v>
      </c>
      <c r="F43" s="192">
        <f t="shared" si="16"/>
        <v>2370.3000000000002</v>
      </c>
      <c r="G43" s="192">
        <f t="shared" si="16"/>
        <v>3062.2</v>
      </c>
      <c r="H43" s="191">
        <f t="shared" si="16"/>
        <v>2278.9814425640025</v>
      </c>
      <c r="I43" s="192">
        <f t="shared" si="16"/>
        <v>2548.1599748880972</v>
      </c>
      <c r="J43" s="192">
        <f t="shared" si="16"/>
        <v>2751.0478813627278</v>
      </c>
      <c r="K43" s="192">
        <f t="shared" si="16"/>
        <v>2874.623971343382</v>
      </c>
      <c r="L43" s="192">
        <f t="shared" si="16"/>
        <v>2963.4145343167852</v>
      </c>
      <c r="M43" s="192">
        <f t="shared" si="16"/>
        <v>3017.9061792968864</v>
      </c>
      <c r="N43" s="192">
        <f t="shared" si="16"/>
        <v>3035.1808499062508</v>
      </c>
      <c r="O43" s="192"/>
      <c r="P43" s="192">
        <f>N43*(1+$C$4)</f>
        <v>3080.7085626548442</v>
      </c>
    </row>
    <row r="44" spans="2:23" x14ac:dyDescent="0.2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spans="2:23" x14ac:dyDescent="0.2">
      <c r="B45" s="14"/>
      <c r="C45" s="14"/>
      <c r="D45" s="14"/>
      <c r="E45" s="14"/>
      <c r="F45" s="14"/>
      <c r="G45" s="14"/>
      <c r="H45" s="13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spans="2:23" x14ac:dyDescent="0.2">
      <c r="B46" s="14"/>
      <c r="C46" s="14"/>
      <c r="D46" s="14"/>
      <c r="E46" s="14"/>
      <c r="F46" s="14"/>
      <c r="G46" s="14" t="s">
        <v>50</v>
      </c>
      <c r="H46" s="47">
        <f>SUMPRODUCT($H$43:$N$43,(1+$C$8)^(-$H$25:$N$25))</f>
        <v>16268.684783082193</v>
      </c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14"/>
    </row>
    <row r="47" spans="2:23" x14ac:dyDescent="0.2">
      <c r="B47" s="14"/>
      <c r="C47" s="48"/>
      <c r="D47" s="14"/>
      <c r="E47" s="14"/>
      <c r="F47" s="14"/>
      <c r="G47" s="14" t="s">
        <v>51</v>
      </c>
      <c r="H47" s="47">
        <f>H46</f>
        <v>16268.684783082193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spans="2:23" x14ac:dyDescent="0.2">
      <c r="B48" s="14"/>
      <c r="C48" s="14"/>
      <c r="D48" s="14"/>
      <c r="E48" s="14"/>
      <c r="F48" s="14"/>
      <c r="G48" s="14" t="s">
        <v>52</v>
      </c>
      <c r="H48" s="47">
        <f>P43/($C$8-$C$4)</f>
        <v>67848.383474231319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48"/>
    </row>
    <row r="49" spans="1:23" x14ac:dyDescent="0.2">
      <c r="B49" s="14"/>
      <c r="C49" s="14"/>
      <c r="D49" s="14"/>
      <c r="E49" s="14"/>
      <c r="F49" s="14"/>
      <c r="G49" s="14" t="s">
        <v>53</v>
      </c>
      <c r="H49" s="47">
        <f>H48/(1+$C$8)^$N$25</f>
        <v>47720.720777932736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48"/>
    </row>
    <row r="50" spans="1:23" x14ac:dyDescent="0.2">
      <c r="B50" s="14"/>
      <c r="C50" s="14"/>
      <c r="D50" s="14"/>
      <c r="E50" s="14"/>
      <c r="F50" s="14"/>
      <c r="G50" s="59" t="s">
        <v>54</v>
      </c>
      <c r="H50" s="60">
        <f>H47+H49</f>
        <v>63989.40556101493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spans="1:23" x14ac:dyDescent="0.2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spans="1:23" x14ac:dyDescent="0.2">
      <c r="C52" s="46"/>
      <c r="D52" s="46"/>
      <c r="E52" s="46"/>
      <c r="F52" s="46"/>
      <c r="G52" s="46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</row>
    <row r="53" spans="1:23" ht="15.75" customHeight="1" x14ac:dyDescent="0.2">
      <c r="B53" s="6" t="s">
        <v>55</v>
      </c>
      <c r="C53" s="50"/>
      <c r="D53" s="6"/>
      <c r="E53" s="6"/>
      <c r="F53" s="6"/>
      <c r="G53" s="6"/>
      <c r="I53" s="6" t="s">
        <v>56</v>
      </c>
      <c r="J53" s="50"/>
      <c r="K53" s="6"/>
      <c r="L53" s="6"/>
      <c r="M53" s="6"/>
      <c r="N53" s="6"/>
    </row>
    <row r="54" spans="1:23" ht="15.75" customHeight="1" x14ac:dyDescent="0.2">
      <c r="B54" s="51" t="s">
        <v>57</v>
      </c>
      <c r="C54" s="52">
        <f>$C$4-0.01</f>
        <v>4.9999999999999992E-3</v>
      </c>
      <c r="D54" s="52">
        <f>$C$4-0.005</f>
        <v>9.9999999999999985E-3</v>
      </c>
      <c r="E54" s="52">
        <f>$C$4+0</f>
        <v>1.4999999999999999E-2</v>
      </c>
      <c r="F54" s="52">
        <f>$C$4+0.005</f>
        <v>0.02</v>
      </c>
      <c r="G54" s="52">
        <f>$C$4+0.01</f>
        <v>2.5000000000000001E-2</v>
      </c>
      <c r="I54" s="51" t="s">
        <v>57</v>
      </c>
      <c r="J54" s="52">
        <f>$C$4-0.01</f>
        <v>4.9999999999999992E-3</v>
      </c>
      <c r="K54" s="52">
        <f>$C$4-0.005</f>
        <v>9.9999999999999985E-3</v>
      </c>
      <c r="L54" s="52">
        <f>$C$4+0</f>
        <v>1.4999999999999999E-2</v>
      </c>
      <c r="M54" s="52">
        <f>$C$4+0.005</f>
        <v>0.02</v>
      </c>
      <c r="N54" s="52">
        <f>$C$4+0.01</f>
        <v>2.5000000000000001E-2</v>
      </c>
    </row>
    <row r="55" spans="1:23" x14ac:dyDescent="0.2">
      <c r="B55" s="52">
        <f>$C$8-0.02</f>
        <v>4.0405776894078704E-2</v>
      </c>
      <c r="C55" s="155">
        <f t="shared" ref="C55:G59" si="17">SUMPRODUCT($H$43:$N$43,(1+$B55)^(-$H$25:$N$25))+($N$43*(1+C$54)/($B55-C$54))/(1+$B55)^$N$25</f>
        <v>85149.97432341837</v>
      </c>
      <c r="D55" s="155">
        <f t="shared" si="17"/>
        <v>96714.040546893972</v>
      </c>
      <c r="E55" s="155">
        <f t="shared" si="17"/>
        <v>112829.8535135171</v>
      </c>
      <c r="F55" s="155">
        <f t="shared" si="17"/>
        <v>136843.3383258516</v>
      </c>
      <c r="G55" s="155">
        <f t="shared" si="17"/>
        <v>176444.14793033211</v>
      </c>
      <c r="I55" s="52">
        <f>$C$8-0.02</f>
        <v>4.0405776894078704E-2</v>
      </c>
      <c r="J55" s="155">
        <f>C55+('Equity Bridge'!$C$11-'Equity Bridge'!$C$5)</f>
        <v>78340.97432341837</v>
      </c>
      <c r="K55" s="155">
        <f>D55+('Equity Bridge'!$C$11-'Equity Bridge'!$C$5)</f>
        <v>89905.040546893972</v>
      </c>
      <c r="L55" s="155">
        <f>E55+('Equity Bridge'!$C$11-'Equity Bridge'!$C$5)</f>
        <v>106020.8535135171</v>
      </c>
      <c r="M55" s="155">
        <f>F55+('Equity Bridge'!$C$11-'Equity Bridge'!$C$5)</f>
        <v>130034.3383258516</v>
      </c>
      <c r="N55" s="155">
        <f>G55+('Equity Bridge'!$C$11-'Equity Bridge'!$C$5)</f>
        <v>169635.14793033211</v>
      </c>
    </row>
    <row r="56" spans="1:23" x14ac:dyDescent="0.2">
      <c r="A56" s="195"/>
      <c r="B56" s="52">
        <f>$C$8-0.01</f>
        <v>5.0405776894078706E-2</v>
      </c>
      <c r="C56" s="155">
        <f t="shared" si="17"/>
        <v>66747.103983756766</v>
      </c>
      <c r="D56" s="155">
        <f t="shared" si="17"/>
        <v>73215.766557936964</v>
      </c>
      <c r="E56" s="155">
        <f t="shared" si="17"/>
        <v>81511.436796299196</v>
      </c>
      <c r="F56" s="155">
        <f t="shared" si="17"/>
        <v>92535.427467736066</v>
      </c>
      <c r="G56" s="155">
        <f t="shared" si="17"/>
        <v>107898.58506069546</v>
      </c>
      <c r="I56" s="52">
        <f>$C$8-0.01</f>
        <v>5.0405776894078706E-2</v>
      </c>
      <c r="J56" s="155">
        <f>C56+('Equity Bridge'!$C$11-'Equity Bridge'!$C$5)</f>
        <v>59938.103983756766</v>
      </c>
      <c r="K56" s="155">
        <f>D56+('Equity Bridge'!$C$11-'Equity Bridge'!$C$5)</f>
        <v>66406.766557936964</v>
      </c>
      <c r="L56" s="155">
        <f>E56+('Equity Bridge'!$C$11-'Equity Bridge'!$C$5)</f>
        <v>74702.436796299196</v>
      </c>
      <c r="M56" s="155">
        <f>F56+('Equity Bridge'!$C$11-'Equity Bridge'!$C$5)</f>
        <v>85726.427467736066</v>
      </c>
      <c r="N56" s="155">
        <f>G56+('Equity Bridge'!$C$11-'Equity Bridge'!$C$5)</f>
        <v>101089.58506069546</v>
      </c>
    </row>
    <row r="57" spans="1:23" x14ac:dyDescent="0.2">
      <c r="A57" s="196"/>
      <c r="B57" s="52">
        <f>$C$8+0</f>
        <v>6.0405776894078708E-2</v>
      </c>
      <c r="C57" s="155">
        <f t="shared" si="17"/>
        <v>54991.156939319204</v>
      </c>
      <c r="D57" s="155">
        <f t="shared" si="17"/>
        <v>59043.990706892415</v>
      </c>
      <c r="E57" s="155">
        <f t="shared" si="17"/>
        <v>63989.40556101493</v>
      </c>
      <c r="F57" s="155">
        <f t="shared" si="17"/>
        <v>70158.75798898653</v>
      </c>
      <c r="G57" s="11">
        <f t="shared" si="17"/>
        <v>78070.580987912675</v>
      </c>
      <c r="I57" s="52">
        <f>$C$8+0</f>
        <v>6.0405776894078708E-2</v>
      </c>
      <c r="J57" s="155">
        <f>C57+('Equity Bridge'!$C$11-'Equity Bridge'!$C$5)</f>
        <v>48182.156939319204</v>
      </c>
      <c r="K57" s="155">
        <f>D57+('Equity Bridge'!$C$11-'Equity Bridge'!$C$5)</f>
        <v>52234.990706892415</v>
      </c>
      <c r="L57" s="155">
        <f>E57+('Equity Bridge'!$C$11-'Equity Bridge'!$C$5)</f>
        <v>57180.40556101493</v>
      </c>
      <c r="M57" s="155">
        <f>F57+('Equity Bridge'!$C$11-'Equity Bridge'!$C$5)</f>
        <v>63349.75798898653</v>
      </c>
      <c r="N57" s="11">
        <f>G57+('Equity Bridge'!$C$11-'Equity Bridge'!$C$5)</f>
        <v>71261.580987912675</v>
      </c>
    </row>
    <row r="58" spans="1:23" x14ac:dyDescent="0.2">
      <c r="A58" s="196"/>
      <c r="B58" s="52">
        <f>$C$8+0.01</f>
        <v>7.0405776894078703E-2</v>
      </c>
      <c r="C58" s="155">
        <f t="shared" si="17"/>
        <v>46833.206347925094</v>
      </c>
      <c r="D58" s="155">
        <f t="shared" si="17"/>
        <v>49566.698135660175</v>
      </c>
      <c r="E58" s="155">
        <f t="shared" si="17"/>
        <v>52793.548547886858</v>
      </c>
      <c r="F58" s="155">
        <f t="shared" si="17"/>
        <v>56660.573680365858</v>
      </c>
      <c r="G58" s="11">
        <f t="shared" si="17"/>
        <v>61379.258094327874</v>
      </c>
      <c r="I58" s="52">
        <f>$C$8+0.01</f>
        <v>7.0405776894078703E-2</v>
      </c>
      <c r="J58" s="155">
        <f>C58+('Equity Bridge'!$C$11-'Equity Bridge'!$C$5)</f>
        <v>40024.206347925094</v>
      </c>
      <c r="K58" s="155">
        <f>D58+('Equity Bridge'!$C$11-'Equity Bridge'!$C$5)</f>
        <v>42757.698135660175</v>
      </c>
      <c r="L58" s="155">
        <f>E58+('Equity Bridge'!$C$11-'Equity Bridge'!$C$5)</f>
        <v>45984.548547886858</v>
      </c>
      <c r="M58" s="155">
        <f>F58+('Equity Bridge'!$C$11-'Equity Bridge'!$C$5)</f>
        <v>49851.573680365858</v>
      </c>
      <c r="N58" s="11">
        <f>G58+('Equity Bridge'!$C$11-'Equity Bridge'!$C$5)</f>
        <v>54570.258094327874</v>
      </c>
    </row>
    <row r="59" spans="1:23" x14ac:dyDescent="0.2">
      <c r="A59" s="196"/>
      <c r="B59" s="52">
        <f>$C$8+0.02</f>
        <v>8.0405776894078712E-2</v>
      </c>
      <c r="C59" s="155">
        <f t="shared" si="17"/>
        <v>40841.676367716682</v>
      </c>
      <c r="D59" s="155">
        <f t="shared" si="17"/>
        <v>42783.488344881662</v>
      </c>
      <c r="E59" s="155">
        <f t="shared" si="17"/>
        <v>45022.187243871558</v>
      </c>
      <c r="F59" s="155">
        <f t="shared" si="17"/>
        <v>47631.496209331672</v>
      </c>
      <c r="G59" s="11">
        <f t="shared" si="17"/>
        <v>50711.750464566954</v>
      </c>
      <c r="I59" s="52">
        <f>$C$8+0.02</f>
        <v>8.0405776894078712E-2</v>
      </c>
      <c r="J59" s="155">
        <f>C59+('Equity Bridge'!$C$11-'Equity Bridge'!$C$5)</f>
        <v>34032.676367716682</v>
      </c>
      <c r="K59" s="155">
        <f>D59+('Equity Bridge'!$C$11-'Equity Bridge'!$C$5)</f>
        <v>35974.488344881662</v>
      </c>
      <c r="L59" s="155">
        <f>E59+('Equity Bridge'!$C$11-'Equity Bridge'!$C$5)</f>
        <v>38213.187243871558</v>
      </c>
      <c r="M59" s="155">
        <f>F59+('Equity Bridge'!$C$11-'Equity Bridge'!$C$5)</f>
        <v>40822.496209331672</v>
      </c>
      <c r="N59" s="11">
        <f>G59+('Equity Bridge'!$C$11-'Equity Bridge'!$C$5)</f>
        <v>43902.750464566954</v>
      </c>
    </row>
    <row r="60" spans="1:23" x14ac:dyDescent="0.2">
      <c r="A60" s="196"/>
    </row>
    <row r="64" spans="1:23" x14ac:dyDescent="0.2">
      <c r="C64" s="179"/>
      <c r="E64" s="179"/>
      <c r="J64" s="49"/>
      <c r="K64" s="49"/>
      <c r="L64" s="49"/>
      <c r="M64" s="49"/>
      <c r="N64" s="49"/>
    </row>
    <row r="65" spans="10:14" x14ac:dyDescent="0.2">
      <c r="J65" s="49"/>
      <c r="K65" s="49"/>
      <c r="L65" s="49"/>
      <c r="M65" s="49"/>
      <c r="N65" s="49"/>
    </row>
    <row r="66" spans="10:14" x14ac:dyDescent="0.2">
      <c r="J66" s="49"/>
      <c r="K66" s="49"/>
      <c r="L66" s="49"/>
      <c r="M66" s="49"/>
      <c r="N66" s="49"/>
    </row>
    <row r="67" spans="10:14" x14ac:dyDescent="0.2">
      <c r="J67" s="49"/>
      <c r="K67" s="49"/>
      <c r="L67" s="49"/>
      <c r="M67" s="49"/>
      <c r="N67" s="49"/>
    </row>
    <row r="68" spans="10:14" x14ac:dyDescent="0.2">
      <c r="J68" s="49"/>
      <c r="K68" s="49"/>
      <c r="L68" s="49"/>
      <c r="M68" s="49"/>
      <c r="N68" s="49"/>
    </row>
    <row r="74" spans="10:14" x14ac:dyDescent="0.2">
      <c r="J74" s="179"/>
    </row>
  </sheetData>
  <mergeCells count="1">
    <mergeCell ref="A56:A60"/>
  </mergeCells>
  <pageMargins left="0.7" right="0.7" top="0.78740157499999996" bottom="0.7874015749999999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35"/>
  <sheetViews>
    <sheetView topLeftCell="A7" zoomScale="107" zoomScaleNormal="107" workbookViewId="0">
      <selection activeCell="C14" sqref="C14"/>
    </sheetView>
  </sheetViews>
  <sheetFormatPr baseColWidth="10" defaultColWidth="11" defaultRowHeight="15" x14ac:dyDescent="0.2"/>
  <cols>
    <col min="1" max="1" width="11" style="1" customWidth="1"/>
    <col min="2" max="2" width="40.33203125" style="1" customWidth="1"/>
    <col min="3" max="3" width="16.33203125" style="1" customWidth="1"/>
    <col min="4" max="8" width="11" style="1" customWidth="1"/>
    <col min="9" max="9" width="21.6640625" style="1" customWidth="1"/>
    <col min="10" max="13" width="11" style="1" customWidth="1"/>
    <col min="14" max="14" width="12.6640625" style="1" customWidth="1"/>
    <col min="15" max="15" width="11" style="1" customWidth="1"/>
    <col min="16" max="16384" width="11" style="1"/>
  </cols>
  <sheetData>
    <row r="2" spans="2:15" x14ac:dyDescent="0.2">
      <c r="B2" s="34" t="s">
        <v>58</v>
      </c>
      <c r="C2" s="35"/>
      <c r="F2" s="17" t="s">
        <v>59</v>
      </c>
      <c r="G2" s="17"/>
      <c r="H2" s="21"/>
      <c r="I2" s="22" t="s">
        <v>60</v>
      </c>
      <c r="J2" s="17" t="s">
        <v>61</v>
      </c>
      <c r="K2" s="17" t="s">
        <v>62</v>
      </c>
      <c r="L2" s="17" t="s">
        <v>63</v>
      </c>
      <c r="M2" s="17" t="s">
        <v>64</v>
      </c>
      <c r="N2" s="56"/>
      <c r="O2" s="56"/>
    </row>
    <row r="3" spans="2:15" x14ac:dyDescent="0.2">
      <c r="B3" s="16"/>
      <c r="C3" s="12"/>
      <c r="F3" s="14"/>
      <c r="G3" s="13"/>
      <c r="H3" s="23"/>
      <c r="I3" s="24"/>
      <c r="J3" s="43"/>
      <c r="K3" s="24"/>
      <c r="L3" s="43"/>
      <c r="M3" s="156"/>
      <c r="N3" s="76"/>
      <c r="O3" s="76"/>
    </row>
    <row r="4" spans="2:15" x14ac:dyDescent="0.2">
      <c r="B4" s="16" t="s">
        <v>65</v>
      </c>
      <c r="C4" s="152">
        <v>2.5000000000000001E-2</v>
      </c>
      <c r="F4" s="14"/>
      <c r="G4" s="13"/>
      <c r="H4" s="23"/>
      <c r="I4" s="24"/>
      <c r="J4" s="43"/>
      <c r="K4" s="24"/>
      <c r="L4" s="43"/>
      <c r="M4" s="156"/>
      <c r="N4" s="76"/>
      <c r="O4" s="76"/>
    </row>
    <row r="5" spans="2:15" x14ac:dyDescent="0.2">
      <c r="B5" s="16" t="s">
        <v>66</v>
      </c>
      <c r="C5" s="26">
        <v>4.2299999999999997E-2</v>
      </c>
      <c r="G5" s="13"/>
      <c r="H5" s="23"/>
      <c r="I5" s="24"/>
      <c r="J5" s="43"/>
      <c r="K5" s="24"/>
      <c r="L5" s="43"/>
      <c r="M5" s="156"/>
      <c r="N5" s="76"/>
      <c r="O5" s="76"/>
    </row>
    <row r="6" spans="2:15" x14ac:dyDescent="0.2">
      <c r="B6" s="16" t="s">
        <v>67</v>
      </c>
      <c r="C6" s="152">
        <f>C26</f>
        <v>0.2373115115851416</v>
      </c>
      <c r="F6" s="14" t="s">
        <v>68</v>
      </c>
      <c r="G6" s="13"/>
      <c r="H6" s="23"/>
      <c r="I6" s="24"/>
      <c r="J6" s="43"/>
      <c r="K6" s="24"/>
      <c r="L6" s="43"/>
      <c r="M6" s="156"/>
      <c r="N6" s="76"/>
      <c r="O6" s="76"/>
    </row>
    <row r="7" spans="2:15" x14ac:dyDescent="0.2">
      <c r="B7" s="16" t="s">
        <v>69</v>
      </c>
      <c r="C7" s="78">
        <v>1.157</v>
      </c>
      <c r="F7" s="14"/>
      <c r="G7" s="14"/>
      <c r="H7" s="23"/>
      <c r="I7" s="24"/>
      <c r="J7" s="15"/>
      <c r="K7" s="24"/>
      <c r="L7" s="15"/>
      <c r="M7" s="76"/>
      <c r="N7" s="76"/>
      <c r="O7" s="76"/>
    </row>
    <row r="8" spans="2:15" x14ac:dyDescent="0.2">
      <c r="B8" s="128"/>
      <c r="C8" s="19"/>
      <c r="F8" s="14"/>
      <c r="G8" s="14"/>
      <c r="H8" s="23"/>
      <c r="I8" s="24"/>
      <c r="J8" s="15"/>
      <c r="K8" s="24"/>
      <c r="L8" s="15"/>
      <c r="M8" s="76"/>
      <c r="N8" s="76"/>
      <c r="O8" s="76"/>
    </row>
    <row r="9" spans="2:15" x14ac:dyDescent="0.2">
      <c r="B9" s="16"/>
      <c r="C9" s="12"/>
      <c r="F9" s="14"/>
      <c r="G9" s="14"/>
      <c r="H9" s="23"/>
      <c r="I9" s="24"/>
      <c r="J9" s="15"/>
      <c r="K9" s="24"/>
      <c r="L9" s="15"/>
      <c r="M9" s="76"/>
      <c r="N9" s="76"/>
      <c r="O9" s="76"/>
    </row>
    <row r="10" spans="2:15" x14ac:dyDescent="0.2">
      <c r="B10" s="22" t="s">
        <v>70</v>
      </c>
      <c r="C10" s="175">
        <f>C4+C7*C5</f>
        <v>7.394110000000001E-2</v>
      </c>
      <c r="F10" s="14"/>
      <c r="G10" s="14"/>
      <c r="H10" s="23"/>
      <c r="I10" s="24"/>
      <c r="J10" s="15"/>
      <c r="K10" s="24"/>
      <c r="L10" s="15"/>
      <c r="M10" s="76"/>
      <c r="N10" s="76"/>
      <c r="O10" s="76"/>
    </row>
    <row r="11" spans="2:15" x14ac:dyDescent="0.2">
      <c r="B11" s="14"/>
      <c r="C11" s="14"/>
      <c r="F11" s="14"/>
      <c r="G11" s="14"/>
      <c r="H11" s="23"/>
      <c r="I11" s="24"/>
      <c r="J11" s="15"/>
      <c r="K11" s="24"/>
      <c r="L11" s="15"/>
      <c r="M11" s="76"/>
      <c r="N11" s="76"/>
      <c r="O11" s="76"/>
    </row>
    <row r="12" spans="2:15" x14ac:dyDescent="0.2">
      <c r="B12" s="34" t="s">
        <v>71</v>
      </c>
      <c r="C12" s="35"/>
      <c r="F12" s="14"/>
      <c r="G12" s="14"/>
      <c r="H12" s="23"/>
      <c r="I12" s="24"/>
      <c r="J12" s="15"/>
      <c r="K12" s="24"/>
      <c r="L12" s="15"/>
      <c r="M12" s="76"/>
      <c r="N12" s="76"/>
      <c r="O12" s="76"/>
    </row>
    <row r="13" spans="2:15" x14ac:dyDescent="0.2">
      <c r="B13" s="33" t="s">
        <v>72</v>
      </c>
      <c r="C13" s="152">
        <v>9.4999999999999998E-3</v>
      </c>
      <c r="F13" s="14"/>
      <c r="G13" s="14"/>
      <c r="H13" s="23"/>
      <c r="I13" s="24"/>
      <c r="J13" s="15"/>
      <c r="K13" s="24"/>
      <c r="L13" s="15"/>
      <c r="M13" s="76"/>
      <c r="N13" s="76"/>
      <c r="O13" s="76"/>
    </row>
    <row r="14" spans="2:15" x14ac:dyDescent="0.2">
      <c r="B14" s="16" t="s">
        <v>65</v>
      </c>
      <c r="C14" s="152">
        <f>C4</f>
        <v>2.5000000000000001E-2</v>
      </c>
      <c r="F14" s="14"/>
      <c r="G14" s="14"/>
      <c r="H14" s="23"/>
      <c r="I14" s="24"/>
      <c r="J14" s="15"/>
      <c r="K14" s="24"/>
      <c r="L14" s="15"/>
      <c r="M14" s="76"/>
      <c r="N14" s="76"/>
      <c r="O14" s="76"/>
    </row>
    <row r="15" spans="2:15" ht="15.75" customHeight="1" thickBot="1" x14ac:dyDescent="0.25">
      <c r="B15" s="16" t="s">
        <v>73</v>
      </c>
      <c r="C15" s="152">
        <f>C13+C14</f>
        <v>3.4500000000000003E-2</v>
      </c>
      <c r="F15" s="27"/>
      <c r="G15" s="27"/>
      <c r="H15" s="28"/>
      <c r="I15" s="29"/>
      <c r="J15" s="30"/>
      <c r="K15" s="127"/>
      <c r="L15" s="30"/>
      <c r="M15" s="77"/>
      <c r="N15" s="76"/>
      <c r="O15" s="76"/>
    </row>
    <row r="16" spans="2:15" ht="15.75" customHeight="1" thickTop="1" x14ac:dyDescent="0.2">
      <c r="B16" s="16" t="s">
        <v>74</v>
      </c>
      <c r="C16" s="152">
        <v>0.3</v>
      </c>
      <c r="F16" s="14"/>
      <c r="G16" s="14"/>
      <c r="H16" s="31"/>
      <c r="I16" s="31"/>
      <c r="J16" s="31"/>
      <c r="K16" s="31"/>
      <c r="L16" s="31"/>
      <c r="M16" s="32"/>
      <c r="N16" s="31"/>
      <c r="O16" s="31"/>
    </row>
    <row r="17" spans="2:15" x14ac:dyDescent="0.2">
      <c r="B17" s="16" t="s">
        <v>75</v>
      </c>
      <c r="C17" s="152">
        <f>C15*(1-C16)</f>
        <v>2.4150000000000001E-2</v>
      </c>
      <c r="F17" s="14"/>
      <c r="G17" s="14"/>
      <c r="H17" s="31"/>
      <c r="I17" s="31"/>
      <c r="J17" s="31"/>
      <c r="K17" s="31"/>
      <c r="L17" s="31"/>
      <c r="M17" s="32"/>
      <c r="N17" s="32"/>
      <c r="O17" s="32"/>
    </row>
    <row r="18" spans="2:15" x14ac:dyDescent="0.2">
      <c r="B18" s="16"/>
      <c r="C18" s="12"/>
      <c r="J18" s="20"/>
    </row>
    <row r="19" spans="2:15" x14ac:dyDescent="0.2">
      <c r="B19" s="16"/>
      <c r="C19" s="12"/>
    </row>
    <row r="20" spans="2:15" x14ac:dyDescent="0.2">
      <c r="B20" s="22" t="s">
        <v>71</v>
      </c>
      <c r="C20" s="176">
        <f>C17</f>
        <v>2.4150000000000001E-2</v>
      </c>
    </row>
    <row r="21" spans="2:15" x14ac:dyDescent="0.2">
      <c r="B21" s="14"/>
      <c r="C21" s="14"/>
      <c r="K21" s="40"/>
      <c r="L21" s="14"/>
      <c r="M21" s="14"/>
    </row>
    <row r="22" spans="2:15" x14ac:dyDescent="0.2">
      <c r="B22" s="34" t="s">
        <v>76</v>
      </c>
      <c r="C22" s="35"/>
      <c r="K22" s="14"/>
      <c r="L22" s="14"/>
      <c r="M22" s="14"/>
    </row>
    <row r="23" spans="2:15" x14ac:dyDescent="0.2">
      <c r="B23" s="33"/>
      <c r="C23" s="12"/>
      <c r="K23" s="14"/>
      <c r="L23" s="129"/>
      <c r="M23" s="129"/>
    </row>
    <row r="24" spans="2:15" x14ac:dyDescent="0.2">
      <c r="B24" s="16" t="s">
        <v>77</v>
      </c>
      <c r="C24" s="25">
        <f>'Equity Bridge'!C13*'Equity Bridge'!C16</f>
        <v>16590</v>
      </c>
      <c r="K24" s="14"/>
      <c r="L24" s="45"/>
      <c r="M24" s="45"/>
    </row>
    <row r="25" spans="2:15" x14ac:dyDescent="0.2">
      <c r="B25" s="16" t="s">
        <v>78</v>
      </c>
      <c r="C25" s="189">
        <v>5162</v>
      </c>
      <c r="K25" s="14"/>
      <c r="L25" s="45"/>
      <c r="M25" s="45"/>
    </row>
    <row r="26" spans="2:15" x14ac:dyDescent="0.2">
      <c r="B26" s="16" t="s">
        <v>79</v>
      </c>
      <c r="C26" s="152">
        <f>C25/(C24+C25)</f>
        <v>0.2373115115851416</v>
      </c>
      <c r="K26" s="14"/>
      <c r="L26" s="45"/>
      <c r="M26" s="45"/>
    </row>
    <row r="27" spans="2:15" x14ac:dyDescent="0.2">
      <c r="B27" s="16" t="s">
        <v>80</v>
      </c>
      <c r="C27" s="152">
        <f>C24/(C24+C25)</f>
        <v>0.76268848841485837</v>
      </c>
      <c r="K27" s="14"/>
      <c r="L27" s="45"/>
      <c r="M27" s="45"/>
    </row>
    <row r="28" spans="2:15" x14ac:dyDescent="0.2">
      <c r="B28" s="16" t="s">
        <v>81</v>
      </c>
      <c r="C28" s="152">
        <f>C25/C24</f>
        <v>0.31115129596142255</v>
      </c>
      <c r="K28" s="14"/>
      <c r="L28" s="45"/>
      <c r="M28" s="45"/>
    </row>
    <row r="29" spans="2:15" x14ac:dyDescent="0.2">
      <c r="B29" s="16" t="s">
        <v>74</v>
      </c>
      <c r="C29" s="26">
        <v>0.3</v>
      </c>
      <c r="K29" s="14"/>
      <c r="L29" s="45"/>
      <c r="M29" s="45"/>
    </row>
    <row r="30" spans="2:15" x14ac:dyDescent="0.2">
      <c r="B30" s="16"/>
      <c r="C30" s="12"/>
      <c r="K30" s="14"/>
      <c r="L30" s="45"/>
      <c r="M30" s="45"/>
    </row>
    <row r="31" spans="2:15" x14ac:dyDescent="0.2">
      <c r="B31" s="22" t="s">
        <v>6</v>
      </c>
      <c r="C31" s="36">
        <f>C27*C10+C26*C20*(1-C29)</f>
        <v>6.0405776894078708E-2</v>
      </c>
      <c r="K31" s="14"/>
      <c r="L31" s="130"/>
      <c r="M31" s="130"/>
    </row>
    <row r="32" spans="2:15" x14ac:dyDescent="0.2">
      <c r="K32" s="14"/>
      <c r="L32" s="130"/>
      <c r="M32" s="130"/>
    </row>
    <row r="33" spans="11:13" x14ac:dyDescent="0.2">
      <c r="K33" s="14"/>
      <c r="L33" s="14"/>
      <c r="M33" s="14"/>
    </row>
    <row r="34" spans="11:13" x14ac:dyDescent="0.2">
      <c r="K34" s="14"/>
      <c r="L34" s="14"/>
      <c r="M34" s="130"/>
    </row>
    <row r="35" spans="11:13" x14ac:dyDescent="0.2">
      <c r="K35" s="14"/>
      <c r="L35" s="14"/>
      <c r="M35" s="130"/>
    </row>
  </sheetData>
  <pageMargins left="0.7" right="0.7" top="0.78740157499999996" bottom="0.78740157499999996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35"/>
  <sheetViews>
    <sheetView zoomScale="149" workbookViewId="0">
      <selection activeCell="C13" sqref="C13"/>
    </sheetView>
  </sheetViews>
  <sheetFormatPr baseColWidth="10" defaultColWidth="11" defaultRowHeight="15" x14ac:dyDescent="0.2"/>
  <cols>
    <col min="1" max="1" width="11" style="1" customWidth="1"/>
    <col min="2" max="2" width="27.33203125" style="1" customWidth="1"/>
    <col min="3" max="3" width="12.33203125" style="1" bestFit="1" customWidth="1"/>
    <col min="4" max="4" width="11" style="1" customWidth="1"/>
    <col min="5" max="16384" width="11" style="1"/>
  </cols>
  <sheetData>
    <row r="2" spans="2:3" x14ac:dyDescent="0.2">
      <c r="B2" s="2" t="s">
        <v>82</v>
      </c>
      <c r="C2" s="3"/>
    </row>
    <row r="5" spans="2:3" x14ac:dyDescent="0.2">
      <c r="B5" s="6" t="s">
        <v>54</v>
      </c>
      <c r="C5" s="7">
        <f>'FCFF &amp; DCF'!H50</f>
        <v>63989.40556101493</v>
      </c>
    </row>
    <row r="6" spans="2:3" x14ac:dyDescent="0.2">
      <c r="B6" s="9" t="s">
        <v>83</v>
      </c>
      <c r="C6" s="8">
        <v>0</v>
      </c>
    </row>
    <row r="7" spans="2:3" x14ac:dyDescent="0.2">
      <c r="B7" s="4" t="s">
        <v>84</v>
      </c>
      <c r="C7" s="5">
        <v>-5162</v>
      </c>
    </row>
    <row r="8" spans="2:3" x14ac:dyDescent="0.2">
      <c r="B8" s="4" t="s">
        <v>85</v>
      </c>
      <c r="C8" s="5">
        <v>-1644</v>
      </c>
    </row>
    <row r="9" spans="2:3" x14ac:dyDescent="0.2">
      <c r="B9" s="4" t="s">
        <v>86</v>
      </c>
      <c r="C9" s="5">
        <v>-3</v>
      </c>
    </row>
    <row r="10" spans="2:3" x14ac:dyDescent="0.2">
      <c r="B10" s="4" t="s">
        <v>87</v>
      </c>
      <c r="C10" s="5">
        <v>0</v>
      </c>
    </row>
    <row r="11" spans="2:3" x14ac:dyDescent="0.2">
      <c r="B11" s="61" t="s">
        <v>88</v>
      </c>
      <c r="C11" s="134">
        <f>SUM(C5:C10)</f>
        <v>57180.40556101493</v>
      </c>
    </row>
    <row r="12" spans="2:3" x14ac:dyDescent="0.2">
      <c r="B12" s="194"/>
    </row>
    <row r="13" spans="2:3" x14ac:dyDescent="0.2">
      <c r="B13" s="4" t="s">
        <v>89</v>
      </c>
      <c r="C13" s="5">
        <v>500</v>
      </c>
    </row>
    <row r="14" spans="2:3" x14ac:dyDescent="0.2">
      <c r="B14" s="4" t="s">
        <v>90</v>
      </c>
      <c r="C14" s="10">
        <f>C11/C13</f>
        <v>114.36081112202986</v>
      </c>
    </row>
    <row r="15" spans="2:3" x14ac:dyDescent="0.2">
      <c r="B15" s="4"/>
      <c r="C15" s="5"/>
    </row>
    <row r="16" spans="2:3" x14ac:dyDescent="0.2">
      <c r="B16" s="4" t="s">
        <v>91</v>
      </c>
      <c r="C16" s="11">
        <v>33.18</v>
      </c>
    </row>
    <row r="17" spans="2:3" x14ac:dyDescent="0.2">
      <c r="B17" s="4" t="s">
        <v>92</v>
      </c>
      <c r="C17" s="11">
        <f>C14/C16-1</f>
        <v>2.4466790573245887</v>
      </c>
    </row>
    <row r="29" spans="2:3" x14ac:dyDescent="0.2">
      <c r="B29" s="6"/>
      <c r="C29" s="7"/>
    </row>
    <row r="30" spans="2:3" x14ac:dyDescent="0.2">
      <c r="B30" s="4"/>
      <c r="C30" s="5"/>
    </row>
    <row r="31" spans="2:3" x14ac:dyDescent="0.2">
      <c r="B31" s="4"/>
      <c r="C31" s="5"/>
    </row>
    <row r="32" spans="2:3" x14ac:dyDescent="0.2">
      <c r="B32" s="4"/>
      <c r="C32" s="5"/>
    </row>
    <row r="33" spans="2:3" x14ac:dyDescent="0.2">
      <c r="B33" s="4"/>
      <c r="C33" s="5"/>
    </row>
    <row r="34" spans="2:3" x14ac:dyDescent="0.2">
      <c r="B34" s="4"/>
      <c r="C34" s="5"/>
    </row>
    <row r="35" spans="2:3" x14ac:dyDescent="0.2">
      <c r="B35" s="6"/>
      <c r="C35" s="7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26"/>
  <sheetViews>
    <sheetView topLeftCell="D2" zoomScale="131" zoomScaleNormal="116" workbookViewId="0">
      <selection activeCell="R23" sqref="R23"/>
    </sheetView>
  </sheetViews>
  <sheetFormatPr baseColWidth="10" defaultColWidth="11" defaultRowHeight="15" x14ac:dyDescent="0.2"/>
  <cols>
    <col min="1" max="1" width="11" style="1" customWidth="1"/>
    <col min="2" max="2" width="15.6640625" style="1" bestFit="1" customWidth="1"/>
    <col min="3" max="3" width="11" style="1" customWidth="1"/>
    <col min="4" max="16384" width="11" style="1"/>
  </cols>
  <sheetData>
    <row r="2" spans="2:27" x14ac:dyDescent="0.2">
      <c r="B2" s="63"/>
      <c r="C2" s="64"/>
      <c r="D2" s="197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65"/>
      <c r="Q2" s="65"/>
      <c r="R2" s="65"/>
      <c r="S2" s="65"/>
      <c r="T2" s="64"/>
      <c r="U2" s="64"/>
      <c r="V2" s="64"/>
      <c r="W2" s="64"/>
      <c r="X2" s="64"/>
      <c r="Y2" s="64"/>
      <c r="Z2" s="64"/>
      <c r="AA2" s="64"/>
    </row>
    <row r="3" spans="2:27" x14ac:dyDescent="0.2">
      <c r="B3" s="66"/>
      <c r="C3" s="67"/>
      <c r="D3" s="197"/>
      <c r="E3" s="196"/>
      <c r="F3" s="196"/>
      <c r="G3" s="196"/>
      <c r="H3" s="197"/>
      <c r="I3" s="196"/>
      <c r="J3" s="196"/>
      <c r="K3" s="196"/>
      <c r="L3" s="197"/>
      <c r="M3" s="196"/>
      <c r="N3" s="196"/>
      <c r="O3" s="196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2:27" x14ac:dyDescent="0.2">
      <c r="B4" s="66"/>
      <c r="C4" s="68"/>
      <c r="D4" s="69"/>
      <c r="E4" s="69"/>
      <c r="F4" s="69"/>
      <c r="G4" s="69"/>
      <c r="H4" s="69"/>
      <c r="I4" s="69"/>
      <c r="J4" s="69"/>
      <c r="K4" s="69"/>
      <c r="L4" s="70"/>
      <c r="M4" s="70"/>
      <c r="N4" s="70"/>
      <c r="O4" s="70"/>
      <c r="P4" s="69"/>
      <c r="Q4" s="69"/>
      <c r="R4" s="69"/>
      <c r="S4" s="69"/>
      <c r="T4" s="64"/>
      <c r="U4" s="64"/>
      <c r="V4" s="64"/>
      <c r="W4" s="64"/>
      <c r="X4" s="64"/>
      <c r="Y4" s="64"/>
      <c r="Z4" s="64"/>
      <c r="AA4" s="64"/>
    </row>
    <row r="5" spans="2:27" x14ac:dyDescent="0.2">
      <c r="B5" s="66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</row>
    <row r="6" spans="2:27" x14ac:dyDescent="0.2">
      <c r="B6" s="106"/>
      <c r="C6" s="107"/>
      <c r="D6" s="201" t="s">
        <v>93</v>
      </c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114" t="s">
        <v>94</v>
      </c>
      <c r="Q6" s="108"/>
      <c r="R6" s="109"/>
      <c r="S6" s="109"/>
      <c r="T6" s="110"/>
      <c r="U6" s="110"/>
      <c r="V6" s="110"/>
      <c r="W6" s="110"/>
      <c r="X6" s="110"/>
      <c r="Y6" s="110"/>
      <c r="Z6" s="110"/>
      <c r="AA6" s="111"/>
    </row>
    <row r="7" spans="2:27" x14ac:dyDescent="0.2">
      <c r="B7" s="112"/>
      <c r="C7" s="113" t="s">
        <v>95</v>
      </c>
      <c r="D7" s="198" t="s">
        <v>40</v>
      </c>
      <c r="E7" s="199"/>
      <c r="F7" s="199"/>
      <c r="G7" s="200"/>
      <c r="H7" s="198" t="s">
        <v>34</v>
      </c>
      <c r="I7" s="199"/>
      <c r="J7" s="199"/>
      <c r="K7" s="200"/>
      <c r="L7" s="198" t="s">
        <v>43</v>
      </c>
      <c r="M7" s="199"/>
      <c r="N7" s="199"/>
      <c r="O7" s="200"/>
      <c r="P7" s="114" t="s">
        <v>96</v>
      </c>
      <c r="Q7" s="109"/>
      <c r="R7" s="115"/>
      <c r="S7" s="116"/>
      <c r="T7" s="117" t="s">
        <v>97</v>
      </c>
      <c r="U7" s="115"/>
      <c r="V7" s="115"/>
      <c r="W7" s="116"/>
      <c r="X7" s="117" t="s">
        <v>98</v>
      </c>
      <c r="Y7" s="115"/>
      <c r="Z7" s="115"/>
      <c r="AA7" s="116"/>
    </row>
    <row r="8" spans="2:27" x14ac:dyDescent="0.2">
      <c r="B8" s="112" t="s">
        <v>99</v>
      </c>
      <c r="C8" s="79"/>
      <c r="D8" s="80" t="s">
        <v>100</v>
      </c>
      <c r="E8" s="81"/>
      <c r="F8" s="81"/>
      <c r="G8" s="82"/>
      <c r="H8" s="80" t="s">
        <v>100</v>
      </c>
      <c r="I8" s="83"/>
      <c r="J8" s="83"/>
      <c r="K8" s="84"/>
      <c r="L8" s="80" t="s">
        <v>100</v>
      </c>
      <c r="M8" s="85"/>
      <c r="N8" s="85"/>
      <c r="O8" s="86"/>
      <c r="P8" s="87" t="s">
        <v>101</v>
      </c>
      <c r="Q8" s="88"/>
      <c r="R8" s="88"/>
      <c r="S8" s="89"/>
      <c r="T8" s="118" t="s">
        <v>101</v>
      </c>
      <c r="U8" s="119"/>
      <c r="V8" s="119"/>
      <c r="W8" s="120"/>
      <c r="X8" s="118" t="s">
        <v>101</v>
      </c>
      <c r="Y8" s="119"/>
      <c r="Z8" s="119"/>
      <c r="AA8" s="120"/>
    </row>
    <row r="9" spans="2:27" x14ac:dyDescent="0.2">
      <c r="B9" s="121"/>
      <c r="C9" s="90" t="s">
        <v>100</v>
      </c>
      <c r="D9" s="91" t="s">
        <v>102</v>
      </c>
      <c r="E9" s="92" t="s">
        <v>103</v>
      </c>
      <c r="F9" s="92" t="s">
        <v>104</v>
      </c>
      <c r="G9" s="93" t="s">
        <v>105</v>
      </c>
      <c r="H9" s="91" t="s">
        <v>102</v>
      </c>
      <c r="I9" s="92" t="s">
        <v>103</v>
      </c>
      <c r="J9" s="92" t="s">
        <v>104</v>
      </c>
      <c r="K9" s="93" t="s">
        <v>105</v>
      </c>
      <c r="L9" s="91" t="s">
        <v>102</v>
      </c>
      <c r="M9" s="92" t="s">
        <v>103</v>
      </c>
      <c r="N9" s="92" t="s">
        <v>104</v>
      </c>
      <c r="O9" s="93" t="s">
        <v>105</v>
      </c>
      <c r="P9" s="94" t="s">
        <v>102</v>
      </c>
      <c r="Q9" s="94" t="s">
        <v>103</v>
      </c>
      <c r="R9" s="94" t="s">
        <v>104</v>
      </c>
      <c r="S9" s="95" t="s">
        <v>105</v>
      </c>
      <c r="T9" s="96" t="s">
        <v>102</v>
      </c>
      <c r="U9" s="94" t="s">
        <v>103</v>
      </c>
      <c r="V9" s="94" t="s">
        <v>104</v>
      </c>
      <c r="W9" s="95" t="s">
        <v>105</v>
      </c>
      <c r="X9" s="96" t="s">
        <v>102</v>
      </c>
      <c r="Y9" s="94" t="s">
        <v>103</v>
      </c>
      <c r="Z9" s="94" t="s">
        <v>104</v>
      </c>
      <c r="AA9" s="95" t="s">
        <v>105</v>
      </c>
    </row>
    <row r="10" spans="2:27" x14ac:dyDescent="0.2">
      <c r="B10" s="33" t="s">
        <v>106</v>
      </c>
      <c r="C10" s="164">
        <v>23812.799999999999</v>
      </c>
      <c r="D10" s="158">
        <v>3704</v>
      </c>
      <c r="E10" s="158">
        <v>2952</v>
      </c>
      <c r="F10" s="158">
        <v>4643.1000000000004</v>
      </c>
      <c r="G10" s="159">
        <v>5850.5</v>
      </c>
      <c r="H10" s="158">
        <v>45530</v>
      </c>
      <c r="I10" s="158">
        <v>44003</v>
      </c>
      <c r="J10" s="158">
        <v>48726.6</v>
      </c>
      <c r="K10" s="159">
        <v>52634.1</v>
      </c>
      <c r="L10" s="158">
        <v>2629</v>
      </c>
      <c r="M10" s="158">
        <v>1918</v>
      </c>
      <c r="N10" s="158">
        <v>3551.4</v>
      </c>
      <c r="O10" s="158">
        <v>4694.8999999999996</v>
      </c>
      <c r="P10" s="97">
        <f>$C10/D10</f>
        <v>6.4289416846652268</v>
      </c>
      <c r="Q10" s="98">
        <f t="shared" ref="P10:AA11" si="0">$C10/E10</f>
        <v>8.0666666666666664</v>
      </c>
      <c r="R10" s="98">
        <f t="shared" si="0"/>
        <v>5.12864250177683</v>
      </c>
      <c r="S10" s="99">
        <f t="shared" si="0"/>
        <v>4.0702162208358255</v>
      </c>
      <c r="T10" s="98">
        <f t="shared" si="0"/>
        <v>0.52301339775971889</v>
      </c>
      <c r="U10" s="98">
        <f t="shared" si="0"/>
        <v>0.54116310251573752</v>
      </c>
      <c r="V10" s="98">
        <f t="shared" si="0"/>
        <v>0.48870226939700284</v>
      </c>
      <c r="W10" s="99">
        <f t="shared" si="0"/>
        <v>0.45242152900876048</v>
      </c>
      <c r="X10" s="98">
        <f>$C10/L10</f>
        <v>9.0577405857740576</v>
      </c>
      <c r="Y10" s="98">
        <f t="shared" si="0"/>
        <v>12.415432742440041</v>
      </c>
      <c r="Z10" s="98">
        <f t="shared" si="0"/>
        <v>6.7051866869403609</v>
      </c>
      <c r="AA10" s="99">
        <f t="shared" si="0"/>
        <v>5.0720569128202948</v>
      </c>
    </row>
    <row r="11" spans="2:27" x14ac:dyDescent="0.2">
      <c r="B11" s="16" t="s">
        <v>107</v>
      </c>
      <c r="C11" s="165">
        <v>57869.1</v>
      </c>
      <c r="D11" s="160">
        <v>6528</v>
      </c>
      <c r="E11" s="160">
        <v>6505</v>
      </c>
      <c r="F11" s="160">
        <v>7270</v>
      </c>
      <c r="G11" s="161">
        <v>8148</v>
      </c>
      <c r="H11" s="160">
        <v>44351</v>
      </c>
      <c r="I11" s="160">
        <v>43331</v>
      </c>
      <c r="J11" s="160">
        <v>45510</v>
      </c>
      <c r="K11" s="161">
        <v>48895</v>
      </c>
      <c r="L11" s="160">
        <v>4489</v>
      </c>
      <c r="M11" s="160">
        <v>4319</v>
      </c>
      <c r="N11" s="160">
        <v>5221</v>
      </c>
      <c r="O11" s="161">
        <v>6181</v>
      </c>
      <c r="P11" s="101">
        <f t="shared" si="0"/>
        <v>8.8647518382352946</v>
      </c>
      <c r="Q11" s="101">
        <f t="shared" si="0"/>
        <v>8.8960953112989998</v>
      </c>
      <c r="R11" s="101">
        <f t="shared" si="0"/>
        <v>7.9599862448418151</v>
      </c>
      <c r="S11" s="102">
        <f t="shared" si="0"/>
        <v>7.1022459499263624</v>
      </c>
      <c r="T11" s="101">
        <f t="shared" si="0"/>
        <v>1.3047980879799779</v>
      </c>
      <c r="U11" s="101">
        <f t="shared" si="0"/>
        <v>1.3355126814520781</v>
      </c>
      <c r="V11" s="101">
        <f t="shared" si="0"/>
        <v>1.2715688859591299</v>
      </c>
      <c r="W11" s="102">
        <f t="shared" si="0"/>
        <v>1.1835381940893752</v>
      </c>
      <c r="X11" s="101">
        <f t="shared" si="0"/>
        <v>12.891312096235241</v>
      </c>
      <c r="Y11" s="101">
        <f t="shared" si="0"/>
        <v>13.398726557073397</v>
      </c>
      <c r="Z11" s="101">
        <f t="shared" si="0"/>
        <v>11.083911128136371</v>
      </c>
      <c r="AA11" s="102">
        <f t="shared" si="0"/>
        <v>9.3624170846141404</v>
      </c>
    </row>
    <row r="12" spans="2:27" x14ac:dyDescent="0.2">
      <c r="B12" s="62"/>
      <c r="C12" s="174"/>
      <c r="D12" s="162"/>
      <c r="E12" s="162"/>
      <c r="F12" s="162"/>
      <c r="G12" s="163"/>
      <c r="H12" s="162"/>
      <c r="I12" s="162"/>
      <c r="J12" s="162"/>
      <c r="K12" s="163"/>
      <c r="L12" s="162"/>
      <c r="M12" s="162"/>
      <c r="N12" s="162"/>
      <c r="O12" s="163"/>
      <c r="P12" s="103"/>
      <c r="Q12" s="103"/>
      <c r="R12" s="103"/>
      <c r="S12" s="104"/>
      <c r="T12" s="103"/>
      <c r="U12" s="103"/>
      <c r="V12" s="103"/>
      <c r="W12" s="104"/>
      <c r="X12" s="103"/>
      <c r="Y12" s="103"/>
      <c r="Z12" s="103"/>
      <c r="AA12" s="104"/>
    </row>
    <row r="13" spans="2:27" x14ac:dyDescent="0.2">
      <c r="B13" s="14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</row>
    <row r="14" spans="2:27" x14ac:dyDescent="0.2">
      <c r="B14" s="106"/>
      <c r="C14" s="107"/>
      <c r="D14" s="146" t="s">
        <v>93</v>
      </c>
      <c r="E14" s="146"/>
      <c r="F14" s="146"/>
      <c r="G14" s="146"/>
      <c r="H14" s="147"/>
      <c r="I14" s="147"/>
      <c r="J14" s="147"/>
      <c r="K14" s="148"/>
      <c r="L14" s="149"/>
      <c r="M14" s="147"/>
      <c r="N14" s="147"/>
      <c r="O14" s="147"/>
      <c r="P14" s="114" t="s">
        <v>108</v>
      </c>
      <c r="Q14" s="108"/>
      <c r="R14" s="108"/>
      <c r="S14" s="150"/>
      <c r="T14" s="119"/>
      <c r="U14" s="119"/>
      <c r="V14" s="119"/>
      <c r="W14" s="119"/>
      <c r="X14" s="119"/>
      <c r="Y14" s="119"/>
      <c r="Z14" s="119"/>
      <c r="AA14" s="120"/>
    </row>
    <row r="15" spans="2:27" x14ac:dyDescent="0.2">
      <c r="B15" s="123"/>
      <c r="C15" s="113" t="s">
        <v>95</v>
      </c>
      <c r="D15" s="124" t="s">
        <v>40</v>
      </c>
      <c r="E15" s="122"/>
      <c r="F15" s="122"/>
      <c r="G15" s="125"/>
      <c r="H15" s="124" t="s">
        <v>34</v>
      </c>
      <c r="I15" s="122"/>
      <c r="J15" s="122"/>
      <c r="K15" s="125"/>
      <c r="L15" s="124" t="s">
        <v>43</v>
      </c>
      <c r="M15" s="122"/>
      <c r="N15" s="122"/>
      <c r="O15" s="125"/>
      <c r="P15" s="114" t="s">
        <v>96</v>
      </c>
      <c r="Q15" s="109"/>
      <c r="R15" s="109"/>
      <c r="S15" s="150"/>
      <c r="T15" s="114" t="s">
        <v>97</v>
      </c>
      <c r="U15" s="109"/>
      <c r="V15" s="109"/>
      <c r="W15" s="150"/>
      <c r="X15" s="114" t="s">
        <v>98</v>
      </c>
      <c r="Y15" s="109"/>
      <c r="Z15" s="109"/>
      <c r="AA15" s="150"/>
    </row>
    <row r="16" spans="2:27" x14ac:dyDescent="0.2">
      <c r="B16" s="112" t="s">
        <v>99</v>
      </c>
      <c r="C16" s="79"/>
      <c r="D16" s="80" t="s">
        <v>100</v>
      </c>
      <c r="E16" s="81"/>
      <c r="F16" s="81"/>
      <c r="G16" s="82"/>
      <c r="H16" s="80" t="s">
        <v>100</v>
      </c>
      <c r="I16" s="83"/>
      <c r="J16" s="83"/>
      <c r="K16" s="84"/>
      <c r="L16" s="80" t="s">
        <v>100</v>
      </c>
      <c r="M16" s="81"/>
      <c r="N16" s="81"/>
      <c r="O16" s="82"/>
      <c r="P16" s="87" t="s">
        <v>101</v>
      </c>
      <c r="Q16" s="88"/>
      <c r="R16" s="88"/>
      <c r="S16" s="89"/>
      <c r="T16" s="118" t="s">
        <v>101</v>
      </c>
      <c r="U16" s="119"/>
      <c r="V16" s="119"/>
      <c r="W16" s="120"/>
      <c r="X16" s="118" t="s">
        <v>101</v>
      </c>
      <c r="Y16" s="119"/>
      <c r="Z16" s="119"/>
      <c r="AA16" s="120"/>
    </row>
    <row r="17" spans="2:27" x14ac:dyDescent="0.2">
      <c r="B17" s="126"/>
      <c r="C17" s="90" t="s">
        <v>100</v>
      </c>
      <c r="D17" s="91" t="s">
        <v>102</v>
      </c>
      <c r="E17" s="92" t="s">
        <v>103</v>
      </c>
      <c r="F17" s="92" t="s">
        <v>104</v>
      </c>
      <c r="G17" s="93" t="s">
        <v>105</v>
      </c>
      <c r="H17" s="91" t="s">
        <v>102</v>
      </c>
      <c r="I17" s="92" t="s">
        <v>103</v>
      </c>
      <c r="J17" s="92" t="s">
        <v>104</v>
      </c>
      <c r="K17" s="93" t="s">
        <v>105</v>
      </c>
      <c r="L17" s="91" t="s">
        <v>102</v>
      </c>
      <c r="M17" s="92" t="s">
        <v>103</v>
      </c>
      <c r="N17" s="92" t="s">
        <v>104</v>
      </c>
      <c r="O17" s="93" t="s">
        <v>105</v>
      </c>
      <c r="P17" s="94" t="s">
        <v>102</v>
      </c>
      <c r="Q17" s="94" t="s">
        <v>103</v>
      </c>
      <c r="R17" s="94" t="s">
        <v>104</v>
      </c>
      <c r="S17" s="95" t="s">
        <v>105</v>
      </c>
      <c r="T17" s="96" t="s">
        <v>102</v>
      </c>
      <c r="U17" s="94" t="s">
        <v>103</v>
      </c>
      <c r="V17" s="94" t="s">
        <v>104</v>
      </c>
      <c r="W17" s="95" t="s">
        <v>105</v>
      </c>
      <c r="X17" s="96" t="s">
        <v>102</v>
      </c>
      <c r="Y17" s="94" t="s">
        <v>103</v>
      </c>
      <c r="Z17" s="94" t="s">
        <v>104</v>
      </c>
      <c r="AA17" s="95" t="s">
        <v>105</v>
      </c>
    </row>
    <row r="18" spans="2:27" x14ac:dyDescent="0.2">
      <c r="B18" s="62" t="s">
        <v>109</v>
      </c>
      <c r="C18" s="187">
        <v>20759</v>
      </c>
      <c r="D18" s="162">
        <v>5573</v>
      </c>
      <c r="E18" s="162">
        <v>5176</v>
      </c>
      <c r="F18" s="162">
        <v>5802</v>
      </c>
      <c r="G18" s="188">
        <v>6746</v>
      </c>
      <c r="H18" s="162">
        <v>44052</v>
      </c>
      <c r="I18" s="162">
        <v>43675</v>
      </c>
      <c r="J18" s="162">
        <v>45755</v>
      </c>
      <c r="K18" s="188">
        <v>48661</v>
      </c>
      <c r="L18" s="162">
        <v>2426</v>
      </c>
      <c r="M18" s="162">
        <v>1835</v>
      </c>
      <c r="N18" s="162">
        <v>3035</v>
      </c>
      <c r="O18" s="188">
        <v>3984</v>
      </c>
      <c r="P18" s="97">
        <f t="shared" ref="P18" si="1">$C18/D18</f>
        <v>3.7249237394581014</v>
      </c>
      <c r="Q18" s="97">
        <f t="shared" ref="Q18" si="2">$C18/E18</f>
        <v>4.0106259659969092</v>
      </c>
      <c r="R18" s="97">
        <f t="shared" ref="R18" si="3">$C18/F18</f>
        <v>3.5779041709755255</v>
      </c>
      <c r="S18" s="97">
        <f t="shared" ref="S18:T18" si="4">$C18/G18</f>
        <v>3.0772309516750669</v>
      </c>
      <c r="T18" s="101">
        <f t="shared" si="4"/>
        <v>0.47123853627531098</v>
      </c>
      <c r="U18" s="101">
        <f t="shared" ref="U18" si="5">$C18/I18</f>
        <v>0.47530623926731541</v>
      </c>
      <c r="V18" s="101">
        <f t="shared" ref="V18" si="6">$C18/J18</f>
        <v>0.45369904928423122</v>
      </c>
      <c r="W18" s="101">
        <f t="shared" ref="W18" si="7">$C18/K18</f>
        <v>0.42660446764349275</v>
      </c>
      <c r="X18" s="98">
        <f>$C18/L18</f>
        <v>8.5568837592745268</v>
      </c>
      <c r="Y18" s="98">
        <f>$C18/M18</f>
        <v>11.312806539509538</v>
      </c>
      <c r="Z18" s="98">
        <f>$C18/N18</f>
        <v>6.839868204283361</v>
      </c>
      <c r="AA18" s="98">
        <f>$C18/O18</f>
        <v>5.2105923694779115</v>
      </c>
    </row>
    <row r="19" spans="2:27" x14ac:dyDescent="0.2">
      <c r="B19" s="14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5"/>
      <c r="Q19" s="105"/>
      <c r="R19" s="105"/>
      <c r="S19" s="105"/>
      <c r="T19" s="105"/>
      <c r="U19" s="105"/>
      <c r="V19" s="105"/>
      <c r="W19" s="105"/>
      <c r="X19" s="14"/>
      <c r="Y19" s="14"/>
      <c r="Z19" s="14"/>
      <c r="AA19" s="14"/>
    </row>
    <row r="20" spans="2:27" x14ac:dyDescent="0.2">
      <c r="B20" s="143" t="s">
        <v>110</v>
      </c>
      <c r="C20" s="138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5"/>
      <c r="Q20" s="105"/>
      <c r="R20" s="105"/>
      <c r="S20" s="105"/>
      <c r="T20" s="105"/>
      <c r="U20" s="105"/>
      <c r="V20" s="105"/>
      <c r="W20" s="105"/>
      <c r="X20" s="14"/>
      <c r="Y20" s="14"/>
      <c r="Z20" s="14"/>
      <c r="AA20" s="14"/>
    </row>
    <row r="21" spans="2:27" x14ac:dyDescent="0.2">
      <c r="B21" s="137"/>
      <c r="C21" s="166" t="s">
        <v>95</v>
      </c>
      <c r="D21" s="144" t="s">
        <v>40</v>
      </c>
      <c r="E21" s="144"/>
      <c r="F21" s="144"/>
      <c r="G21" s="144"/>
      <c r="H21" s="144" t="s">
        <v>34</v>
      </c>
      <c r="I21" s="144"/>
      <c r="J21" s="144"/>
      <c r="K21" s="144"/>
      <c r="L21" s="144" t="s">
        <v>43</v>
      </c>
      <c r="M21" s="144"/>
      <c r="N21" s="144"/>
      <c r="O21" s="144"/>
      <c r="P21" s="145" t="s">
        <v>96</v>
      </c>
      <c r="Q21" s="145"/>
      <c r="R21" s="145"/>
      <c r="S21" s="145"/>
      <c r="T21" s="145" t="s">
        <v>97</v>
      </c>
      <c r="U21" s="145"/>
      <c r="V21" s="145"/>
      <c r="W21" s="145"/>
      <c r="X21" s="145" t="s">
        <v>98</v>
      </c>
      <c r="Y21" s="145"/>
      <c r="Z21" s="145"/>
      <c r="AA21" s="145"/>
    </row>
    <row r="22" spans="2:27" x14ac:dyDescent="0.2">
      <c r="B22" s="139" t="s">
        <v>109</v>
      </c>
      <c r="C22" s="171">
        <v>20759</v>
      </c>
      <c r="D22" s="185">
        <v>5573</v>
      </c>
      <c r="E22" s="167">
        <v>5176</v>
      </c>
      <c r="F22" s="167">
        <v>5802</v>
      </c>
      <c r="G22" s="168">
        <v>6746</v>
      </c>
      <c r="H22" s="167">
        <v>44052</v>
      </c>
      <c r="I22" s="167">
        <v>43675</v>
      </c>
      <c r="J22" s="167">
        <v>45755</v>
      </c>
      <c r="K22" s="168">
        <v>48661</v>
      </c>
      <c r="L22" s="167">
        <v>2426</v>
      </c>
      <c r="M22" s="167">
        <v>1835</v>
      </c>
      <c r="N22" s="167">
        <v>3035</v>
      </c>
      <c r="O22" s="168">
        <v>3984</v>
      </c>
      <c r="P22" s="169">
        <f t="shared" ref="P22:AA22" si="8">$C22/D22</f>
        <v>3.7249237394581014</v>
      </c>
      <c r="Q22" s="169">
        <f t="shared" si="8"/>
        <v>4.0106259659969092</v>
      </c>
      <c r="R22" s="169">
        <f t="shared" si="8"/>
        <v>3.5779041709755255</v>
      </c>
      <c r="S22" s="170">
        <f t="shared" si="8"/>
        <v>3.0772309516750669</v>
      </c>
      <c r="T22" s="180">
        <f t="shared" si="8"/>
        <v>0.47123853627531098</v>
      </c>
      <c r="U22" s="169">
        <f t="shared" si="8"/>
        <v>0.47530623926731541</v>
      </c>
      <c r="V22" s="169">
        <f t="shared" si="8"/>
        <v>0.45369904928423122</v>
      </c>
      <c r="W22" s="170">
        <f t="shared" si="8"/>
        <v>0.42660446764349275</v>
      </c>
      <c r="X22" s="180">
        <f t="shared" si="8"/>
        <v>8.5568837592745268</v>
      </c>
      <c r="Y22" s="169">
        <f t="shared" si="8"/>
        <v>11.312806539509538</v>
      </c>
      <c r="Z22" s="169">
        <f t="shared" si="8"/>
        <v>6.839868204283361</v>
      </c>
      <c r="AA22" s="170">
        <f t="shared" si="8"/>
        <v>5.2105923694779115</v>
      </c>
    </row>
    <row r="23" spans="2:27" x14ac:dyDescent="0.2">
      <c r="B23" s="140" t="s">
        <v>111</v>
      </c>
      <c r="C23" s="186"/>
      <c r="D23" s="13"/>
      <c r="E23" s="13"/>
      <c r="F23" s="13"/>
      <c r="G23" s="181"/>
      <c r="H23" s="13"/>
      <c r="I23" s="13"/>
      <c r="J23" s="13"/>
      <c r="K23" s="181"/>
      <c r="L23" s="13"/>
      <c r="M23" s="13"/>
      <c r="N23" s="13"/>
      <c r="O23" s="181"/>
      <c r="P23" s="101">
        <f t="shared" ref="P23:AA23" si="9">QUARTILE(P10:P11,1)</f>
        <v>7.0378942230577435</v>
      </c>
      <c r="Q23" s="101">
        <f t="shared" si="9"/>
        <v>8.2740238278247489</v>
      </c>
      <c r="R23" s="101">
        <f t="shared" si="9"/>
        <v>5.836478437543076</v>
      </c>
      <c r="S23" s="99">
        <f t="shared" si="9"/>
        <v>4.8282236531084592</v>
      </c>
      <c r="T23" s="101">
        <f t="shared" si="9"/>
        <v>0.71845957031478358</v>
      </c>
      <c r="U23" s="101">
        <f t="shared" si="9"/>
        <v>0.73975049724982267</v>
      </c>
      <c r="V23" s="101">
        <f t="shared" si="9"/>
        <v>0.68441892353753464</v>
      </c>
      <c r="W23" s="99">
        <f t="shared" si="9"/>
        <v>0.63520069527891421</v>
      </c>
      <c r="X23" s="101">
        <f t="shared" si="9"/>
        <v>10.016133463389354</v>
      </c>
      <c r="Y23" s="101">
        <f t="shared" si="9"/>
        <v>12.66125619609838</v>
      </c>
      <c r="Z23" s="101">
        <f t="shared" si="9"/>
        <v>7.7998677972393633</v>
      </c>
      <c r="AA23" s="99">
        <f t="shared" si="9"/>
        <v>6.1446469557687564</v>
      </c>
    </row>
    <row r="24" spans="2:27" x14ac:dyDescent="0.2">
      <c r="B24" s="141" t="s">
        <v>11</v>
      </c>
      <c r="C24" s="172"/>
      <c r="D24" s="13"/>
      <c r="E24" s="13"/>
      <c r="F24" s="13"/>
      <c r="G24" s="78"/>
      <c r="H24" s="13"/>
      <c r="I24" s="13"/>
      <c r="J24" s="13"/>
      <c r="K24" s="78"/>
      <c r="L24" s="13"/>
      <c r="M24" s="13"/>
      <c r="N24" s="13"/>
      <c r="O24" s="78"/>
      <c r="P24" s="101">
        <f t="shared" ref="P24:AA24" si="10">AVERAGE(P10:P11)</f>
        <v>7.6468467614502611</v>
      </c>
      <c r="Q24" s="101">
        <f t="shared" si="10"/>
        <v>8.4813809889828331</v>
      </c>
      <c r="R24" s="101">
        <f t="shared" si="10"/>
        <v>6.544314373309323</v>
      </c>
      <c r="S24" s="102">
        <f t="shared" si="10"/>
        <v>5.5862310853810939</v>
      </c>
      <c r="T24" s="101">
        <f t="shared" si="10"/>
        <v>0.91390574286984838</v>
      </c>
      <c r="U24" s="101">
        <f t="shared" si="10"/>
        <v>0.93833789198390782</v>
      </c>
      <c r="V24" s="101">
        <f t="shared" si="10"/>
        <v>0.88013557767806638</v>
      </c>
      <c r="W24" s="102">
        <f t="shared" si="10"/>
        <v>0.81797986154906788</v>
      </c>
      <c r="X24" s="101">
        <f t="shared" si="10"/>
        <v>10.974526341004649</v>
      </c>
      <c r="Y24" s="101">
        <f t="shared" si="10"/>
        <v>12.907079649756719</v>
      </c>
      <c r="Z24" s="101">
        <f t="shared" si="10"/>
        <v>8.8945489075383666</v>
      </c>
      <c r="AA24" s="102">
        <f t="shared" si="10"/>
        <v>7.2172369987172171</v>
      </c>
    </row>
    <row r="25" spans="2:27" x14ac:dyDescent="0.2">
      <c r="B25" s="141" t="s">
        <v>112</v>
      </c>
      <c r="C25" s="172"/>
      <c r="D25" s="13"/>
      <c r="E25" s="13"/>
      <c r="F25" s="13"/>
      <c r="G25" s="78"/>
      <c r="H25" s="13"/>
      <c r="I25" s="13"/>
      <c r="J25" s="13"/>
      <c r="K25" s="78"/>
      <c r="L25" s="13"/>
      <c r="M25" s="13"/>
      <c r="N25" s="13"/>
      <c r="O25" s="78"/>
      <c r="P25" s="101">
        <f t="shared" ref="P25:AA25" si="11">MEDIAN(P10:P11)</f>
        <v>7.6468467614502611</v>
      </c>
      <c r="Q25" s="101">
        <f t="shared" si="11"/>
        <v>8.4813809889828331</v>
      </c>
      <c r="R25" s="101">
        <f t="shared" si="11"/>
        <v>6.544314373309323</v>
      </c>
      <c r="S25" s="102">
        <f t="shared" si="11"/>
        <v>5.5862310853810939</v>
      </c>
      <c r="T25" s="101">
        <f t="shared" si="11"/>
        <v>0.91390574286984838</v>
      </c>
      <c r="U25" s="101">
        <f t="shared" si="11"/>
        <v>0.93833789198390782</v>
      </c>
      <c r="V25" s="101">
        <f t="shared" si="11"/>
        <v>0.88013557767806638</v>
      </c>
      <c r="W25" s="102">
        <f t="shared" si="11"/>
        <v>0.81797986154906788</v>
      </c>
      <c r="X25" s="101">
        <f t="shared" si="11"/>
        <v>10.974526341004649</v>
      </c>
      <c r="Y25" s="101">
        <f t="shared" si="11"/>
        <v>12.907079649756719</v>
      </c>
      <c r="Z25" s="101">
        <f t="shared" si="11"/>
        <v>8.8945489075383666</v>
      </c>
      <c r="AA25" s="102">
        <f t="shared" si="11"/>
        <v>7.2172369987172171</v>
      </c>
    </row>
    <row r="26" spans="2:27" x14ac:dyDescent="0.2">
      <c r="B26" s="142" t="s">
        <v>113</v>
      </c>
      <c r="C26" s="173"/>
      <c r="D26" s="182"/>
      <c r="E26" s="184"/>
      <c r="F26" s="184"/>
      <c r="G26" s="183"/>
      <c r="H26" s="184"/>
      <c r="I26" s="184"/>
      <c r="J26" s="184"/>
      <c r="K26" s="183"/>
      <c r="L26" s="184"/>
      <c r="M26" s="184"/>
      <c r="N26" s="184"/>
      <c r="O26" s="183"/>
      <c r="P26" s="103">
        <f t="shared" ref="P26:AA26" si="12">QUARTILE(P10:P11,3)</f>
        <v>8.2557992998427778</v>
      </c>
      <c r="Q26" s="103">
        <f t="shared" si="12"/>
        <v>8.6887381501409173</v>
      </c>
      <c r="R26" s="103">
        <f t="shared" si="12"/>
        <v>7.252150309075569</v>
      </c>
      <c r="S26" s="104">
        <f t="shared" si="12"/>
        <v>6.3442385176537286</v>
      </c>
      <c r="T26" s="190">
        <f t="shared" si="12"/>
        <v>1.1093519154249132</v>
      </c>
      <c r="U26" s="103">
        <f t="shared" si="12"/>
        <v>1.1369252867179931</v>
      </c>
      <c r="V26" s="103">
        <f t="shared" si="12"/>
        <v>1.0758522318185981</v>
      </c>
      <c r="W26" s="104">
        <f t="shared" si="12"/>
        <v>1.0007590278192215</v>
      </c>
      <c r="X26" s="190">
        <f t="shared" si="12"/>
        <v>11.932919218619945</v>
      </c>
      <c r="Y26" s="103">
        <f t="shared" si="12"/>
        <v>13.152903103415058</v>
      </c>
      <c r="Z26" s="103">
        <f t="shared" si="12"/>
        <v>9.9892300178373681</v>
      </c>
      <c r="AA26" s="104">
        <f t="shared" si="12"/>
        <v>8.2898270416656779</v>
      </c>
    </row>
  </sheetData>
  <mergeCells count="8">
    <mergeCell ref="D2:O2"/>
    <mergeCell ref="D3:G3"/>
    <mergeCell ref="H3:K3"/>
    <mergeCell ref="L3:O3"/>
    <mergeCell ref="D7:G7"/>
    <mergeCell ref="H7:K7"/>
    <mergeCell ref="L7:O7"/>
    <mergeCell ref="D6:O6"/>
  </mergeCells>
  <pageMargins left="0.7" right="0.7" top="0.78740157499999996" bottom="0.78740157499999996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L19"/>
  <sheetViews>
    <sheetView tabSelected="1" zoomScale="194" zoomScaleNormal="200" workbookViewId="0">
      <selection activeCell="C20" sqref="C20"/>
    </sheetView>
  </sheetViews>
  <sheetFormatPr baseColWidth="10" defaultColWidth="11" defaultRowHeight="15" x14ac:dyDescent="0.2"/>
  <cols>
    <col min="1" max="8" width="11" style="1" customWidth="1"/>
    <col min="9" max="9" width="26.6640625" style="1" bestFit="1" customWidth="1"/>
    <col min="10" max="11" width="5.5" style="1" bestFit="1" customWidth="1"/>
    <col min="12" max="12" width="6.5" style="1" bestFit="1" customWidth="1"/>
    <col min="13" max="13" width="11" style="1" customWidth="1"/>
    <col min="14" max="16384" width="11" style="1"/>
  </cols>
  <sheetData>
    <row r="3" spans="9:12" x14ac:dyDescent="0.2">
      <c r="I3" s="1" t="s">
        <v>114</v>
      </c>
      <c r="J3" s="1" t="s">
        <v>115</v>
      </c>
      <c r="K3" s="1" t="s">
        <v>116</v>
      </c>
      <c r="L3" s="1" t="s">
        <v>117</v>
      </c>
    </row>
    <row r="4" spans="9:12" x14ac:dyDescent="0.2">
      <c r="I4" s="1" t="s">
        <v>118</v>
      </c>
      <c r="J4" s="157">
        <f>'FCFF &amp; DCF'!$L$59/'Equity Bridge'!$C$13</f>
        <v>76.426374487743118</v>
      </c>
      <c r="K4" s="157">
        <f>L4-J4</f>
        <v>37.93443663428674</v>
      </c>
      <c r="L4" s="157">
        <f>'FCFF &amp; DCF'!$L$57/'Equity Bridge'!$C$13</f>
        <v>114.36081112202986</v>
      </c>
    </row>
    <row r="5" spans="9:12" x14ac:dyDescent="0.2">
      <c r="I5" s="1" t="s">
        <v>119</v>
      </c>
      <c r="J5" s="157">
        <f>(Multiples!R23*Multiples!F18+SUM('Equity Bridge'!$C$6:$C$10))/'Equity Bridge'!$C$13</f>
        <v>54.108495789249851</v>
      </c>
      <c r="K5" s="157">
        <f>L5-J5</f>
        <v>16.42745639726305</v>
      </c>
      <c r="L5" s="157">
        <f>(Multiples!R26*Multiples!F18+SUM('Equity Bridge'!$C$6:$C$10))/'Equity Bridge'!$C$13</f>
        <v>70.535952186512901</v>
      </c>
    </row>
    <row r="6" spans="9:12" x14ac:dyDescent="0.2">
      <c r="I6" s="1" t="s">
        <v>120</v>
      </c>
      <c r="J6" s="157">
        <f>(Multiples!V23*Multiples!J18+SUM('Equity Bridge'!$C$6:$C$10))/'Equity Bridge'!$C$13</f>
        <v>49.013175692919795</v>
      </c>
      <c r="K6" s="157">
        <f>L6-J6</f>
        <v>35.820062040800117</v>
      </c>
      <c r="L6" s="157">
        <f>(Multiples!V26*Multiples!J18+SUM('Equity Bridge'!$C$6:$C$10))/'Equity Bridge'!$C$13</f>
        <v>84.833237733719912</v>
      </c>
    </row>
    <row r="7" spans="9:12" x14ac:dyDescent="0.2">
      <c r="I7" s="1" t="s">
        <v>121</v>
      </c>
      <c r="J7" s="157">
        <f>(Multiples!Z23*Multiples!N18+SUM('Equity Bridge'!$C$6:$C$10))/'Equity Bridge'!$C$13</f>
        <v>33.727197529242936</v>
      </c>
      <c r="K7" s="157">
        <f>L7-J7</f>
        <v>13.289428679029882</v>
      </c>
      <c r="L7" s="157">
        <f>(Multiples!Z26*Multiples!N18+SUM('Equity Bridge'!$C$6:$C$10))/'Equity Bridge'!$C$13</f>
        <v>47.016626208272818</v>
      </c>
    </row>
    <row r="8" spans="9:12" x14ac:dyDescent="0.2">
      <c r="I8" t="s">
        <v>122</v>
      </c>
      <c r="J8">
        <f>'Equity Bridge'!$C$16</f>
        <v>33.18</v>
      </c>
      <c r="K8" s="157"/>
      <c r="L8" s="157"/>
    </row>
    <row r="9" spans="9:12" x14ac:dyDescent="0.2">
      <c r="I9" t="s">
        <v>123</v>
      </c>
      <c r="J9">
        <f>((J4+L4)/2+(J5+L5)/2+(J6+L6)/2+(J7+L7)/2)/4</f>
        <v>66.252733843711397</v>
      </c>
      <c r="K9" s="157"/>
      <c r="L9" s="157"/>
    </row>
    <row r="19" spans="3:3" x14ac:dyDescent="0.2">
      <c r="C19" s="1" t="s">
        <v>124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FCFF &amp; DCF</vt:lpstr>
      <vt:lpstr>WACC</vt:lpstr>
      <vt:lpstr>Equity Bridge</vt:lpstr>
      <vt:lpstr>Multiples</vt:lpstr>
      <vt:lpstr>Football-Field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Reichel</dc:creator>
  <cp:lastModifiedBy>Evan Bergsma</cp:lastModifiedBy>
  <cp:lastPrinted>2022-06-27T21:14:51Z</cp:lastPrinted>
  <dcterms:created xsi:type="dcterms:W3CDTF">2022-06-26T09:52:18Z</dcterms:created>
  <dcterms:modified xsi:type="dcterms:W3CDTF">2026-07-08T10:26:20Z</dcterms:modified>
</cp:coreProperties>
</file>